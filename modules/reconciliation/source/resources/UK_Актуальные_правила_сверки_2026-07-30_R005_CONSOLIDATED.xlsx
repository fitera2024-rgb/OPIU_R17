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78ee56ef9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Паспорт" sheetId="1" r:id="R83f6a590386c4c40"/>
    <x:sheet xmlns:r="http://schemas.openxmlformats.org/officeDocument/2006/relationships" name="01_Статус_месяцев" sheetId="2" r:id="R6f572f926f964574"/>
    <x:sheet xmlns:r="http://schemas.openxmlformats.org/officeDocument/2006/relationships" name="02_Решения" sheetId="3" r:id="R3c58d4c664334f9b"/>
    <x:sheet xmlns:r="http://schemas.openxmlformats.org/officeDocument/2006/relationships" name="03_Разногласия" sheetId="4" r:id="R5868a03c59c74173"/>
    <x:sheet xmlns:r="http://schemas.openxmlformats.org/officeDocument/2006/relationships" name="04_Гейт_R005" sheetId="5" r:id="Rbf63553a6c264468"/>
    <x:sheet xmlns:r="http://schemas.openxmlformats.org/officeDocument/2006/relationships" name="05_Правила_корректировок" sheetId="6" r:id="Rcfe8a0246d4e469c"/>
    <x:sheet xmlns:r="http://schemas.openxmlformats.org/officeDocument/2006/relationships" name="06_Источники" sheetId="7" r:id="Rc3cc998aca6c43e7"/>
    <x:sheet xmlns:r="http://schemas.openxmlformats.org/officeDocument/2006/relationships" name="07_История_версий" sheetId="8" r:id="Ra88f059ec77d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#,##0.00;[Red](#,##0.00);-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87684"/>
      <x:name val="Carlito"/>
    </x:font>
    <x:font>
      <x:b/>
      <x:sz val="11"/>
      <x:color rgb="FFFFFFFF"/>
      <x:name val="Carlito"/>
    </x:font>
    <x:font>
      <x:b/>
      <x:sz val="11"/>
      <x:color rgb="FFA12622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i/>
      <x:sz val="10"/>
      <x:color rgb="FF687684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A12622"/>
      <x:name val="Aptos"/>
    </x:font>
    <x:font>
      <x:b/>
      <x:sz val="11"/>
      <x:color rgb="FF176B3A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A12622"/>
      <x:name val="Aptos"/>
    </x:font>
    <x:font>
      <x:b/>
      <x:sz val="11"/>
      <x:color rgb="FF176B3A"/>
      <x:name val="Aptos"/>
    </x:font>
    <x:font>
      <x:b/>
      <x:sz val="10"/>
      <x:color rgb="FF176B3A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D3F66"/>
      </x:patternFill>
    </x:fill>
    <x:fill>
      <x:patternFill patternType="solid">
        <x:fgColor rgb="FFE7F1F7"/>
      </x:patternFill>
    </x:fill>
    <x:fill>
      <x:patternFill patternType="solid">
        <x:fgColor rgb="FF1A8792"/>
      </x:patternFill>
    </x:fill>
    <x:fill>
      <x:patternFill patternType="solid">
        <x:fgColor rgb="FF147985"/>
      </x:patternFill>
    </x:fill>
    <x:fill>
      <x:patternFill patternType="solid">
        <x:fgColor rgb="FFFCE1E1"/>
      </x:patternFill>
    </x:fill>
    <x:fill>
      <x:patternFill patternType="solid">
        <x:fgColor rgb="FFD2EAF3"/>
      </x:patternFill>
    </x:fill>
    <x:fill>
      <x:patternFill patternType="solid">
        <x:fgColor rgb="FFD9F2E3"/>
      </x:patternFill>
    </x:fill>
    <x:fill>
      <x:patternFill patternType="solid">
        <x:fgColor rgb="FF1A8792"/>
      </x:patternFill>
    </x:fill>
    <x:fill>
      <x:patternFill patternType="solid">
        <x:fgColor rgb="FFD9F2E3"/>
      </x:patternFill>
    </x:fill>
  </x:fills>
  <x:borders count="2">
    <x:border/>
    <x:border>
      <x:bottom style="thin">
        <x:color rgb="FFB8CAD6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horizontal="center" vertical="top" wrapText="1"/>
    </x:xf>
    <x:xf numFmtId="0" fontId="9" fillId="4" borderId="0" xfId="0" applyNumberFormat="1" applyFont="1" applyFill="1" applyBorder="1" applyAlignment="1">
      <x:alignment horizontal="center" vertical="top" wrapText="1"/>
    </x:xf>
    <x:xf numFmtId="0" fontId="9" fillId="4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202" fontId="0" fillId="7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horizontal="center" vertical="top" wrapText="1"/>
    </x:xf>
    <x:xf numFmtId="0" fontId="16" fillId="6" borderId="0" xfId="0" applyNumberFormat="1" applyFont="1" applyFill="1" applyBorder="1" applyAlignment="1">
      <x:alignment horizontal="center" vertical="top" wrapText="1"/>
    </x:xf>
    <x:xf numFmtId="0" fontId="14" fillId="0" borderId="1" xfId="0" applyNumberFormat="1" applyFont="1" applyFill="1" applyBorder="1" applyAlignment="1">
      <x:alignment vertical="top" wrapText="1"/>
    </x:xf>
    <x:xf numFmtId="0" fontId="16" fillId="6" borderId="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horizontal="center" vertical="top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13" fillId="4" borderId="1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1" fontId="8" fillId="7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center" vertical="top" wrapText="1"/>
    </x:xf>
    <x:xf numFmtId="0" fontId="14" fillId="7" borderId="0" xfId="0" applyNumberFormat="1" applyFont="1" applyFill="1" applyBorder="1" applyAlignment="1">
      <x:alignment vertical="top" wrapText="1"/>
    </x:xf>
    <x:xf numFmtId="200" fontId="14" fillId="7" borderId="0" xfId="0" applyNumberFormat="1" applyFont="1" applyFill="1" applyBorder="1" applyAlignment="1">
      <x:alignment vertical="top" wrapText="1"/>
    </x:xf>
    <x:xf numFmtId="201" fontId="14" fillId="7" borderId="0" xfId="0" applyNumberFormat="1" applyFont="1" applyFill="1" applyBorder="1" applyAlignment="1">
      <x:alignment vertical="top" wrapText="1"/>
    </x:xf>
    <x:xf numFmtId="200" fontId="14" fillId="0" borderId="0" xfId="0" applyNumberFormat="1" applyFont="1" applyFill="1" applyBorder="1" applyAlignment="1">
      <x:alignment vertical="top" wrapText="1"/>
    </x:xf>
    <x:xf numFmtId="201" fontId="14" fillId="0" borderId="0" xfId="0" applyNumberFormat="1" applyFont="1" applyFill="1" applyBorder="1" applyAlignment="1">
      <x:alignment vertical="top" wrapText="1"/>
    </x:xf>
    <x:xf numFmtId="200" fontId="14" fillId="0" borderId="1" xfId="0" applyNumberFormat="1" applyFont="1" applyFill="1" applyBorder="1" applyAlignment="1">
      <x:alignment vertical="top" wrapText="1"/>
    </x:xf>
    <x:xf numFmtId="201" fontId="14" fillId="0" borderId="1" xfId="0" applyNumberFormat="1" applyFont="1" applyFill="1" applyBorder="1" applyAlignment="1">
      <x:alignment vertical="top" wrapText="1"/>
    </x:xf>
    <x:xf numFmtId="0" fontId="16" fillId="6" borderId="1" xfId="0" applyNumberFormat="1" applyFont="1" applyFill="1" applyBorder="1" applyAlignment="1">
      <x:alignment horizontal="center" vertical="top" wrapText="1"/>
    </x:xf>
    <x:xf numFmtId="202" fontId="8" fillId="7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 applyAlignment="1">
      <x:alignment vertical="top" wrapText="1"/>
    </x:xf>
    <x:xf numFmtId="202" fontId="14" fillId="7" borderId="0" xfId="0" applyNumberFormat="1" applyFont="1" applyFill="1" applyBorder="1" applyAlignment="1">
      <x:alignment vertical="top" wrapText="1"/>
    </x:xf>
    <x:xf numFmtId="202" fontId="14" fillId="0" borderId="0" xfId="0" applyNumberFormat="1" applyFont="1" applyFill="1" applyBorder="1" applyAlignment="1">
      <x:alignment vertical="top" wrapText="1"/>
    </x:xf>
    <x:xf numFmtId="202" fontId="14" fillId="0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  <x:xf numFmtId="0" fontId="17" fillId="8" borderId="0" xfId="0" applyNumberFormat="1" applyFont="1" applyFill="1" applyBorder="1" applyAlignment="1">
      <x:alignment vertical="top" wrapText="1"/>
    </x:xf>
    <x:xf numFmtId="0" fontId="18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202" fontId="16" fillId="6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 applyAlignment="1">
      <x:alignment vertical="top" wrapText="1"/>
    </x:xf>
    <x:xf numFmtId="0" fontId="18" fillId="10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2f6db91974b61" /><Relationship Type="http://schemas.openxmlformats.org/officeDocument/2006/relationships/theme" Target="/xl/theme/theme1.xml" Id="Rb270ef3ae6934bb0" /><Relationship Type="http://schemas.openxmlformats.org/officeDocument/2006/relationships/sharedStrings" Target="/xl/sharedStrings.xml" Id="R1c6c6486290d41e0" /><Relationship Type="http://schemas.openxmlformats.org/officeDocument/2006/relationships/worksheet" Target="/xl/worksheets/sheet1.xml" Id="R83f6a590386c4c40" /><Relationship Type="http://schemas.openxmlformats.org/officeDocument/2006/relationships/worksheet" Target="/xl/worksheets/sheet2.xml" Id="R6f572f926f964574" /><Relationship Type="http://schemas.openxmlformats.org/officeDocument/2006/relationships/worksheet" Target="/xl/worksheets/sheet3.xml" Id="R3c58d4c664334f9b" /><Relationship Type="http://schemas.openxmlformats.org/officeDocument/2006/relationships/worksheet" Target="/xl/worksheets/sheet4.xml" Id="R5868a03c59c74173" /><Relationship Type="http://schemas.openxmlformats.org/officeDocument/2006/relationships/worksheet" Target="/xl/worksheets/sheet5.xml" Id="Rbf63553a6c264468" /><Relationship Type="http://schemas.openxmlformats.org/officeDocument/2006/relationships/worksheet" Target="/xl/worksheets/sheet6.xml" Id="Rcfe8a0246d4e469c" /><Relationship Type="http://schemas.openxmlformats.org/officeDocument/2006/relationships/worksheet" Target="/xl/worksheets/sheet7.xml" Id="Rc3cc998aca6c43e7" /><Relationship Type="http://schemas.openxmlformats.org/officeDocument/2006/relationships/worksheet" Target="/xl/worksheets/sheet8.xml" Id="Ra88f059ec77d44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3" hidden="0" customWidth="1"/>
    <x:col min="4" max="4" width="29" hidden="0" customWidth="1"/>
    <x:col min="5" max="5" width="15" hidden="0" customWidth="1"/>
    <x:col min="6" max="6" width="15" hidden="0" customWidth="1"/>
    <x:col min="7" max="7" width="15" hidden="0" customWidth="1"/>
    <x:col min="8" max="8" width="36" hidden="0" customWidth="1"/>
  </x:cols>
  <x:sheetData>
    <x:row r="1" ht="34" customHeight="1">
      <x:c r="A1" s="120" t="str">
        <x:v>УК — единые правила сверки и корректировок R005</x:v>
      </x:c>
      <x:c r="B1" s="120" t="str">
        <x:v>УК — единые правила сверки и корректировок R005</x:v>
      </x:c>
      <x:c r="C1" s="120" t="str">
        <x:v>УК — единые правила сверки и корректировок R005</x:v>
      </x:c>
      <x:c r="D1" s="120" t="str">
        <x:v>УК — единые правила сверки и корректировок R005</x:v>
      </x:c>
      <x:c r="E1" s="120" t="str">
        <x:v>УК — единые правила сверки и корректировок R005</x:v>
      </x:c>
      <x:c r="F1" s="120" t="str">
        <x:v>УК — единые правила сверки и корректировок R005</x:v>
      </x:c>
      <x:c r="G1" s="120" t="str">
        <x:v>УК — единые правила сверки и корректировок R005</x:v>
      </x:c>
      <x:c r="H1" s="120" t="str">
        <x:v>УК — единые правила сверки и корректировок R005</x:v>
      </x:c>
    </x:row>
    <x:row r="2" ht="34" customHeight="1">
      <x:c r="A2" s="41" t="str">
        <x:v>R005 консолидирует R004 и решения всех связанных задач. Это база правил и текущий срез, а не разрешение загрузки в 1С.</x:v>
      </x:c>
      <x:c r="B2" s="41" t="str">
        <x:v>R005 консолидирует R004 и решения всех связанных задач. Это база правил и текущий срез, а не разрешение загрузки в 1С.</x:v>
      </x:c>
      <x:c r="C2" s="41" t="str">
        <x:v>R005 консолидирует R004 и решения всех связанных задач. Это база правил и текущий срез, а не разрешение загрузки в 1С.</x:v>
      </x:c>
      <x:c r="D2" s="41" t="str">
        <x:v>R005 консолидирует R004 и решения всех связанных задач. Это база правил и текущий срез, а не разрешение загрузки в 1С.</x:v>
      </x:c>
      <x:c r="E2" s="41" t="str">
        <x:v>R005 консолидирует R004 и решения всех связанных задач. Это база правил и текущий срез, а не разрешение загрузки в 1С.</x:v>
      </x:c>
      <x:c r="F2" s="41" t="str">
        <x:v>R005 консолидирует R004 и решения всех связанных задач. Это база правил и текущий срез, а не разрешение загрузки в 1С.</x:v>
      </x:c>
      <x:c r="G2" s="41" t="str">
        <x:v>R005 консолидирует R004 и решения всех связанных задач. Это база правил и текущий срез, а не разрешение загрузки в 1С.</x:v>
      </x:c>
      <x:c r="H2" s="41" t="str">
        <x:v>R005 консолидирует R004 и решения всех связанных задач. Это база правил и текущий срез, а не разрешение загрузки в 1С.</x:v>
      </x:c>
    </x:row>
    <x:row r="3">
      <x:c r="A3" s="121"/>
      <x:c r="B3" s="121"/>
      <x:c r="C3" s="121"/>
      <x:c r="D3" s="121"/>
      <x:c r="E3" s="121"/>
      <x:c r="F3" s="121"/>
      <x:c r="G3" s="121"/>
      <x:c r="H3" s="121"/>
    </x:row>
    <x:row r="4">
      <x:c r="A4" s="122" t="str">
        <x:v>Паспорт версии</x:v>
      </x:c>
      <x:c r="B4" s="122" t="str">
        <x:v>Паспорт версии</x:v>
      </x:c>
      <x:c r="C4" s="122" t="str">
        <x:v>Паспорт версии</x:v>
      </x:c>
      <x:c r="D4" s="122" t="str">
        <x:v>Паспорт версии</x:v>
      </x:c>
      <x:c r="E4" s="122" t="str">
        <x:v>Паспорт версии</x:v>
      </x:c>
      <x:c r="F4" s="122" t="str">
        <x:v>Паспорт версии</x:v>
      </x:c>
      <x:c r="G4" s="122" t="str">
        <x:v>Паспорт версии</x:v>
      </x:c>
      <x:c r="H4" s="122" t="str">
        <x:v>Паспорт версии</x:v>
      </x:c>
    </x:row>
    <x:row r="5">
      <x:c r="A5" s="72" t="str">
        <x:v>Параметр</x:v>
      </x:c>
      <x:c r="B5" s="72" t="str">
        <x:v>Значение</x:v>
      </x:c>
      <x:c r="C5" s="121"/>
      <x:c r="D5" s="72" t="str">
        <x:v>Контроль</x:v>
      </x:c>
      <x:c r="E5" s="72" t="str">
        <x:v>Факт</x:v>
      </x:c>
      <x:c r="F5" s="72" t="str">
        <x:v>Требование</x:v>
      </x:c>
      <x:c r="G5" s="72" t="str">
        <x:v>Результат</x:v>
      </x:c>
      <x:c r="H5" s="72" t="str">
        <x:v>Комментарий</x:v>
      </x:c>
    </x:row>
    <x:row r="6">
      <x:c r="A6" s="73" t="str">
        <x:v>Версия правил проекта</x:v>
      </x:c>
      <x:c r="B6" s="73" t="str">
        <x:v>UK_PROJECT_RULES_R005_20260730</x:v>
      </x:c>
      <x:c r="C6" s="121"/>
      <x:c r="D6" s="73" t="str">
        <x:v>Месяцев в срезе</x:v>
      </x:c>
      <x:c r="E6" s="73" t="n">
        <x:v>12</x:v>
      </x:c>
      <x:c r="F6" s="73" t="n">
        <x:v>12</x:v>
      </x:c>
      <x:c r="G6" s="74" t="str">
        <x:v>PASS</x:v>
      </x:c>
      <x:c r="H6" s="73" t="str">
        <x:v>Январь–декабрь 2025</x:v>
      </x:c>
    </x:row>
    <x:row r="7">
      <x:c r="A7" s="73" t="str">
        <x:v>Статус политики</x:v>
      </x:c>
      <x:c r="B7" s="73" t="str">
        <x:v>ACTIVE_FAIL_CLOSED</x:v>
      </x:c>
      <x:c r="C7" s="121"/>
      <x:c r="D7" s="73" t="str">
        <x:v>Месяцев READY</x:v>
      </x:c>
      <x:c r="E7" s="73" t="n">
        <x:f>COUNTIF('01_Статус_месяцев'!$O$5:$O$16,"READY")</x:f>
        <x:v>0</x:v>
      </x:c>
      <x:c r="F7" s="73" t="n">
        <x:v>12</x:v>
      </x:c>
      <x:c r="G7" s="75" t="str">
        <x:f>IF(E7=F7,"PASS","BLOCKED")</x:f>
        <x:v>BLOCKED</x:v>
      </x:c>
      <x:c r="H7" s="73" t="str">
        <x:v>Только после полного R005-гейта</x:v>
      </x:c>
    </x:row>
    <x:row r="8">
      <x:c r="A8" s="73" t="str">
        <x:v>Дата действия</x:v>
      </x:c>
      <x:c r="B8" s="73" t="str">
        <x:v>2026-07-30</x:v>
      </x:c>
      <x:c r="C8" s="121"/>
      <x:c r="D8" s="73" t="str">
        <x:v>Месяцев BLOCKED</x:v>
      </x:c>
      <x:c r="E8" s="73" t="n">
        <x:f>COUNTIF('01_Статус_месяцев'!$O$5:$O$16,"BLOCKED")</x:f>
        <x:v>12</x:v>
      </x:c>
      <x:c r="F8" s="73" t="n">
        <x:v>0</x:v>
      </x:c>
      <x:c r="G8" s="75" t="str">
        <x:f>IF(E8=F8,"PASS","BLOCKED")</x:f>
        <x:v>BLOCKED</x:v>
      </x:c>
      <x:c r="H8" s="73" t="str">
        <x:v>Наличие XLSX/ZIP не меняет статус</x:v>
      </x:c>
    </x:row>
    <x:row r="9">
      <x:c r="A9" s="73" t="str">
        <x:v>Периметр</x:v>
      </x:c>
      <x:c r="B9" s="73" t="str">
        <x:v>9 Управляющая компания</x:v>
      </x:c>
      <x:c r="C9" s="121"/>
      <x:c r="D9" s="73" t="str">
        <x:v>Решений POSTING</x:v>
      </x:c>
      <x:c r="E9" s="73" t="n">
        <x:v>7</x:v>
      </x:c>
      <x:c r="F9" s="73"/>
      <x:c r="G9" s="74" t="str">
        <x:v>INFO</x:v>
      </x:c>
      <x:c r="H9" s="73" t="str">
        <x:v>Все остаются черновиками</x:v>
      </x:c>
    </x:row>
    <x:row r="10">
      <x:c r="A10" s="73" t="str">
        <x:v>Режим периода</x:v>
      </x:c>
      <x:c r="B10" s="73" t="str">
        <x:v>MONTH_ISOLATED</x:v>
      </x:c>
      <x:c r="C10" s="121"/>
      <x:c r="D10" s="73" t="str">
        <x:v>UPDATE_MAPPING</x:v>
      </x:c>
      <x:c r="E10" s="73" t="n">
        <x:v>2</x:v>
      </x:c>
      <x:c r="F10" s="73"/>
      <x:c r="G10" s="74" t="str">
        <x:v>INFO</x:v>
      </x:c>
      <x:c r="H10" s="73" t="str">
        <x:v>Не входят в проводки</x:v>
      </x:c>
    </x:row>
    <x:row r="11">
      <x:c r="A11" s="73" t="str">
        <x:v>База иерархии</x:v>
      </x:c>
      <x:c r="B11" s="73" t="str">
        <x:v>R004</x:v>
      </x:c>
      <x:c r="C11" s="121"/>
      <x:c r="D11" s="73" t="str">
        <x:v>UPDATE_FORMULA</x:v>
      </x:c>
      <x:c r="E11" s="73" t="n">
        <x:f>COUNTIF('02_Решения'!$C$5:$C$10,"UPDATE_FORMULA")</x:f>
        <x:v>1</x:v>
      </x:c>
      <x:c r="F11" s="73"/>
      <x:c r="G11" s="74" t="str">
        <x:v>INFO</x:v>
      </x:c>
      <x:c r="H11" s="73" t="str">
        <x:v>Не входят в проводки</x:v>
      </x:c>
    </x:row>
    <x:row r="12">
      <x:c r="A12" s="73" t="str">
        <x:v>SHA256 базы R004</x:v>
      </x:c>
      <x:c r="B12" s="73" t="str">
        <x:v>0277620449F342F1564B9CFEC175F5829E4CEF62F452787776AC8BDCD2986916</x:v>
      </x:c>
      <x:c r="C12" s="121"/>
      <x:c r="D12" s="73" t="str">
        <x:v>ready_to_upload</x:v>
      </x:c>
      <x:c r="E12" s="73" t="str">
        <x:v>FALSE</x:v>
      </x:c>
      <x:c r="F12" s="73" t="str">
        <x:v>TRUE</x:v>
      </x:c>
      <x:c r="G12" s="74" t="str">
        <x:v>BLOCKED</x:v>
      </x:c>
      <x:c r="H12" s="73" t="str">
        <x:v>Live preflight 1С не пройден</x:v>
      </x:c>
    </x:row>
    <x:row r="13">
      <x:c r="A13" s="76" t="str">
        <x:v>Статус выпуска</x:v>
      </x:c>
      <x:c r="B13" s="77" t="str">
        <x:v>BLOCKED_R005_REPASS_REQUIRED</x:v>
      </x:c>
      <x:c r="C13" s="121"/>
      <x:c r="D13" s="76" t="str">
        <x:v>release_allowed</x:v>
      </x:c>
      <x:c r="E13" s="76" t="str">
        <x:v>FALSE</x:v>
      </x:c>
      <x:c r="F13" s="76" t="str">
        <x:v>TRUE</x:v>
      </x:c>
      <x:c r="G13" s="78" t="str">
        <x:v>BLOCKED</x:v>
      </x:c>
      <x:c r="H13" s="76" t="str">
        <x:v>Открыты гейты R005</x:v>
      </x:c>
    </x:row>
    <x:row r="14">
      <x:c r="A14" s="121"/>
      <x:c r="B14" s="121"/>
      <x:c r="C14" s="121"/>
      <x:c r="D14" s="121"/>
      <x:c r="E14" s="121"/>
      <x:c r="F14" s="121"/>
      <x:c r="G14" s="121"/>
      <x:c r="H14" s="121"/>
    </x:row>
    <x:row r="15">
      <x:c r="A15" s="122" t="str">
        <x:v>Что изменилось относительно R004</x:v>
      </x:c>
      <x:c r="B15" s="122" t="str">
        <x:v>Что изменилось относительно R004</x:v>
      </x:c>
      <x:c r="C15" s="122" t="str">
        <x:v>Что изменилось относительно R004</x:v>
      </x:c>
      <x:c r="D15" s="122" t="str">
        <x:v>Что изменилось относительно R004</x:v>
      </x:c>
      <x:c r="E15" s="122" t="str">
        <x:v>Что изменилось относительно R004</x:v>
      </x:c>
      <x:c r="F15" s="122" t="str">
        <x:v>Что изменилось относительно R004</x:v>
      </x:c>
      <x:c r="G15" s="122" t="str">
        <x:v>Что изменилось относительно R004</x:v>
      </x:c>
      <x:c r="H15" s="122" t="str">
        <x:v>Что изменилось относительно R004</x:v>
      </x:c>
    </x:row>
    <x:row r="16" ht="46" customHeight="1">
      <x:c r="A16" s="79" t="n">
        <x:v>1</x:v>
      </x:c>
      <x:c r="B16" s="73" t="str">
        <x:v>Разделены пространства версий</x:v>
      </x:c>
      <x:c r="C16" s="73" t="str">
        <x:v>R005 — правила проекта; R006/v07 — ревизии месячных пакетов.</x:v>
      </x:c>
      <x:c r="D16" s="73"/>
      <x:c r="E16" s="73"/>
      <x:c r="F16" s="73"/>
      <x:c r="G16" s="73"/>
      <x:c r="H16" s="73"/>
    </x:row>
    <x:row r="17" ht="46" customHeight="1">
      <x:c r="A17" s="79" t="n">
        <x:v>2</x:v>
      </x:c>
      <x:c r="B17" s="73" t="str">
        <x:v>R004 нельзя отменить локальной ревизией</x:v>
      </x:c>
      <x:c r="C17" s="73" t="str">
        <x:v>Полное покрытие иерархии остаётся обязательным для каждого месяца.</x:v>
      </x:c>
      <x:c r="D17" s="73"/>
      <x:c r="E17" s="73"/>
      <x:c r="F17" s="73"/>
      <x:c r="G17" s="73"/>
      <x:c r="H17" s="73"/>
    </x:row>
    <x:row r="18" ht="46" customHeight="1">
      <x:c r="A18" s="79" t="n">
        <x:v>3</x:v>
      </x:c>
      <x:c r="B18" s="73" t="str">
        <x:v>Единый fail-closed гейт встроен в движок</x:v>
      </x:c>
      <x:c r="C18" s="73" t="str">
        <x:v>Без canonical evidence движок блокирует release и ready_to_upload.</x:v>
      </x:c>
      <x:c r="D18" s="73"/>
      <x:c r="E18" s="73"/>
      <x:c r="F18" s="73"/>
      <x:c r="G18" s="73"/>
      <x:c r="H18" s="73"/>
    </x:row>
    <x:row r="19" ht="46" customHeight="1">
      <x:c r="A19" s="79" t="n">
        <x:v>4</x:v>
      </x:c>
      <x:c r="B19" s="73" t="str">
        <x:v>Знаки STORNO проверяются при публикации</x:v>
      </x:c>
      <x:c r="C19" s="73" t="str">
        <x:v>Обе валютные суммы STORNO должны быть отрицательными.</x:v>
      </x:c>
      <x:c r="D19" s="73"/>
      <x:c r="E19" s="73"/>
      <x:c r="F19" s="73"/>
      <x:c r="G19" s="73"/>
      <x:c r="H19" s="73"/>
    </x:row>
    <x:row r="20" ht="46" customHeight="1">
      <x:c r="A20" s="79" t="n">
        <x:v>5</x:v>
      </x:c>
      <x:c r="B20" s="73" t="str">
        <x:v>Формулы и мэппинг отделены от проводок</x:v>
      </x:c>
      <x:c r="C20" s="73" t="str">
        <x:v>UPDATE_MAPPING и UPDATE_FORMULA имеют нулевую сумму проводок.</x:v>
      </x:c>
      <x:c r="D20" s="73"/>
      <x:c r="E20" s="73"/>
      <x:c r="F20" s="73"/>
      <x:c r="G20" s="73"/>
      <x:c r="H20" s="73"/>
    </x:row>
    <x:row r="21" ht="46" customHeight="1">
      <x:c r="A21" s="80" t="n">
        <x:v>6</x:v>
      </x:c>
      <x:c r="B21" s="76" t="str">
        <x:v>Срез всех месяцев нормализован</x:v>
      </x:c>
      <x:c r="C21" s="76" t="str">
        <x:v>Все 12 месяцев требуют повторного R005-прохода; готовых к загрузке месяцев нет.</x:v>
      </x:c>
      <x:c r="D21" s="76"/>
      <x:c r="E21" s="76"/>
      <x:c r="F21" s="76"/>
      <x:c r="G21" s="76"/>
      <x:c r="H21" s="76"/>
    </x:row>
    <x:row r="22" ht="52" customHeight="1">
      <x:c r="A22" s="123" t="n">
        <x:v>7</x:v>
      </x:c>
      <x:c r="B22" s="121" t="str">
        <x:v>Точное исключение НДФЛ Стройиндустрия</x:v>
      </x:c>
      <x:c r="C22" s="121" t="str">
        <x:v>UK-R005-OVR-NDFL-STROY-001: STORNO «НДФЛ» [ЦБ-000241], REPOST «Страховые взносы и пенсионные отчисления» [00-000018] только при точной идентичности.</x:v>
      </x:c>
      <x:c r="D22" s="121"/>
      <x:c r="E22" s="121"/>
      <x:c r="F22" s="121"/>
      <x:c r="G22" s="121"/>
      <x:c r="H22" s="121"/>
    </x:row>
    <x:row r="23" ht="52" customHeight="1">
      <x:c r="A23" s="123" t="n">
        <x:v>8</x:v>
      </x:c>
      <x:c r="B23" s="121" t="str">
        <x:v>Июнь 2025 завершен по бизнес-сверке</x:v>
      </x:c>
      <x:c r="C23" s="121" t="str">
        <x:v>Старый R006 устарел и не загружается. Нужны новый пакет, PairID/дубли и live preflight; ready_to_upload=false.</x:v>
      </x:c>
      <x:c r="D23" s="121"/>
      <x:c r="E23" s="121"/>
      <x:c r="F23" s="121"/>
      <x:c r="G23" s="121"/>
      <x:c r="H23" s="121"/>
    </x:row>
    <x:row r="24" ht="78" customHeight="1">
      <x:c r="A24" s="21" t="n">
        <x:v>11</x:v>
      </x:c>
      <x:c r="B24" s="21" t="str">
        <x:v>Нулевая группа переводится в STORNO/REPOST</x:v>
      </x:c>
      <x:c r="C24" s="21"/>
      <x:c r="D24" s="21" t="str">
        <x:v>R005-A04: при нулевой сумме доказанных листовых дельт формируется полный черновик переноса статьи; mapping-класс запрещен. Знаки пары: STORNO = −source_amount, REPOST = source_amount, итог пары = 0.</x:v>
      </x:c>
      <x:c r="E24" s="21"/>
      <x:c r="F24" s="21"/>
      <x:c r="G24" s="21"/>
      <x:c r="H24" s="21"/>
    </x:row>
    <x:row r="25" ht="90" customHeight="1">
      <x:c r="A25" s="21" t="n">
        <x:v>10</x:v>
      </x:c>
      <x:c r="B25" s="21" t="str">
        <x:v>Февраль 2025 разобран по актуальным входам</x:v>
      </x:c>
      <x:c r="C25" s="21"/>
      <x:c r="D25" s="21" t="str">
        <x:v>R005-A03: 51 точная пара / 102 строки; НДФЛ 45 пар на 975 705,00. Депозиты 4 739 619,89 — UPDATE_MAPPING. 29 000 — BLOCKED_SOURCE_TRACE; −2,06 — NO_POSTING. Выпуск остается BLOCKED.</x:v>
      </x:c>
      <x:c r="E25" s="21"/>
      <x:c r="F25" s="21"/>
      <x:c r="G25" s="21"/>
      <x:c r="H25" s="21"/>
    </x:row>
  </x:sheetData>
  <x:mergeCells>
    <x:mergeCell ref="A1:H1"/>
    <x:mergeCell ref="A2:H2"/>
    <x:mergeCell ref="A4:H4"/>
    <x:mergeCell ref="A15:H15"/>
    <x:mergeCell ref="C16:H16"/>
    <x:mergeCell ref="C17:H17"/>
    <x:mergeCell ref="C18:H18"/>
    <x:mergeCell ref="C19:H19"/>
    <x:mergeCell ref="C20:H20"/>
    <x:mergeCell ref="C21:H21"/>
    <x:mergeCell ref="C22:H22"/>
    <x:mergeCell ref="C23:H23"/>
    <x:mergeCell ref="D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8" hidden="0" customWidth="1"/>
    <x:col min="4" max="4" width="28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  <x:col min="12" max="12" width="11" hidden="0" customWidth="1"/>
    <x:col min="13" max="13" width="24" hidden="0" customWidth="1"/>
    <x:col min="14" max="14" width="58" hidden="0" customWidth="1"/>
    <x:col min="15" max="15" width="14" hidden="0" customWidth="1"/>
  </x:cols>
  <x:sheetData>
    <x:row r="1" ht="34" customHeight="1">
      <x:c r="A1" s="69" t="str">
        <x:v>Статус месяцев 2025 после консолидации</x:v>
      </x:c>
      <x:c r="B1" s="69" t="str">
        <x:v>Статус месяцев 2025 после консолидации</x:v>
      </x:c>
      <x:c r="C1" s="69" t="str">
        <x:v>Статус месяцев 2025 после консолидации</x:v>
      </x:c>
      <x:c r="D1" s="69" t="str">
        <x:v>Статус месяцев 2025 после консолидации</x:v>
      </x:c>
      <x:c r="E1" s="69" t="str">
        <x:v>Статус месяцев 2025 после консолидации</x:v>
      </x:c>
      <x:c r="F1" s="69" t="str">
        <x:v>Статус месяцев 2025 после консолидации</x:v>
      </x:c>
      <x:c r="G1" s="69" t="str">
        <x:v>Статус месяцев 2025 после консолидации</x:v>
      </x:c>
      <x:c r="H1" s="69" t="str">
        <x:v>Статус месяцев 2025 после консолидации</x:v>
      </x:c>
      <x:c r="I1" s="69" t="str">
        <x:v>Статус месяцев 2025 после консолидации</x:v>
      </x:c>
      <x:c r="J1" s="69" t="str">
        <x:v>Статус месяцев 2025 после консолидации</x:v>
      </x:c>
      <x:c r="K1" s="69" t="str">
        <x:v>Статус месяцев 2025 после консолидации</x:v>
      </x:c>
      <x:c r="L1" s="69" t="str">
        <x:v>Статус месяцев 2025 после консолидации</x:v>
      </x:c>
      <x:c r="M1" s="69" t="str">
        <x:v>Статус месяцев 2025 после консолидации</x:v>
      </x:c>
      <x:c r="N1" s="69" t="str">
        <x:v>Статус месяцев 2025 после консолидации</x:v>
      </x:c>
      <x:c r="O1" s="69" t="str">
        <x:v>Статус месяцев 2025 после консолидации</x:v>
      </x:c>
    </x:row>
    <x:row r="2" ht="34" customHeight="1">
      <x:c r="A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B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C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D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E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F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G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H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I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J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K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L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M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N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  <x:c r="O2" s="41" t="str">
        <x:v>Статусы взяты из текущих локальных findings/manifest. Количество пар означает доказательные черновики, а не разрешённые строки загрузки.</x:v>
      </x:c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</x:row>
    <x:row r="4">
      <x:c r="A4" s="72" t="str">
        <x:v>Период</x:v>
      </x:c>
      <x:c r="B4" s="72" t="str">
        <x:v>Исходный статус</x:v>
      </x:c>
      <x:c r="C4" s="72" t="str">
        <x:v>Версия в источнике</x:v>
      </x:c>
      <x:c r="D4" s="72" t="str">
        <x:v>Иерархия</x:v>
      </x:c>
      <x:c r="E4" s="72" t="str">
        <x:v>Инталев, %</x:v>
      </x:c>
      <x:c r="F4" s="72" t="str">
        <x:v>ERP, %</x:v>
      </x:c>
      <x:c r="G4" s="72" t="str">
        <x:v>Пары-черновики</x:v>
      </x:c>
      <x:c r="H4" s="72" t="str">
        <x:v>Строки-черновики</x:v>
      </x:c>
      <x:c r="I4" s="72" t="str">
        <x:v>Пакет создан</x:v>
      </x:c>
      <x:c r="J4" s="72" t="str">
        <x:v>Блокеров</x:v>
      </x:c>
      <x:c r="K4" s="72" t="str">
        <x:v>Release</x:v>
      </x:c>
      <x:c r="L4" s="72" t="str">
        <x:v>Ready</x:v>
      </x:c>
      <x:c r="M4" s="72" t="str">
        <x:v>R005</x:v>
      </x:c>
      <x:c r="N4" s="72" t="str">
        <x:v>Главный блокер</x:v>
      </x:c>
      <x:c r="O4" s="72" t="str">
        <x:v>Итог</x:v>
      </x:c>
    </x:row>
    <x:row r="5" ht="60" customHeight="1">
      <x:c r="A5" s="89" t="str">
        <x:v>2025-01</x:v>
      </x:c>
      <x:c r="B5" s="89" t="str">
        <x:v>BUSINESS_COMPLETED / R001_SUPERSEDED</x:v>
      </x:c>
      <x:c r="C5" s="89" t="str">
        <x:v>R005-A02 / R002</x:v>
      </x:c>
      <x:c r="D5" s="89" t="str">
        <x:v>FZP_BRANCH_COMPLETE / FULL_R005_REPASS_OPEN</x:v>
      </x:c>
      <x:c r="E5" s="90"/>
      <x:c r="F5" s="90"/>
      <x:c r="G5" s="91" t="n">
        <x:v>44</x:v>
      </x:c>
      <x:c r="H5" s="91" t="n">
        <x:v>88</x:v>
      </x:c>
      <x:c r="I5" s="91" t="str">
        <x:v>ДА</x:v>
      </x:c>
      <x:c r="J5" s="91" t="n">
        <x:v>6</x:v>
      </x:c>
      <x:c r="K5" s="89" t="str">
        <x:v>НЕТ</x:v>
      </x:c>
      <x:c r="L5" s="89" t="str">
        <x:v>НЕТ</x:v>
      </x:c>
      <x:c r="M5" s="89" t="str">
        <x:v>R005_REPASS_AND_LIVE_GATES_REQUIRED</x:v>
      </x:c>
      <x:c r="N5" s="89" t="str">
        <x:v>Бизнес-сверка января завершена. R002: 44 пары ФЗП → НДФЛ на 824 716,00; ИТ и 15 000 повторно не проводятся. До выпуска нужны полный R005 repass, проверка дублей, закрытие 26→99, ОСВ и live preflight 1С.</x:v>
      </x:c>
      <x:c r="O5" s="75" t="str">
        <x:f>IF(AND(E5=100,F5=100,K5="ДА",L5="ДА",M5="PASS"),"READY","BLOCKED")</x:f>
        <x:v>BLOCKED</x:v>
      </x:c>
    </x:row>
    <x:row r="6" ht="110" customHeight="1">
      <x:c r="A6" s="73" t="str">
        <x:v>2025-02</x:v>
      </x:c>
      <x:c r="B6" s="73" t="str">
        <x:v>EVIDENCE_RECONCILIATION_COMPLETED / RELEASE_BLOCKED</x:v>
      </x:c>
      <x:c r="C6" s="73" t="str">
        <x:v>R005-A03 / R001</x:v>
      </x:c>
      <x:c r="D6" s="73" t="str">
        <x:v>FULL_VISIBLE_EXPANSION / 11_CHILD_SUM_FAIL</x:v>
      </x:c>
      <x:c r="E6" s="92" t="n">
        <x:v>100</x:v>
      </x:c>
      <x:c r="F6" s="92" t="n">
        <x:v>100</x:v>
      </x:c>
      <x:c r="G6" s="93" t="n">
        <x:v>51</x:v>
      </x:c>
      <x:c r="H6" s="93" t="n">
        <x:v>102</x:v>
      </x:c>
      <x:c r="I6" s="93" t="str">
        <x:v>ДА</x:v>
      </x:c>
      <x:c r="J6" s="93" t="n">
        <x:v>5</x:v>
      </x:c>
      <x:c r="K6" s="73" t="str">
        <x:v>НЕТ</x:v>
      </x:c>
      <x:c r="L6" s="73" t="str">
        <x:v>НЕТ</x:v>
      </x:c>
      <x:c r="M6" s="73" t="str">
        <x:v>R005_CHILD_SUM_AND_LIVE_GATES_REQUIRED</x:v>
      </x:c>
      <x:c r="N6" s="73" t="str">
        <x:v>51 пар доказаны по сводному и индивидуальным ERP-журналам. Открыты: 11 child_sum, live PairID/UploadID, ОСВ/закрытие, 29 000 без ERP-строки и −2,06 без ERP-стороны. Депозиты — только UPDATE_MAPPING.</x:v>
      </x:c>
      <x:c r="O6" s="75" t="str">
        <x:v>BLOCKED</x:v>
      </x:c>
    </x:row>
    <x:row r="7">
      <x:c r="A7" s="89" t="str">
        <x:v>2025-03</x:v>
      </x:c>
      <x:c r="B7" s="89" t="str">
        <x:v>BLOCKED_R004_INCOMPLETE</x:v>
      </x:c>
      <x:c r="C7" s="89" t="str">
        <x:v>R004</x:v>
      </x:c>
      <x:c r="D7" s="89" t="str">
        <x:v>NOT_COMPLETE</x:v>
      </x:c>
      <x:c r="E7" s="90"/>
      <x:c r="F7" s="90"/>
      <x:c r="G7" s="91"/>
      <x:c r="H7" s="91"/>
      <x:c r="I7" s="91" t="str">
        <x:v>НЕТ</x:v>
      </x:c>
      <x:c r="J7" s="91"/>
      <x:c r="K7" s="89" t="str">
        <x:v>НЕТ</x:v>
      </x:c>
      <x:c r="L7" s="89" t="str">
        <x:v>НЕТ</x:v>
      </x:c>
      <x:c r="M7" s="89" t="str">
        <x:v>R005_REPASS_REQUIRED</x:v>
      </x:c>
      <x:c r="N7" s="89" t="str">
        <x:v>Combined January-April forming report did not calculate the full R004/R005 hierarchy and trace metrics.</x:v>
      </x:c>
      <x:c r="O7" s="75" t="str">
        <x:f>IF(AND(E7=100,F7=100,K7="ДА",L7="ДА",M7="PASS"),"READY","BLOCKED")</x:f>
        <x:v>BLOCKED</x:v>
      </x:c>
    </x:row>
    <x:row r="8">
      <x:c r="A8" s="73" t="str">
        <x:v>2025-04</x:v>
      </x:c>
      <x:c r="B8" s="73" t="str">
        <x:v>BLOCKED_R004_INCOMPLETE</x:v>
      </x:c>
      <x:c r="C8" s="73" t="str">
        <x:v>R004</x:v>
      </x:c>
      <x:c r="D8" s="73" t="str">
        <x:v>NOT_COMPLETE</x:v>
      </x:c>
      <x:c r="E8" s="92"/>
      <x:c r="F8" s="92"/>
      <x:c r="G8" s="93"/>
      <x:c r="H8" s="93"/>
      <x:c r="I8" s="93" t="str">
        <x:v>НЕТ</x:v>
      </x:c>
      <x:c r="J8" s="93"/>
      <x:c r="K8" s="73" t="str">
        <x:v>НЕТ</x:v>
      </x:c>
      <x:c r="L8" s="73" t="str">
        <x:v>НЕТ</x:v>
      </x:c>
      <x:c r="M8" s="73" t="str">
        <x:v>R005_REPASS_REQUIRED</x:v>
      </x:c>
      <x:c r="N8" s="73" t="str">
        <x:v>Combined January-April forming report did not calculate the full R004/R005 hierarchy and trace metrics.</x:v>
      </x:c>
      <x:c r="O8" s="75" t="str">
        <x:f>IF(AND(E8=100,F8=100,K8="ДА",L8="ДА",M8="PASS"),"READY","BLOCKED")</x:f>
        <x:v>BLOCKED</x:v>
      </x:c>
    </x:row>
    <x:row r="9">
      <x:c r="A9" s="89" t="str">
        <x:v>2025-05</x:v>
      </x:c>
      <x:c r="B9" s="89" t="str">
        <x:v>BLOCKED</x:v>
      </x:c>
      <x:c r="C9" s="89" t="str">
        <x:v>PRE_R005</x:v>
      </x:c>
      <x:c r="D9" s="89" t="str">
        <x:v>PASS_COVERAGE_BLOCKED_TARGET_XLSX_TRACE</x:v>
      </x:c>
      <x:c r="E9" s="90" t="n">
        <x:v>100</x:v>
      </x:c>
      <x:c r="F9" s="90" t="n">
        <x:v>100</x:v>
      </x:c>
      <x:c r="G9" s="91" t="n">
        <x:v>64</x:v>
      </x:c>
      <x:c r="H9" s="91" t="n">
        <x:v>128</x:v>
      </x:c>
      <x:c r="I9" s="91" t="str">
        <x:v>ДА</x:v>
      </x:c>
      <x:c r="J9" s="91" t="n">
        <x:v>6</x:v>
      </x:c>
      <x:c r="K9" s="89" t="str">
        <x:v>НЕТ</x:v>
      </x:c>
      <x:c r="L9" s="89" t="str">
        <x:v>НЕТ</x:v>
      </x:c>
      <x:c r="M9" s="89" t="str">
        <x:v>R005_REPASS_REQUIRED</x:v>
      </x:c>
      <x:c r="N9" s="89" t="str">
        <x:v>No month currently contains complete canonical R005 evidence including live 1C preflight.</x:v>
      </x:c>
      <x:c r="O9" s="75" t="str">
        <x:f>IF(AND(E9=100,F9=100,K9="ДА",L9="ДА",M9="PASS"),"READY","BLOCKED")</x:f>
        <x:v>BLOCKED</x:v>
      </x:c>
    </x:row>
    <x:row r="10" ht="62" customHeight="1">
      <x:c r="A10" s="73" t="str">
        <x:v>2025-06</x:v>
      </x:c>
      <x:c r="B10" s="73" t="str">
        <x:v>BUSINESS_COMPLETED / R006_SUPERSEDED</x:v>
      </x:c>
      <x:c r="C10" s="73" t="str">
        <x:v>R005 + UK-R005-OVR-NDFL-STROY-001</x:v>
      </x:c>
      <x:c r="D10" s="73" t="str">
        <x:v>RULE_UPDATE_PACKAGE_REBUILD_REQUIRED</x:v>
      </x:c>
      <x:c r="E10" s="92"/>
      <x:c r="F10" s="92"/>
      <x:c r="G10" s="93" t="n">
        <x:v>52</x:v>
      </x:c>
      <x:c r="H10" s="93"/>
      <x:c r="I10" s="93" t="str">
        <x:v>НЕТ</x:v>
      </x:c>
      <x:c r="J10" s="93" t="n">
        <x:v>5</x:v>
      </x:c>
      <x:c r="K10" s="73" t="str">
        <x:v>НЕТ</x:v>
      </x:c>
      <x:c r="L10" s="73" t="str">
        <x:v>НЕТ</x:v>
      </x:c>
      <x:c r="M10" s="73" t="str">
        <x:v>R005_RULE_UPDATE_PACKAGE_REBUILD_REQUIRED</x:v>
      </x:c>
      <x:c r="N10" s="73" t="str">
        <x:v>Сверка завершена, но R006 устарел: добавить пару 4 875,00 НДФЛ → страховые взносы, пересобрать пакет и пройти live preflight.</x:v>
      </x:c>
      <x:c r="O10" s="75" t="str">
        <x:f>IF(AND(E10=100,F10=100,K10="ДА",L10="ДА",M10="PASS"),"READY","BLOCKED")</x:f>
        <x:v>BLOCKED</x:v>
      </x:c>
    </x:row>
    <x:row r="11">
      <x:c r="A11" s="89" t="str">
        <x:v>2025-07</x:v>
      </x:c>
      <x:c r="B11" s="89" t="str">
        <x:v>BLOCKED</x:v>
      </x:c>
      <x:c r="C11" s="89" t="str">
        <x:v>PRE_R005</x:v>
      </x:c>
      <x:c r="D11" s="89" t="str">
        <x:v>R005_REPASS_REQUIRED</x:v>
      </x:c>
      <x:c r="E11" s="90"/>
      <x:c r="F11" s="90"/>
      <x:c r="G11" s="91"/>
      <x:c r="H11" s="91"/>
      <x:c r="I11" s="91" t="str">
        <x:v>НЕТ</x:v>
      </x:c>
      <x:c r="J11" s="91" t="n">
        <x:v>4</x:v>
      </x:c>
      <x:c r="K11" s="89" t="str">
        <x:v>НЕТ</x:v>
      </x:c>
      <x:c r="L11" s="89" t="str">
        <x:v>НЕТ</x:v>
      </x:c>
      <x:c r="M11" s="89" t="str">
        <x:v>R005_REPASS_REQUIRED</x:v>
      </x:c>
      <x:c r="N11" s="89" t="str">
        <x:v>No month currently contains complete canonical R005 evidence including live 1C preflight.</x:v>
      </x:c>
      <x:c r="O11" s="75" t="str">
        <x:f>IF(AND(E11=100,F11=100,K11="ДА",L11="ДА",M11="PASS"),"READY","BLOCKED")</x:f>
        <x:v>BLOCKED</x:v>
      </x:c>
    </x:row>
    <x:row r="12">
      <x:c r="A12" s="73" t="str">
        <x:v>2025-08</x:v>
      </x:c>
      <x:c r="B12" s="73" t="str">
        <x:v>BLOCKED</x:v>
      </x:c>
      <x:c r="C12" s="73" t="str">
        <x:v>PRE_R005</x:v>
      </x:c>
      <x:c r="D12" s="73" t="str">
        <x:v>R005_REPASS_REQUIRED</x:v>
      </x:c>
      <x:c r="E12" s="92"/>
      <x:c r="F12" s="92"/>
      <x:c r="G12" s="93" t="n">
        <x:v>56</x:v>
      </x:c>
      <x:c r="H12" s="93"/>
      <x:c r="I12" s="93" t="str">
        <x:v>НЕТ</x:v>
      </x:c>
      <x:c r="J12" s="93"/>
      <x:c r="K12" s="73" t="str">
        <x:v>НЕТ</x:v>
      </x:c>
      <x:c r="L12" s="73" t="str">
        <x:v>НЕТ</x:v>
      </x:c>
      <x:c r="M12" s="73" t="str">
        <x:v>R005_REPASS_REQUIRED</x:v>
      </x:c>
      <x:c r="N12" s="73" t="str">
        <x:v>No month currently contains complete canonical R005 evidence including live 1C preflight.</x:v>
      </x:c>
      <x:c r="O12" s="75" t="str">
        <x:f>IF(AND(E12=100,F12=100,K12="ДА",L12="ДА",M12="PASS"),"READY","BLOCKED")</x:f>
        <x:v>BLOCKED</x:v>
      </x:c>
    </x:row>
    <x:row r="13">
      <x:c r="A13" s="89" t="str">
        <x:v>2025-09</x:v>
      </x:c>
      <x:c r="B13" s="89" t="str">
        <x:v>BLOCKED</x:v>
      </x:c>
      <x:c r="C13" s="89" t="str">
        <x:v>PRE_R005</x:v>
      </x:c>
      <x:c r="D13" s="89" t="str">
        <x:v>R005_REPASS_REQUIRED</x:v>
      </x:c>
      <x:c r="E13" s="90"/>
      <x:c r="F13" s="90"/>
      <x:c r="G13" s="91" t="n">
        <x:v>62</x:v>
      </x:c>
      <x:c r="H13" s="91" t="n">
        <x:v>124</x:v>
      </x:c>
      <x:c r="I13" s="91" t="str">
        <x:v>НЕТ</x:v>
      </x:c>
      <x:c r="J13" s="91" t="n">
        <x:v>4</x:v>
      </x:c>
      <x:c r="K13" s="89" t="str">
        <x:v>НЕТ</x:v>
      </x:c>
      <x:c r="L13" s="89" t="str">
        <x:v>НЕТ</x:v>
      </x:c>
      <x:c r="M13" s="89" t="str">
        <x:v>R005_REPASS_REQUIRED</x:v>
      </x:c>
      <x:c r="N13" s="89" t="str">
        <x:v>No month currently contains complete canonical R005 evidence including live 1C preflight.</x:v>
      </x:c>
      <x:c r="O13" s="75" t="str">
        <x:f>IF(AND(E13=100,F13=100,K13="ДА",L13="ДА",M13="PASS"),"READY","BLOCKED")</x:f>
        <x:v>BLOCKED</x:v>
      </x:c>
    </x:row>
    <x:row r="14">
      <x:c r="A14" s="73" t="str">
        <x:v>2025-10</x:v>
      </x:c>
      <x:c r="B14" s="73" t="str">
        <x:v>BLOCKED</x:v>
      </x:c>
      <x:c r="C14" s="73" t="str">
        <x:v>PRE_R005</x:v>
      </x:c>
      <x:c r="D14" s="73" t="str">
        <x:v>R005_REPASS_REQUIRED</x:v>
      </x:c>
      <x:c r="E14" s="92"/>
      <x:c r="F14" s="92"/>
      <x:c r="G14" s="93"/>
      <x:c r="H14" s="93"/>
      <x:c r="I14" s="93" t="str">
        <x:v>НЕТ</x:v>
      </x:c>
      <x:c r="J14" s="93" t="n">
        <x:v>4</x:v>
      </x:c>
      <x:c r="K14" s="73" t="str">
        <x:v>НЕТ</x:v>
      </x:c>
      <x:c r="L14" s="73" t="str">
        <x:v>НЕТ</x:v>
      </x:c>
      <x:c r="M14" s="73" t="str">
        <x:v>R005_REPASS_REQUIRED</x:v>
      </x:c>
      <x:c r="N14" s="73" t="str">
        <x:v>No month currently contains complete canonical R005 evidence including live 1C preflight.</x:v>
      </x:c>
      <x:c r="O14" s="75" t="str">
        <x:f>IF(AND(E14=100,F14=100,K14="ДА",L14="ДА",M14="PASS"),"READY","BLOCKED")</x:f>
        <x:v>BLOCKED</x:v>
      </x:c>
    </x:row>
    <x:row r="15">
      <x:c r="A15" s="89" t="str">
        <x:v>2025-11</x:v>
      </x:c>
      <x:c r="B15" s="89" t="str">
        <x:v>BLOCKED_REVIEW_REQUIRED</x:v>
      </x:c>
      <x:c r="C15" s="89" t="str">
        <x:v>PRE_R005</x:v>
      </x:c>
      <x:c r="D15" s="89" t="str">
        <x:v>R005_REPASS_REQUIRED</x:v>
      </x:c>
      <x:c r="E15" s="90"/>
      <x:c r="F15" s="90"/>
      <x:c r="G15" s="91" t="n">
        <x:v>55</x:v>
      </x:c>
      <x:c r="H15" s="91" t="n">
        <x:v>110</x:v>
      </x:c>
      <x:c r="I15" s="91" t="str">
        <x:v>НЕТ</x:v>
      </x:c>
      <x:c r="J15" s="91" t="n">
        <x:v>3</x:v>
      </x:c>
      <x:c r="K15" s="89" t="str">
        <x:v>НЕТ</x:v>
      </x:c>
      <x:c r="L15" s="89" t="str">
        <x:v>НЕТ</x:v>
      </x:c>
      <x:c r="M15" s="89" t="str">
        <x:v>R005_REPASS_REQUIRED</x:v>
      </x:c>
      <x:c r="N15" s="89" t="str">
        <x:v>No month currently contains complete canonical R005 evidence including live 1C preflight.</x:v>
      </x:c>
      <x:c r="O15" s="75" t="str">
        <x:f>IF(AND(E15=100,F15=100,K15="ДА",L15="ДА",M15="PASS"),"READY","BLOCKED")</x:f>
        <x:v>BLOCKED</x:v>
      </x:c>
    </x:row>
    <x:row r="16">
      <x:c r="A16" s="76" t="str">
        <x:v>2025-12</x:v>
      </x:c>
      <x:c r="B16" s="76" t="str">
        <x:v>BLOCKED</x:v>
      </x:c>
      <x:c r="C16" s="76" t="str">
        <x:v>PRE_R005</x:v>
      </x:c>
      <x:c r="D16" s="76" t="str">
        <x:v>R005_REPASS_REQUIRED</x:v>
      </x:c>
      <x:c r="E16" s="94"/>
      <x:c r="F16" s="94"/>
      <x:c r="G16" s="95" t="n">
        <x:v>59</x:v>
      </x:c>
      <x:c r="H16" s="95" t="n">
        <x:v>118</x:v>
      </x:c>
      <x:c r="I16" s="95" t="str">
        <x:v>ДА</x:v>
      </x:c>
      <x:c r="J16" s="95"/>
      <x:c r="K16" s="76" t="str">
        <x:v>НЕТ</x:v>
      </x:c>
      <x:c r="L16" s="76" t="str">
        <x:v>НЕТ</x:v>
      </x:c>
      <x:c r="M16" s="76" t="str">
        <x:v>R005_REPASS_REQUIRED</x:v>
      </x:c>
      <x:c r="N16" s="76" t="str">
        <x:v>No month currently contains complete canonical R005 evidence including live 1C preflight.</x:v>
      </x:c>
      <x:c r="O16" s="96" t="str">
        <x:f>IF(AND(E16=100,F16=100,K16="ДА",L16="ДА",M16="PASS"),"READY","BLOCKED")</x:f>
        <x:v>BLOCKED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0" hidden="0" customWidth="1"/>
    <x:col min="4" max="4" width="16" hidden="0" customWidth="1"/>
    <x:col min="5" max="5" width="36" hidden="0" customWidth="1"/>
    <x:col min="6" max="6" width="62" hidden="0" customWidth="1"/>
    <x:col min="7" max="7" width="13" hidden="0" customWidth="1"/>
    <x:col min="8" max="8" width="16" hidden="0" customWidth="1"/>
    <x:col min="9" max="9" width="42" hidden="0" customWidth="1"/>
  </x:cols>
  <x:sheetData>
    <x:row r="1" ht="34" customHeight="1">
      <x:c r="A1" s="69" t="str">
        <x:v>Реестр решений и границы проводок</x:v>
      </x:c>
      <x:c r="B1" s="69" t="str">
        <x:v>Реестр решений и границы проводок</x:v>
      </x:c>
      <x:c r="C1" s="69" t="str">
        <x:v>Реестр решений и границы проводок</x:v>
      </x:c>
      <x:c r="D1" s="69" t="str">
        <x:v>Реестр решений и границы проводок</x:v>
      </x:c>
      <x:c r="E1" s="69" t="str">
        <x:v>Реестр решений и границы проводок</x:v>
      </x:c>
      <x:c r="F1" s="69" t="str">
        <x:v>Реестр решений и границы проводок</x:v>
      </x:c>
      <x:c r="G1" s="69" t="str">
        <x:v>Реестр решений и границы проводок</x:v>
      </x:c>
      <x:c r="H1" s="69" t="str">
        <x:v>Реестр решений и границы проводок</x:v>
      </x:c>
      <x:c r="I1" s="69" t="str">
        <x:v>Реестр решений и границы проводок</x:v>
      </x:c>
    </x:row>
    <x:row r="2" ht="34" customHeight="1">
      <x:c r="A2" s="41" t="str">
        <x:v>Сумма решения не означает готовность к загрузке. В общий пакет попадает только POSTING после полного R005-гейта.</x:v>
      </x:c>
      <x:c r="B2" s="41" t="str">
        <x:v>Сумма решения не означает готовность к загрузке. В общий пакет попадает только POSTING после полного R005-гейта.</x:v>
      </x:c>
      <x:c r="C2" s="41" t="str">
        <x:v>Сумма решения не означает готовность к загрузке. В общий пакет попадает только POSTING после полного R005-гейта.</x:v>
      </x:c>
      <x:c r="D2" s="41" t="str">
        <x:v>Сумма решения не означает готовность к загрузке. В общий пакет попадает только POSTING после полного R005-гейта.</x:v>
      </x:c>
      <x:c r="E2" s="41" t="str">
        <x:v>Сумма решения не означает готовность к загрузке. В общий пакет попадает только POSTING после полного R005-гейта.</x:v>
      </x:c>
      <x:c r="F2" s="41" t="str">
        <x:v>Сумма решения не означает готовность к загрузке. В общий пакет попадает только POSTING после полного R005-гейта.</x:v>
      </x:c>
      <x:c r="G2" s="41" t="str">
        <x:v>Сумма решения не означает готовность к загрузке. В общий пакет попадает только POSTING после полного R005-гейта.</x:v>
      </x:c>
      <x:c r="H2" s="41" t="str">
        <x:v>Сумма решения не означает готовность к загрузке. В общий пакет попадает только POSTING после полного R005-гейта.</x:v>
      </x:c>
      <x:c r="I2" s="41" t="str">
        <x:v>Сумма решения не означает готовность к загрузке. В общий пакет попадает только POSTING после полного R005-гейта.</x:v>
      </x:c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</x:row>
    <x:row r="4">
      <x:c r="A4" s="72" t="str">
        <x:v>Decision_ID</x:v>
      </x:c>
      <x:c r="B4" s="72" t="str">
        <x:v>Период</x:v>
      </x:c>
      <x:c r="C4" s="72" t="str">
        <x:v>Класс</x:v>
      </x:c>
      <x:c r="D4" s="72" t="str">
        <x:v>Условная сумма</x:v>
      </x:c>
      <x:c r="E4" s="72" t="str">
        <x:v>Статус</x:v>
      </x:c>
      <x:c r="F4" s="72" t="str">
        <x:v>Описание</x:v>
      </x:c>
      <x:c r="G4" s="72" t="str">
        <x:v>В проводки</x:v>
      </x:c>
      <x:c r="H4" s="72" t="str">
        <x:v>Сумма в пакет</x:v>
      </x:c>
      <x:c r="I4" s="72" t="str">
        <x:v>Комментарий</x:v>
      </x:c>
    </x:row>
    <x:row r="5">
      <x:c r="A5" s="89" t="str">
        <x:v>UK-2025-01-MBP-38603</x:v>
      </x:c>
      <x:c r="B5" s="89" t="str">
        <x:v>2025-01</x:v>
      </x:c>
      <x:c r="C5" s="89" t="str">
        <x:v>UPDATE_MAPPING</x:v>
      </x:c>
      <x:c r="D5" s="100" t="n">
        <x:v>0</x:v>
      </x:c>
      <x:c r="E5" s="89" t="str">
        <x:v>NEEDS_EXACT_TARGET_IDENTITY</x:v>
      </x:c>
      <x:c r="F5" s="89" t="str">
        <x:v>Tea kettle, blinds and patch cord belong to MBP; this classification does not itself prove a posting.</x:v>
      </x:c>
      <x:c r="G5" s="75" t="str">
        <x:f>IF(AND(C5="POSTING",E5="READY_TO_UPLOAD"),"ДА","НЕТ")</x:f>
        <x:v>НЕТ</x:v>
      </x:c>
      <x:c r="H5" s="100" t="n">
        <x:f>IF(G5="ДА",D5,0)</x:f>
        <x:v>0</x:v>
      </x:c>
      <x:c r="I5" s="89" t="str">
        <x:v>Непроводочное решение</x:v>
      </x:c>
    </x:row>
    <x:row r="6" ht="96" customHeight="1">
      <x:c r="A6" s="73" t="str">
        <x:v>UK-2025-02-GK-29000</x:v>
      </x:c>
      <x:c r="B6" s="73" t="str">
        <x:v>2025-02</x:v>
      </x:c>
      <x:c r="C6" s="73" t="str">
        <x:v>BLOCKED_SOURCE_TRACE_OR_UPDATE_FORMULA</x:v>
      </x:c>
      <x:c r="D6" s="101" t="n">
        <x:v>29000</x:v>
      </x:c>
      <x:c r="E6" s="73" t="str">
        <x:v>SUPERSEDED_BY_CURRENT_R005_A03</x:v>
      </x:c>
      <x:c r="F6" s="73" t="str">
        <x:v>В текущем ERP ОПИУ сумма 29 000 видна, но в свежем сводном и индивидуальных ERP-журналах нет точной активной строки. Intalev содержит закрывающую строку.</x:v>
      </x:c>
      <x:c r="G6" s="75" t="str">
        <x:v>НЕТ</x:v>
      </x:c>
      <x:c r="H6" s="101" t="n">
        <x:v>0</x:v>
      </x:c>
      <x:c r="I6" s="73" t="str">
        <x:v>Старый February POSTING не применять. Одностороннюю проводку не создавать.</x:v>
      </x:c>
    </x:row>
    <x:row r="7" ht="96" customHeight="1">
      <x:c r="A7" s="89" t="str">
        <x:v>UK-2025-02-KOVALEV-11840</x:v>
      </x:c>
      <x:c r="B7" s="89" t="str">
        <x:v>2025-02</x:v>
      </x:c>
      <x:c r="C7" s="89" t="str">
        <x:v>HISTORICAL_NOT_RECONFIRMED</x:v>
      </x:c>
      <x:c r="D7" s="100" t="n">
        <x:v>11840</x:v>
      </x:c>
      <x:c r="E7" s="89" t="str">
        <x:v>SUPERSEDED_BY_CURRENT_MONTH_INPUTS</x:v>
      </x:c>
      <x:c r="F7" s="89" t="str">
        <x:v>Старое пользовательское исключение счета 84 не переносится автоматически в новую февральскую ревизию: текущая точная трасса не вошла в доказанные 51 пару.</x:v>
      </x:c>
      <x:c r="G7" s="75" t="str">
        <x:v>НЕТ</x:v>
      </x:c>
      <x:c r="H7" s="100" t="n">
        <x:v>0</x:v>
      </x:c>
      <x:c r="I7" s="89" t="str">
        <x:v>Нужна отдельная повторная точная идентичность по текущим файлам, если решение еще актуально.</x:v>
      </x:c>
    </x:row>
    <x:row r="8" ht="58" customHeight="1">
      <x:c r="A8" s="73" t="str">
        <x:v>UK-2025-06-NDFL-STROYINDUSTRIYA-4875</x:v>
      </x:c>
      <x:c r="B8" s="73" t="str">
        <x:v>2025-06</x:v>
      </x:c>
      <x:c r="C8" s="73" t="str">
        <x:v>POSTING</x:v>
      </x:c>
      <x:c r="D8" s="101" t="n">
        <x:v>4875</x:v>
      </x:c>
      <x:c r="E8" s="101" t="str">
        <x:v>CONFIRMED_RULE_UPDATE_BLOCKED_RELEASE</x:v>
      </x:c>
      <x:c r="F8" s="101" t="str">
        <x:v>Точная строка «НДФЛ Стройиндустрия» переклассифицируется: STORNO НДФЛ [ЦБ-000241], REPOST страховые взносы [00-000018].</x:v>
      </x:c>
      <x:c r="G8" s="112" t="str">
        <x:f>IF(AND(C8="POSTING",E8="READY_TO_UPLOAD"),"ДА","НЕТ")</x:f>
        <x:v>НЕТ</x:v>
      </x:c>
      <x:c r="H8" s="101" t="n">
        <x:f>IF(G8="ДА",D8,0)</x:f>
        <x:v>0</x:v>
      </x:c>
      <x:c r="I8" s="73" t="str">
        <x:v>Только в новом пакете после PairID/дублей и live preflight.</x:v>
      </x:c>
    </x:row>
    <x:row r="9">
      <x:c r="A9" s="89" t="str">
        <x:v>UK-2025-06-FORMULA-DUPLICATION</x:v>
      </x:c>
      <x:c r="B9" s="89" t="str">
        <x:v>2025-06</x:v>
      </x:c>
      <x:c r="C9" s="89" t="str">
        <x:v>UPDATE_FORMULA</x:v>
      </x:c>
      <x:c r="D9" s="100" t="n">
        <x:v>0</x:v>
      </x:c>
      <x:c r="E9" s="89" t="str">
        <x:v>CONFIRMED_NO_POSTING</x:v>
      </x:c>
      <x:c r="F9" s="89" t="str">
        <x:v>Formula/filter duplication is corrected in report logic, not with accounting postings.</x:v>
      </x:c>
      <x:c r="G9" s="75" t="str">
        <x:f>IF(AND(C9="POSTING",E9="READY_TO_UPLOAD"),"ДА","НЕТ")</x:f>
        <x:v>НЕТ</x:v>
      </x:c>
      <x:c r="H9" s="100" t="n">
        <x:f>IF(G9="ДА",D9,0)</x:f>
        <x:v>0</x:v>
      </x:c>
      <x:c r="I9" s="89" t="str">
        <x:v>Непроводочное решение</x:v>
      </x:c>
    </x:row>
    <x:row r="10">
      <x:c r="A10" s="76" t="str">
        <x:v>UK-2025-12-BUSINESS-CLOSED</x:v>
      </x:c>
      <x:c r="B10" s="76" t="str">
        <x:v>2025-12</x:v>
      </x:c>
      <x:c r="C10" s="76" t="str">
        <x:v>NO_POSTING</x:v>
      </x:c>
      <x:c r="D10" s="102" t="n">
        <x:v>0</x:v>
      </x:c>
      <x:c r="E10" s="76" t="str">
        <x:v>ANALYSIS_CLOSED_RELEASE_BLOCKED</x:v>
      </x:c>
      <x:c r="F10" s="76" t="str">
        <x:v>December business review may be closed, but the local manifest still has ready_to_upload=false.</x:v>
      </x:c>
      <x:c r="G10" s="96" t="str">
        <x:f>IF(AND(C10="POSTING",E10="READY_TO_UPLOAD"),"ДА","НЕТ")</x:f>
        <x:v>НЕТ</x:v>
      </x:c>
      <x:c r="H10" s="102" t="n">
        <x:f>IF(G10="ДА",D10,0)</x:f>
        <x:v>0</x:v>
      </x:c>
      <x:c r="I10" s="76" t="str">
        <x:v>Непроводочное решение</x:v>
      </x:c>
    </x:row>
    <x:row r="11" ht="72" customHeight="1">
      <x:c r="A11" s="21" t="str">
        <x:v>UK-2025-01-FZP-NDFL-824716</x:v>
      </x:c>
      <x:c r="B11" s="21" t="str">
        <x:v>2025-01</x:v>
      </x:c>
      <x:c r="C11" s="21" t="str">
        <x:v>POSTING</x:v>
      </x:c>
      <x:c r="D11" s="21" t="n">
        <x:v>824716</x:v>
      </x:c>
      <x:c r="E11" s="21" t="str">
        <x:v>CONFIRMED_BRANCH_RECLASS_BLOCKED_RELEASE</x:v>
      </x:c>
      <x:c r="F11" s="21" t="str">
        <x:v>По 44 точным связкам сотрудников: STORNO ФЗП [00-000036] и REPOST НДФЛ [ЦБ-000241], Дт 26 / Кт 70.1, дата 31.01.2025. Родитель ФЗП 8 603 248,22 не изменяется.</x:v>
      </x:c>
      <x:c r="G11" s="21" t="str">
        <x:f>IF(AND(C11="POSTING",E11="READY_TO_UPLOAD"),"ДА","НЕТ")</x:f>
        <x:v>НЕТ</x:v>
      </x:c>
      <x:c r="H11" s="21" t="n">
        <x:f>IF(G11="ДА",D11,0)</x:f>
        <x:v>0</x:v>
      </x:c>
      <x:c r="I11" s="21" t="str">
        <x:v>R002 — доказательный черновик. Перед выпуском проверить 44 PairID/88 UploadID, закрытие, ОСВ и live 1С.</x:v>
      </x:c>
    </x:row>
    <x:row r="12" ht="96" customHeight="1">
      <x:c r="A12" s="21" t="str">
        <x:v>UK-2025-02-FZP-NDFL-975705</x:v>
      </x:c>
      <x:c r="B12" s="21" t="str">
        <x:v>2025-02</x:v>
      </x:c>
      <x:c r="C12" s="21" t="str">
        <x:v>POSTING</x:v>
      </x:c>
      <x:c r="D12" s="21" t="n">
        <x:v>975705</x:v>
      </x:c>
      <x:c r="E12" s="21" t="str">
        <x:v>CONFIRMED_45_PAIRS_BLOCKED_RELEASE</x:v>
      </x:c>
      <x:c r="F12" s="21" t="str">
        <x:v>45 точных связок: STORNO ФЗП [00-000036], REPOST НДФЛ [ЦБ-000241], Дт 26 / Кт 70.1. Самарина 53 793 остается во вложенной ветке.</x:v>
      </x:c>
      <x:c r="G12" s="21" t="str">
        <x:v>ЧЕРНОВИК</x:v>
      </x:c>
      <x:c r="H12" s="21" t="n">
        <x:v>975705</x:v>
      </x:c>
      <x:c r="I12" s="21" t="str">
        <x:v>45 PairID / 90 UploadID; до выпуска live-проверка, закрытие и ОСВ.</x:v>
      </x:c>
    </x:row>
    <x:row r="13" ht="96" customHeight="1">
      <x:c r="A13" s="21" t="str">
        <x:v>UK-2025-02-IT-36564</x:v>
      </x:c>
      <x:c r="B13" s="21" t="str">
        <x:v>2025-02</x:v>
      </x:c>
      <x:c r="C13" s="21" t="str">
        <x:v>POSTING</x:v>
      </x:c>
      <x:c r="D13" s="21" t="n">
        <x:v>36564</x:v>
      </x:c>
      <x:c r="E13" s="21" t="str">
        <x:v>CONFIRMED_3_PAIRS_BLOCKED_RELEASE</x:v>
      </x:c>
      <x:c r="F13" s="21" t="str">
        <x:v>ERP строки 18, 651, 780: STORNO «Абонентское обслуживание ПО» [00-000025], REPOST «ПО рабочее для функций» [00-000021].</x:v>
      </x:c>
      <x:c r="G13" s="21" t="str">
        <x:v>ЧЕРНОВИК</x:v>
      </x:c>
      <x:c r="H13" s="21" t="n">
        <x:v>36564</x:v>
      </x:c>
      <x:c r="I13" s="21" t="str">
        <x:v>3 PairID / 6 UploadID; даты и организации сохранены.</x:v>
      </x:c>
    </x:row>
    <x:row r="14" ht="96" customHeight="1">
      <x:c r="A14" s="21" t="str">
        <x:v>UK-2025-02-LEGAL-8000</x:v>
      </x:c>
      <x:c r="B14" s="21" t="str">
        <x:v>2025-02</x:v>
      </x:c>
      <x:c r="C14" s="21" t="str">
        <x:v>POSTING</x:v>
      </x:c>
      <x:c r="D14" s="21" t="n">
        <x:v>8000</x:v>
      </x:c>
      <x:c r="E14" s="21" t="str">
        <x:v>CONFIRMED_1_PAIR_BLOCKED_RELEASE</x:v>
      </x:c>
      <x:c r="F14" s="21" t="str">
        <x:v>ERP строка 20: STORNO «Прочие адм.расходы» [00-000062], REPOST «Юридические расходы» [00-000023].</x:v>
      </x:c>
      <x:c r="G14" s="21" t="str">
        <x:v>ЧЕРНОВИК</x:v>
      </x:c>
      <x:c r="H14" s="21" t="n">
        <x:v>8000</x:v>
      </x:c>
      <x:c r="I14" s="21" t="str">
        <x:v>Точная цель: продление использования товарного знака.</x:v>
      </x:c>
    </x:row>
    <x:row r="15" ht="96" customHeight="1">
      <x:c r="A15" s="21" t="str">
        <x:v>UK-2025-02-NDFL-STROY-4875</x:v>
      </x:c>
      <x:c r="B15" s="21" t="str">
        <x:v>2025-02</x:v>
      </x:c>
      <x:c r="C15" s="21" t="str">
        <x:v>POSTING</x:v>
      </x:c>
      <x:c r="D15" s="21" t="n">
        <x:v>4875</x:v>
      </x:c>
      <x:c r="E15" s="21" t="str">
        <x:v>CONFIRMED_R005_A01_BLOCKED_RELEASE</x:v>
      </x:c>
      <x:c r="F15" s="21" t="str">
        <x:v>ERP строка 833, Дт 26 / Кт 79.1: STORNO НДФЛ [ЦБ-000241], REPOST страховые взносы [00-000018].</x:v>
      </x:c>
      <x:c r="G15" s="21" t="str">
        <x:v>ЧЕРНОВИК</x:v>
      </x:c>
      <x:c r="H15" s="21" t="n">
        <x:v>4875</x:v>
      </x:c>
      <x:c r="I15" s="21" t="str">
        <x:v>Точное применение общего исключения R005-A01 в феврале.</x:v>
      </x:c>
    </x:row>
    <x:row r="16" ht="96" customHeight="1">
      <x:c r="A16" s="21" t="str">
        <x:v>UK-2025-02-LOAN-11890-41</x:v>
      </x:c>
      <x:c r="B16" s="21" t="str">
        <x:v>2025-02</x:v>
      </x:c>
      <x:c r="C16" s="21" t="str">
        <x:v>POSTING</x:v>
      </x:c>
      <x:c r="D16" s="21" t="n">
        <x:v>11890.41</x:v>
      </x:c>
      <x:c r="E16" s="21" t="str">
        <x:v>CONFIRMED_1_PAIR_BLOCKED_RELEASE</x:v>
      </x:c>
      <x:c r="F16" s="21" t="str">
        <x:v>ERP строка 858, Дт 91.2 / Кт 79.1: STORNO прочих внереализационных [00-000226], REPOST расходов по получению кредитов [00-000072].</x:v>
      </x:c>
      <x:c r="G16" s="21" t="str">
        <x:v>ЧЕРНОВИК</x:v>
      </x:c>
      <x:c r="H16" s="21" t="n">
        <x:v>11890.41</x:v>
      </x:c>
      <x:c r="I16" s="21" t="str">
        <x:v>Целевая идентичность дополнительно видна в текущей ERP строке 857.</x:v>
      </x:c>
    </x:row>
    <x:row r="17" ht="96" customHeight="1">
      <x:c r="A17" s="21" t="str">
        <x:v>UK-2025-02-DEPOSITS-4739619-89</x:v>
      </x:c>
      <x:c r="B17" s="21" t="str">
        <x:v>2025-02</x:v>
      </x:c>
      <x:c r="C17" s="21" t="str">
        <x:v>UPDATE_MAPPING</x:v>
      </x:c>
      <x:c r="D17" s="21" t="n">
        <x:v>4739619.89</x:v>
      </x:c>
      <x:c r="E17" s="21" t="str">
        <x:v>CONFIRMED_NO_POSTING</x:v>
      </x:c>
      <x:c r="F17" s="21" t="str">
        <x:v>Восемь закрывающих строк % по депозитам [ЦБ-000271] должны раскрываться во внереализационных доходах, а не в финансовых.</x:v>
      </x:c>
      <x:c r="G17" s="21" t="str">
        <x:v>НЕТ</x:v>
      </x:c>
      <x:c r="H17" s="21" t="n">
        <x:v>0</x:v>
      </x:c>
      <x:c r="I17" s="21" t="str">
        <x:v>Одна ERP-идентичность; отдельную проводку не создавать.</x:v>
      </x:c>
    </x:row>
    <x:row r="18" ht="96" customHeight="1">
      <x:c r="A18" s="21" t="str">
        <x:v>UK-2025-02-ROUNDING-MINUS-2-06</x:v>
      </x:c>
      <x:c r="B18" s="21" t="str">
        <x:v>2025-02</x:v>
      </x:c>
      <x:c r="C18" s="21" t="str">
        <x:v>NO_POSTING</x:v>
      </x:c>
      <x:c r="D18" s="21" t="n">
        <x:v>-2.06</x:v>
      </x:c>
      <x:c r="E18" s="21" t="str">
        <x:v>BLOCKED_MISSING_IN_ERP</x:v>
      </x:c>
      <x:c r="F18" s="21" t="str">
        <x:v>Intalev содержит погрешность −2,06; точной активной ERP-стороны нет.</x:v>
      </x:c>
      <x:c r="G18" s="21" t="str">
        <x:v>НЕТ</x:v>
      </x:c>
      <x:c r="H18" s="21" t="n">
        <x:v>0</x:v>
      </x:c>
      <x:c r="I18" s="21" t="str">
        <x:v>Не создавать одностороннюю проводку.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78" hidden="0" customWidth="1"/>
    <x:col min="5" max="5" width="34" hidden="0" customWidth="1"/>
  </x:cols>
  <x:sheetData>
    <x:row r="1" ht="34" customHeight="1">
      <x:c r="A1" s="69" t="str">
        <x:v>Разногласия и принятые решения</x:v>
      </x:c>
      <x:c r="B1" s="69" t="str">
        <x:v>Разногласия и принятые решения</x:v>
      </x:c>
      <x:c r="C1" s="69" t="str">
        <x:v>Разногласия и принятые решения</x:v>
      </x:c>
      <x:c r="D1" s="69" t="str">
        <x:v>Разногласия и принятые решения</x:v>
      </x:c>
      <x:c r="E1" s="69" t="str">
        <x:v>Разногласия и принятые решения</x:v>
      </x:c>
    </x:row>
    <x:row r="2" ht="34" customHeight="1">
      <x:c r="A2" s="41" t="str">
        <x:v>Эти решения имеют приоритет над историческими формулировками чатов и месячных пакетов.</x:v>
      </x:c>
      <x:c r="B2" s="41" t="str">
        <x:v>Эти решения имеют приоритет над историческими формулировками чатов и месячных пакетов.</x:v>
      </x:c>
      <x:c r="C2" s="41" t="str">
        <x:v>Эти решения имеют приоритет над историческими формулировками чатов и месячных пакетов.</x:v>
      </x:c>
      <x:c r="D2" s="41" t="str">
        <x:v>Эти решения имеют приоритет над историческими формулировками чатов и месячных пакетов.</x:v>
      </x:c>
      <x:c r="E2" s="41" t="str">
        <x:v>Эти решения имеют приоритет над историческими формулировками чатов и месячных пакетов.</x:v>
      </x:c>
    </x:row>
    <x:row r="3">
      <x:c r="A3" s="70"/>
      <x:c r="B3" s="70"/>
      <x:c r="C3" s="70"/>
      <x:c r="D3" s="70"/>
      <x:c r="E3" s="70"/>
    </x:row>
    <x:row r="4">
      <x:c r="A4" s="72" t="str">
        <x:v>Conflict_ID</x:v>
      </x:c>
      <x:c r="B4" s="72" t="str">
        <x:v>Разногласие</x:v>
      </x:c>
      <x:c r="C4" s="72" t="str">
        <x:v>Решение</x:v>
      </x:c>
      <x:c r="D4" s="72" t="str">
        <x:v>Действующее правило</x:v>
      </x:c>
      <x:c r="E4" s="72" t="str">
        <x:v>Влияние</x:v>
      </x:c>
    </x:row>
    <x:row r="5">
      <x:c r="A5" s="89" t="str">
        <x:v>CR-R005-001</x:v>
      </x:c>
      <x:c r="B5" s="89" t="str">
        <x:v>FULL_SUPERSEDES_R004</x:v>
      </x:c>
      <x:c r="C5" s="89" t="str">
        <x:v>REJECTED</x:v>
      </x:c>
      <x:c r="D5" s="89" t="str">
        <x:v>R004 hierarchy coverage remains mandatory; later monthly revisions may add evidence but cannot remove the gate.</x:v>
      </x:c>
      <x:c r="E5" s="89" t="str">
        <x:v>Старое допущение не применять</x:v>
      </x:c>
    </x:row>
    <x:row r="6">
      <x:c r="A6" s="73" t="str">
        <x:v>CR-R005-002</x:v>
      </x:c>
      <x:c r="B6" s="73" t="str">
        <x:v>PACKAGE_REVISION_VS_PROJECT_RULE_VERSION</x:v>
      </x:c>
      <x:c r="C6" s="73" t="str">
        <x:v>SEPARATE_NAMESPACES</x:v>
      </x:c>
      <x:c r="D6" s="73" t="str">
        <x:v>R005 is the project rule version. R006, v07 and similar labels are monthly package revisions only.</x:v>
      </x:c>
      <x:c r="E6" s="73" t="str">
        <x:v>Версии хранить раздельно</x:v>
      </x:c>
    </x:row>
    <x:row r="7">
      <x:c r="A7" s="89" t="str">
        <x:v>CR-R005-003</x:v>
      </x:c>
      <x:c r="B7" s="89" t="str">
        <x:v>TOTAL_OR_NAME_MATCH_AS_POSTING_PROOF</x:v>
      </x:c>
      <x:c r="C7" s="89" t="str">
        <x:v>REJECTED</x:v>
      </x:c>
      <x:c r="D7" s="89" t="str">
        <x:v>A total or visible name match is diagnostic only. Exact article identity and row-level journal trace are mandatory.</x:v>
      </x:c>
      <x:c r="E7" s="89" t="str">
        <x:v>Старое допущение не применять</x:v>
      </x:c>
    </x:row>
    <x:row r="8">
      <x:c r="A8" s="73" t="str">
        <x:v>CR-R005-004</x:v>
      </x:c>
      <x:c r="B8" s="73" t="str">
        <x:v>FORMULA_OR_MAPPING_DIFFERENCE_AS_POSTING</x:v>
      </x:c>
      <x:c r="C8" s="73" t="str">
        <x:v>REJECTED</x:v>
      </x:c>
      <x:c r="D8" s="73" t="str">
        <x:v>Formula and mapping defects remain outside the posting amount and upload workbooks.</x:v>
      </x:c>
      <x:c r="E8" s="73" t="str">
        <x:v>Старое допущение не применять</x:v>
      </x:c>
    </x:row>
    <x:row r="9">
      <x:c r="A9" s="89" t="str">
        <x:v>CR-R005-005</x:v>
      </x:c>
      <x:c r="B9" s="89" t="str">
        <x:v>ONE_SIDED_REPOST_WITHOUT_PROVEN_MISSING_SIDE</x:v>
      </x:c>
      <x:c r="C9" s="89" t="str">
        <x:v>REJECTED</x:v>
      </x:c>
      <x:c r="D9" s="89" t="str">
        <x:v>A one-sided repost is blocked unless the missing side is proven by current evidence.</x:v>
      </x:c>
      <x:c r="E9" s="89" t="str">
        <x:v>Старое допущение не применять</x:v>
      </x:c>
    </x:row>
    <x:row r="10">
      <x:c r="A10" s="76" t="str">
        <x:v>CR-R005-006</x:v>
      </x:c>
      <x:c r="B10" s="76" t="str">
        <x:v>BUILT_PACKAGE_MEANS_READY</x:v>
      </x:c>
      <x:c r="C10" s="76" t="str">
        <x:v>REJECTED</x:v>
      </x:c>
      <x:c r="D10" s="76" t="str">
        <x:v>Built, exported, validated or zipped does not mean ready_to_upload.</x:v>
      </x:c>
      <x:c r="E10" s="76" t="str">
        <x:v>Старое допущение не применять</x:v>
      </x:c>
    </x:row>
    <x:row r="11" ht="72" customHeight="1">
      <x:c r="A11" s="73" t="str">
        <x:v>CR-R005-007</x:v>
      </x:c>
      <x:c r="B11" s="73" t="str">
        <x:v>JUN25_NDFL_STROY_4875_MAPPING_ONLY_VS_CONFIRMED_RECLASS</x:v>
      </x:c>
      <x:c r="C11" s="73" t="str">
        <x:v>EXACT_POSTING_OVERRIDE</x:v>
      </x:c>
      <x:c r="D11" s="73" t="str">
        <x:v>Для точной идентичности «НДФЛ Стройиндустрия» старое решение UPDATE_MAPPING отменено: STORNO НДФЛ и REPOST «Страховые взносы и пенсионные отчисления». По имени или сумме не обобщать.</x:v>
      </x:c>
      <x:c r="E11" s="73" t="str">
        <x:v>R006 устарел; нужен новый пакет</x:v>
      </x:c>
    </x:row>
    <x:row r="12" ht="72" customHeight="1">
      <x:c r="A12" s="21" t="str">
        <x:v>CR-R005-008</x:v>
      </x:c>
      <x:c r="B12" s="21" t="str">
        <x:v>ZERO_DELTA_OR_MATCHED_PARENT_CLOSES_BRANCH</x:v>
      </x:c>
      <x:c r="C12" s="21" t="str">
        <x:v>REJECTED</x:v>
      </x:c>
      <x:c r="D12" s="21" t="str">
        <x:v>Каждая видимая группировка ERP и Intalev раскрывается рекурсивно до всех листьев. Совпадение или нулевая дельта родителя не закрывает ветвь; отдельно проверяется child_sum = parent_total в обеих системах.</x:v>
      </x:c>
      <x:c r="E12" s="21" t="str">
        <x:v>ФЗП всегда раскрывать минимум до ФЗП/&lt;пустое значение&gt;, компенсаций, НДФЛ и всех видимых потомков.</x:v>
      </x:c>
    </x:row>
    <x:row r="13" ht="108" customHeight="1">
      <x:c r="A13" s="21" t="str">
        <x:v>CR-R005-009</x:v>
      </x:c>
      <x:c r="B13" s="21" t="str">
        <x:v>OLD_FEBRUARY_DECISIONS_VS_CURRENT_MONTH_INPUTS</x:v>
      </x:c>
      <x:c r="C13" s="21" t="str">
        <x:v>CURRENT_INPUTS_WIN</x:v>
      </x:c>
      <x:c r="D13" s="21" t="str">
        <x:v>Февральские решения применяются только после повторного подтверждения свежими файлами. Старый POSTING 29 000 отменен текущей трассой; 11 840 не переиспользуется без новой точной идентичности.</x:v>
      </x:c>
      <x:c r="E13" s="21" t="str">
        <x:v>R005-A03: 51 доказанная пара; UPDATE_MAPPING, NO_POSTING и открытые трассы отделены от проводок.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18" hidden="0" customWidth="1"/>
    <x:col min="4" max="4" width="15" hidden="0" customWidth="1"/>
    <x:col min="5" max="5" width="20" hidden="0" customWidth="1"/>
    <x:col min="6" max="6" width="18" hidden="0" customWidth="1"/>
    <x:col min="7" max="7" width="64" hidden="0" customWidth="1"/>
  </x:cols>
  <x:sheetData>
    <x:row r="1" ht="34" customHeight="1">
      <x:c r="A1" s="120" t="str">
        <x:v>Обязательный гейт завершения месяца R005</x:v>
      </x:c>
      <x:c r="B1" s="120" t="str">
        <x:v>Обязательный гейт завершения месяца R005</x:v>
      </x:c>
      <x:c r="C1" s="120" t="str">
        <x:v>Обязательный гейт завершения месяца R005</x:v>
      </x:c>
      <x:c r="D1" s="120" t="str">
        <x:v>Обязательный гейт завершения месяца R005</x:v>
      </x:c>
      <x:c r="E1" s="120" t="str">
        <x:v>Обязательный гейт завершения месяца R005</x:v>
      </x:c>
      <x:c r="F1" s="120" t="str">
        <x:v>Обязательный гейт завершения месяца R005</x:v>
      </x:c>
      <x:c r="G1" s="120" t="str">
        <x:v>Обязательный гейт завершения месяца R005</x:v>
      </x:c>
    </x:row>
    <x:row r="2" ht="34" customHeight="1">
      <x:c r="A2" s="41" t="str">
        <x:v>Все поля должны присутствовать в project_policy_evidence. Отсутствующее поле считается FAIL, а не нулём.</x:v>
      </x:c>
      <x:c r="B2" s="41" t="str">
        <x:v>Все поля должны присутствовать в project_policy_evidence. Отсутствующее поле считается FAIL, а не нулём.</x:v>
      </x:c>
      <x:c r="C2" s="41" t="str">
        <x:v>Все поля должны присутствовать в project_policy_evidence. Отсутствующее поле считается FAIL, а не нулём.</x:v>
      </x:c>
      <x:c r="D2" s="41" t="str">
        <x:v>Все поля должны присутствовать в project_policy_evidence. Отсутствующее поле считается FAIL, а не нулём.</x:v>
      </x:c>
      <x:c r="E2" s="41" t="str">
        <x:v>Все поля должны присутствовать в project_policy_evidence. Отсутствующее поле считается FAIL, а не нулём.</x:v>
      </x:c>
      <x:c r="F2" s="41" t="str">
        <x:v>Все поля должны присутствовать в project_policy_evidence. Отсутствующее поле считается FAIL, а не нулём.</x:v>
      </x:c>
      <x:c r="G2" s="41" t="str">
        <x:v>Все поля должны присутствовать в project_policy_evidence. Отсутствующее поле считается FAIL, а не нулём.</x:v>
      </x:c>
    </x:row>
    <x:row r="3">
      <x:c r="A3" s="121"/>
      <x:c r="B3" s="121"/>
      <x:c r="C3" s="121"/>
      <x:c r="D3" s="121"/>
      <x:c r="E3" s="121"/>
      <x:c r="F3" s="121"/>
      <x:c r="G3" s="121"/>
    </x:row>
    <x:row r="4">
      <x:c r="A4" s="72" t="str">
        <x:v>Код</x:v>
      </x:c>
      <x:c r="B4" s="72" t="str">
        <x:v>Поле evidence</x:v>
      </x:c>
      <x:c r="C4" s="72" t="str">
        <x:v>Требование</x:v>
      </x:c>
      <x:c r="D4" s="72" t="str">
        <x:v>При нарушении</x:v>
      </x:c>
      <x:c r="E4" s="72" t="str">
        <x:v>Тип проверки</x:v>
      </x:c>
      <x:c r="F4" s="72" t="str">
        <x:v>Встроено в движок</x:v>
      </x:c>
      <x:c r="G4" s="72" t="str">
        <x:v>Комментарий</x:v>
      </x:c>
    </x:row>
    <x:row r="5">
      <x:c r="A5" s="89" t="str">
        <x:v>BLK-R005-001/002</x:v>
      </x:c>
      <x:c r="B5" s="89" t="str">
        <x:v>schema + policy_id</x:v>
      </x:c>
      <x:c r="C5" s="89" t="str">
        <x:v>Точная активная версия</x:v>
      </x:c>
      <x:c r="D5" s="89" t="str">
        <x:v>BLOCKED</x:v>
      </x:c>
      <x:c r="E5" s="89" t="str">
        <x:v>Версия</x:v>
      </x:c>
      <x:c r="F5" s="89" t="str">
        <x:v>ДА</x:v>
      </x:c>
      <x:c r="G5" s="89" t="str">
        <x:v>Локальная ревизия пакета не заменяет правила проекта</x:v>
      </x:c>
    </x:row>
    <x:row r="6">
      <x:c r="A6" s="73" t="str">
        <x:v>BLK-R005-003</x:v>
      </x:c>
      <x:c r="B6" s="73" t="str">
        <x:v>intalev_visible_nodes_coverage_percent</x:v>
      </x:c>
      <x:c r="C6" s="73" t="str">
        <x:v>100%</x:v>
      </x:c>
      <x:c r="D6" s="73" t="str">
        <x:v>BLOCKED</x:v>
      </x:c>
      <x:c r="E6" s="73" t="str">
        <x:v>Покрытие</x:v>
      </x:c>
      <x:c r="F6" s="73" t="str">
        <x:v>ДА</x:v>
      </x:c>
      <x:c r="G6" s="73" t="str">
        <x:v>Все видимые узлы, включая нулевые</x:v>
      </x:c>
    </x:row>
    <x:row r="7">
      <x:c r="A7" s="89" t="str">
        <x:v>BLK-R005-004</x:v>
      </x:c>
      <x:c r="B7" s="89" t="str">
        <x:v>erp_turnover_articles_coverage_percent</x:v>
      </x:c>
      <x:c r="C7" s="89" t="str">
        <x:v>100%</x:v>
      </x:c>
      <x:c r="D7" s="89" t="str">
        <x:v>BLOCKED</x:v>
      </x:c>
      <x:c r="E7" s="89" t="str">
        <x:v>Покрытие</x:v>
      </x:c>
      <x:c r="F7" s="89" t="str">
        <x:v>ДА</x:v>
      </x:c>
      <x:c r="G7" s="89" t="str">
        <x:v>Все ERP-статьи с оборотом месяца</x:v>
      </x:c>
    </x:row>
    <x:row r="8">
      <x:c r="A8" s="73" t="str">
        <x:v>BLK-R005-005/006</x:v>
      </x:c>
      <x:c r="B8" s="73" t="str">
        <x:v>traceability_intalev_percent / traceability_erp_percent</x:v>
      </x:c>
      <x:c r="C8" s="73" t="str">
        <x:v>100% / 100%</x:v>
      </x:c>
      <x:c r="D8" s="73" t="str">
        <x:v>BLOCKED</x:v>
      </x:c>
      <x:c r="E8" s="73" t="str">
        <x:v>Трасса</x:v>
      </x:c>
      <x:c r="F8" s="73" t="str">
        <x:v>ДА</x:v>
      </x:c>
      <x:c r="G8" s="73" t="str">
        <x:v>Файл, лист, строка, код/путь и журнал</x:v>
      </x:c>
    </x:row>
    <x:row r="9">
      <x:c r="A9" s="89" t="str">
        <x:v>BLK-R005-007/008</x:v>
      </x:c>
      <x:c r="B9" s="89" t="str">
        <x:v>top_down_pass / bottom_up_pass</x:v>
      </x:c>
      <x:c r="C9" s="89" t="str">
        <x:v>TRUE / TRUE</x:v>
      </x:c>
      <x:c r="D9" s="89" t="str">
        <x:v>BLOCKED</x:v>
      </x:c>
      <x:c r="E9" s="89" t="str">
        <x:v>Алгоритм</x:v>
      </x:c>
      <x:c r="F9" s="89" t="str">
        <x:v>ДА</x:v>
      </x:c>
      <x:c r="G9" s="89" t="str">
        <x:v>Два независимых направления</x:v>
      </x:c>
    </x:row>
    <x:row r="10">
      <x:c r="A10" s="73" t="str">
        <x:v>BLK-R005-009</x:v>
      </x:c>
      <x:c r="B10" s="73" t="str">
        <x:v>all_parents_child_sum_checked</x:v>
      </x:c>
      <x:c r="C10" s="73" t="str">
        <x:v>TRUE</x:v>
      </x:c>
      <x:c r="D10" s="73" t="str">
        <x:v>BLOCKED</x:v>
      </x:c>
      <x:c r="E10" s="73" t="str">
        <x:v>Иерархия</x:v>
      </x:c>
      <x:c r="F10" s="73" t="str">
        <x:v>ДА</x:v>
      </x:c>
      <x:c r="G10" s="73" t="str">
        <x:v>child_sum = parent_total по каждому родителю</x:v>
      </x:c>
    </x:row>
    <x:row r="11">
      <x:c r="A11" s="89" t="str">
        <x:v>BLK-R005-010</x:v>
      </x:c>
      <x:c r="B11" s="89" t="str">
        <x:v>zero_delta_branches_scanned</x:v>
      </x:c>
      <x:c r="C11" s="89" t="str">
        <x:v>TRUE</x:v>
      </x:c>
      <x:c r="D11" s="89" t="str">
        <x:v>BLOCKED</x:v>
      </x:c>
      <x:c r="E11" s="89" t="str">
        <x:v>Пересорт</x:v>
      </x:c>
      <x:c r="F11" s="89" t="str">
        <x:v>ДА</x:v>
      </x:c>
      <x:c r="G11" s="89" t="str">
        <x:v>Нулевая дельта родителя ветвь не закрывает</x:v>
      </x:c>
    </x:row>
    <x:row r="12">
      <x:c r="A12" s="73" t="str">
        <x:v>BLK-R005-011</x:v>
      </x:c>
      <x:c r="B12" s="73" t="str">
        <x:v>decision_classes_separated</x:v>
      </x:c>
      <x:c r="C12" s="73" t="str">
        <x:v>TRUE</x:v>
      </x:c>
      <x:c r="D12" s="73" t="str">
        <x:v>BLOCKED</x:v>
      </x:c>
      <x:c r="E12" s="73" t="str">
        <x:v>Классификация</x:v>
      </x:c>
      <x:c r="F12" s="73" t="str">
        <x:v>ДА</x:v>
      </x:c>
      <x:c r="G12" s="73" t="str">
        <x:v>Формулы/мэппинг отдельно от проводок</x:v>
      </x:c>
    </x:row>
    <x:row r="13">
      <x:c r="A13" s="89" t="str">
        <x:v>BLK-R005-012/013</x:v>
      </x:c>
      <x:c r="B13" s="89" t="str">
        <x:v>exact_article_identity_complete / source_trace_complete</x:v>
      </x:c>
      <x:c r="C13" s="89" t="str">
        <x:v>TRUE / TRUE</x:v>
      </x:c>
      <x:c r="D13" s="89" t="str">
        <x:v>BLOCKED</x:v>
      </x:c>
      <x:c r="E13" s="89" t="str">
        <x:v>Доказательства</x:v>
      </x:c>
      <x:c r="F13" s="89" t="str">
        <x:v>ДА</x:v>
      </x:c>
      <x:c r="G13" s="89" t="str">
        <x:v>Имя или сумма без идентичности недостаточны</x:v>
      </x:c>
    </x:row>
    <x:row r="14">
      <x:c r="A14" s="73" t="str">
        <x:v>BLK-R005-014/015</x:v>
      </x:c>
      <x:c r="B14" s="73" t="str">
        <x:v>osv_control_passed / duplicate_control_passed</x:v>
      </x:c>
      <x:c r="C14" s="73" t="str">
        <x:v>TRUE / TRUE</x:v>
      </x:c>
      <x:c r="D14" s="73" t="str">
        <x:v>BLOCKED</x:v>
      </x:c>
      <x:c r="E14" s="73" t="str">
        <x:v>Контроли</x:v>
      </x:c>
      <x:c r="F14" s="73" t="str">
        <x:v>ДА</x:v>
      </x:c>
      <x:c r="G14" s="73" t="str">
        <x:v>ОСВ сохраняется, дубли отсутствуют</x:v>
      </x:c>
    </x:row>
    <x:row r="15" ht="64" customHeight="1">
      <x:c r="A15" s="89" t="str">
        <x:v>BLK-R005-016</x:v>
      </x:c>
      <x:c r="B15" s="89" t="str">
        <x:v>storno_source_sign_inversion_passed</x:v>
      </x:c>
      <x:c r="C15" s="89" t="str">
        <x:v>TRUE</x:v>
      </x:c>
      <x:c r="D15" s="89" t="str">
        <x:v>BLOCKED</x:v>
      </x:c>
      <x:c r="E15" s="89" t="str">
        <x:v>Знаки</x:v>
      </x:c>
      <x:c r="F15" s="89" t="str">
        <x:v>ДА</x:v>
      </x:c>
      <x:c r="G15" s="89" t="str">
        <x:v>Для каждой строки STORNO = −source_amount, REPOST = source_amount, итог пары = 0 в обеих валютах.</x:v>
      </x:c>
    </x:row>
    <x:row r="16">
      <x:c r="A16" s="73" t="str">
        <x:v>BLK-R005-017/018</x:v>
      </x:c>
      <x:c r="B16" s="73" t="str">
        <x:v>idempotency_control_passed / live_1c_preflight_passed</x:v>
      </x:c>
      <x:c r="C16" s="73" t="str">
        <x:v>TRUE / TRUE</x:v>
      </x:c>
      <x:c r="D16" s="73" t="str">
        <x:v>BLOCKED</x:v>
      </x:c>
      <x:c r="E16" s="73" t="str">
        <x:v>1С</x:v>
      </x:c>
      <x:c r="F16" s="73" t="str">
        <x:v>ДА</x:v>
      </x:c>
      <x:c r="G16" s="73" t="str">
        <x:v>PairID и live preflight обязательны</x:v>
      </x:c>
    </x:row>
    <x:row r="17">
      <x:c r="A17" s="104" t="str">
        <x:v>BLK-R005-019</x:v>
      </x:c>
      <x:c r="B17" s="104" t="str">
        <x:v>unresolved/open counts and amount</x:v>
      </x:c>
      <x:c r="C17" s="104" t="str">
        <x:v>0</x:v>
      </x:c>
      <x:c r="D17" s="104" t="str">
        <x:v>BLOCKED</x:v>
      </x:c>
      <x:c r="E17" s="104" t="str">
        <x:v>Открытые вопросы</x:v>
      </x:c>
      <x:c r="F17" s="104" t="str">
        <x:v>ДА</x:v>
      </x:c>
      <x:c r="G17" s="104" t="str">
        <x:v>Отсутствие поля тоже блокирует</x:v>
      </x:c>
    </x:row>
    <x:row r="18" ht="60" customHeight="1">
      <x:c r="A18" s="21" t="str">
        <x:v>BLK-R005-020</x:v>
      </x:c>
      <x:c r="B18" s="21" t="str">
        <x:v>all_visible_groupings_expanded_to_leaves</x:v>
      </x:c>
      <x:c r="C18" s="21" t="str">
        <x:v>TRUE</x:v>
      </x:c>
      <x:c r="D18" s="21" t="str">
        <x:v>BLOCKED</x:v>
      </x:c>
      <x:c r="E18" s="21" t="str">
        <x:v>Иерархия</x:v>
      </x:c>
      <x:c r="F18" s="21" t="str">
        <x:v>ДА</x:v>
      </x:c>
      <x:c r="G18" s="21" t="str">
        <x:v>Все родительские ветви раскрыты рекурсивно; нулевые и взаимокомпенсирующие листья также показаны.</x:v>
      </x:c>
    </x:row>
    <x:row r="19" ht="72" customHeight="1">
      <x:c r="A19" s="21" t="str">
        <x:v>BLK-R005-021</x:v>
      </x:c>
      <x:c r="B19" s="21" t="str">
        <x:v>current_month_inputs_override_prior_month_decisions</x:v>
      </x:c>
      <x:c r="C19" s="21" t="str">
        <x:v>TRUE</x:v>
      </x:c>
      <x:c r="D19" s="21" t="str">
        <x:v>BLOCKED</x:v>
      </x:c>
      <x:c r="E19" s="21" t="str">
        <x:v>Доказательства</x:v>
      </x:c>
      <x:c r="F19" s="21" t="str">
        <x:v>ДА</x:v>
      </x:c>
      <x:c r="G19" s="21" t="str">
        <x:v>Старое месячное решение нельзя переиспользовать без повторной точной трассы по свежим файлам.</x:v>
      </x:c>
    </x:row>
    <x:row r="20" ht="72" customHeight="1">
      <x:c r="A20" s="19" t="str">
        <x:v>BLK-R005-022</x:v>
      </x:c>
      <x:c r="B20" s="19" t="str">
        <x:v>zero_sum_group_storno_repost_proven</x:v>
      </x:c>
      <x:c r="C20" s="19" t="str">
        <x:v>TRUE</x:v>
      </x:c>
      <x:c r="D20" s="19" t="str">
        <x:v>BLOCKED</x:v>
      </x:c>
      <x:c r="E20" s="19" t="str">
        <x:v>Классификация</x:v>
      </x:c>
      <x:c r="F20" s="19" t="str">
        <x:v>ДА</x:v>
      </x:c>
      <x:c r="G20" s="19" t="str">
        <x:v>Сумма листовых дельт = 0; есть +/−; полные source trace и target article identity. Только после этого создается черновик STORNO/REPOST.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92" hidden="0" customWidth="1"/>
    <x:col min="3" max="3" width="14" hidden="0" customWidth="1"/>
    <x:col min="4" max="4" width="36" hidden="0" customWidth="1"/>
  </x:cols>
  <x:sheetData>
    <x:row r="1" ht="34" customHeight="1">
      <x:c r="A1" s="120" t="str">
        <x:v>Правила создания корректировок</x:v>
      </x:c>
      <x:c r="B1" s="120" t="str">
        <x:v>Правила создания корректировок</x:v>
      </x:c>
      <x:c r="C1" s="120" t="str">
        <x:v>Правила создания корректировок</x:v>
      </x:c>
      <x:c r="D1" s="120" t="str">
        <x:v>Правила создания корректировок</x:v>
      </x:c>
    </x:row>
    <x:row r="2" ht="34" customHeight="1">
      <x:c r="A2" s="41" t="str">
        <x:v>Движок формирует только черновик. Release и ready_to_upload остаются отдельными гейтами.</x:v>
      </x:c>
      <x:c r="B2" s="41" t="str">
        <x:v>Движок формирует только черновик. Release и ready_to_upload остаются отдельными гейтами.</x:v>
      </x:c>
      <x:c r="C2" s="41" t="str">
        <x:v>Движок формирует только черновик. Release и ready_to_upload остаются отдельными гейтами.</x:v>
      </x:c>
      <x:c r="D2" s="41" t="str">
        <x:v>Движок формирует только черновик. Release и ready_to_upload остаются отдельными гейтами.</x:v>
      </x:c>
    </x:row>
    <x:row r="3">
      <x:c r="A3" s="121"/>
      <x:c r="B3" s="121"/>
      <x:c r="C3" s="121"/>
      <x:c r="D3" s="121"/>
    </x:row>
    <x:row r="4">
      <x:c r="A4" s="72" t="str">
        <x:v>Правило</x:v>
      </x:c>
      <x:c r="B4" s="72" t="str">
        <x:v>Действующая редакция</x:v>
      </x:c>
      <x:c r="C4" s="72" t="str">
        <x:v>Блокирует</x:v>
      </x:c>
      <x:c r="D4" s="72" t="str">
        <x:v>Примечание</x:v>
      </x:c>
    </x:row>
    <x:row r="5">
      <x:c r="A5" s="89" t="str">
        <x:v>storno_repost</x:v>
      </x:c>
      <x:c r="B5" s="89" t="str">
        <x:v>Only for a proven erroneous existing posting with exact current ERP journal evidence.</x:v>
      </x:c>
      <x:c r="C5" s="89" t="str">
        <x:v>ДА</x:v>
      </x:c>
      <x:c r="D5" s="89" t="str">
        <x:v>Требуется доказательная трасса</x:v>
      </x:c>
    </x:row>
    <x:row r="6" ht="64" customHeight="1">
      <x:c r="A6" s="73" t="str">
        <x:v>storno_amounts</x:v>
      </x:c>
      <x:c r="B6" s="73" t="str">
        <x:v>Сумма STORNO равна сумме исходной проводки с противоположным знаком: STORNO = −source_amount. Это правило действует и для отрицательной исходной суммы.</x:v>
      </x:c>
      <x:c r="C6" s="73" t="str">
        <x:v>ДА</x:v>
      </x:c>
      <x:c r="D6" s="73" t="str">
        <x:v>Пара должна давать ноль; исходная сумма −1 требует STORNO +1.</x:v>
      </x:c>
    </x:row>
    <x:row r="7" ht="64" customHeight="1">
      <x:c r="A7" s="89" t="str">
        <x:v>repost_amounts</x:v>
      </x:c>
      <x:c r="B7" s="89" t="str">
        <x:v>Сумма REPOST сохраняет знак исходной проводки: REPOST = source_amount. Вместе со STORNO пара должна давать ноль.</x:v>
      </x:c>
      <x:c r="C7" s="89" t="str">
        <x:v>ДА</x:v>
      </x:c>
      <x:c r="D7" s="89" t="str">
        <x:v>Исходная сумма −1 требует REPOST −1.</x:v>
      </x:c>
    </x:row>
    <x:row r="8">
      <x:c r="A8" s="73" t="str">
        <x:v>one_sided</x:v>
      </x:c>
      <x:c r="B8" s="73" t="str">
        <x:v>Allowed only for a proven missing side; otherwise use a complete confirmed target pair or keep NEEDS_EVIDENCE.</x:v>
      </x:c>
      <x:c r="C8" s="73" t="str">
        <x:v>ДА</x:v>
      </x:c>
      <x:c r="D8" s="73" t="str">
        <x:v>Требуется доказательная трасса</x:v>
      </x:c>
    </x:row>
    <x:row r="9">
      <x:c r="A9" s="89" t="str">
        <x:v>accounts_79_1_79_3</x:v>
      </x:c>
      <x:c r="B9" s="89" t="str">
        <x:v>Use only for the confirmed counterparty class and copy required analytics from current evidence.</x:v>
      </x:c>
      <x:c r="C9" s="89" t="str">
        <x:v>ДА</x:v>
      </x:c>
      <x:c r="D9" s="89" t="str">
        <x:v>Требуется доказательная трасса</x:v>
      </x:c>
    </x:row>
    <x:row r="10">
      <x:c r="A10" s="73" t="str">
        <x:v>formula_mapping</x:v>
      </x:c>
      <x:c r="B10" s="73" t="str">
        <x:v>UPDATE_FORMULA and UPDATE_MAPPING never become posting rows.</x:v>
      </x:c>
      <x:c r="C10" s="73" t="str">
        <x:v>ДА</x:v>
      </x:c>
      <x:c r="D10" s="73" t="str">
        <x:v>Сумма проводок = 0</x:v>
      </x:c>
    </x:row>
    <x:row r="11">
      <x:c r="A11" s="89" t="str">
        <x:v>osv</x:v>
      </x:c>
      <x:c r="B11" s="89" t="str">
        <x:v>Reclassification must preserve controlled OSV totals.</x:v>
      </x:c>
      <x:c r="C11" s="89" t="str">
        <x:v>ДА</x:v>
      </x:c>
      <x:c r="D11" s="89" t="str">
        <x:v>Требуется доказательная трасса</x:v>
      </x:c>
    </x:row>
    <x:row r="12">
      <x:c r="A12" s="76" t="str">
        <x:v>publication</x:v>
      </x:c>
      <x:c r="B12" s="76" t="str">
        <x:v>Package build success never overrides release_gate or ready_to_upload.</x:v>
      </x:c>
      <x:c r="C12" s="76" t="str">
        <x:v>ДА</x:v>
      </x:c>
      <x:c r="D12" s="76" t="str">
        <x:v>Требуется доказательная трасса</x:v>
      </x:c>
    </x:row>
    <x:row r="13" ht="76" customHeight="1">
      <x:c r="A13" s="73" t="str">
        <x:v>ndfl_stroy_exact_override</x:v>
      </x:c>
      <x:c r="B13" s="73" t="str">
        <x:v>При точной идентичности «НДФЛ Стройиндустрия»: STORNO «НДФЛ» [ЦБ-000241] и REPOST «Страховые взносы и пенсионные отчисления» [00-000018]. Подтвержденный июнь 2025: 4 875,00; счета 26/79.1; ERP Лист_1!736/№35; Инталев TDSheet!861/№4.</x:v>
      </x:c>
      <x:c r="C13" s="73" t="str">
        <x:v>ДА</x:v>
      </x:c>
      <x:c r="D13" s="73" t="str">
        <x:v>Применять в других периодах только по точной текущей трассе; не по одному имени или сумме.</x:v>
      </x:c>
    </x:row>
    <x:row r="14" ht="96" customHeight="1">
      <x:c r="A14" s="21" t="str">
        <x:v>all_groupings_expand_to_leaves</x:v>
      </x:c>
      <x:c r="B14" s="21" t="str">
        <x:v>Всегда раскрывать каждую видимую группировку ERP и Intalev до всех листьев, даже если сумма родителя совпадает или его дельта равна нулю. Для каждого родителя отдельно доказать child_sum = parent_total.</x:v>
      </x:c>
      <x:c r="C14" s="21" t="str">
        <x:v>ДА</x:v>
      </x:c>
      <x:c r="D14" s="21" t="str">
        <x:v>ФЗП раскрывать минимум до ФЗП/&lt;пустое значение&gt;, компенсаций, НДФЛ и всех остальных видимых потомков; решение принимать только на уровне точного листа и строки-источника.</x:v>
      </x:c>
    </x:row>
    <x:row r="15" ht="72" customHeight="1">
      <x:c r="A15" s="21" t="str">
        <x:v>upload_filename_without_gate_markers</x:v>
      </x:c>
      <x:c r="B15" s="21" t="str">
        <x:v>Для всех следующих файлов загрузки использовать чистое имя: организация, дата, класс операции и ревизия. Не добавлять в имя BLOCKED, DRAFT_DO_NOT_UPLOAD, READY или другие статусные маркеры.</x:v>
      </x:c>
      <x:c r="C15" s="21" t="str">
        <x:v>НЕТ</x:v>
      </x:c>
      <x:c r="D15" s="21" t="str">
        <x:v>Контрольный статус, ready_to_upload, release_allowed, PairID/UploadID и обязательные проверки сохранять внутри файла, паспорта и JSON-реестра; изменение имени не снимает гейты.</x:v>
      </x:c>
    </x:row>
    <x:row r="16" ht="96" customHeight="1">
      <x:c r="A16" s="21" t="str">
        <x:v>current_month_inputs_override_history</x:v>
      </x:c>
      <x:c r="B16" s="21" t="str">
        <x:v>Для каждого месяца заново подтверждать решение по текущим входным файлам. Исторический PairID, сумма, имя статьи или старое пользовательское исключение не переносятся автоматически.</x:v>
      </x:c>
      <x:c r="C16" s="21" t="str">
        <x:v>ДА</x:v>
      </x:c>
      <x:c r="D16" s="21" t="str">
        <x:v>Текущая точная строка ERP/Intalev имеет приоритет; неподтвержденное старое решение переводится в SUPERSEDED/BLOCKED, а не в проводки.</x:v>
      </x:c>
    </x:row>
    <x:row r="17" ht="84" customHeight="1">
      <x:c r="A17" s="19" t="str">
        <x:v>zero_sum_group_storno_repost</x:v>
      </x:c>
      <x:c r="B17" s="19" t="str">
        <x:v>Если у подтвержденной родительской группы сумма дельт всех листьев равна нулю, есть одновременно положительные и отрицательные листовые дельты, а текущая ERP-строка, исходная и целевая статьи доказаны точно, классифицировать различие как перенос статьи и формировать полный черновик STORNO/REPOST. Нулевая группа не является UPDATE_MAPPING.</x:v>
      </x:c>
      <x:c r="C17" s="19" t="str">
        <x:v>ДА</x:v>
      </x:c>
      <x:c r="D17" s="19" t="str">
        <x:v>Кандидат разрешен только при полном source trace, точной identity статьи/организации/аналитик и сохранении счетов/ОСВ. PairID/UploadID, дубли, идемпотентность и live 1С preflight остаются обязательными; ready_to_upload=false и release_allowed=false до их прохождения.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86" hidden="0" customWidth="1"/>
    <x:col min="4" max="4" width="68" hidden="0" customWidth="1"/>
    <x:col min="5" max="5" width="22" hidden="0" customWidth="1"/>
    <x:col min="6" max="6" width="30" hidden="0" customWidth="1"/>
    <x:col min="7" max="7" width="34" hidden="0" customWidth="1"/>
  </x:cols>
  <x:sheetData>
    <x:row r="1" ht="34" customHeight="1">
      <x:c r="A1" s="69" t="str">
        <x:v>Источники, задачи и контрольные суммы</x:v>
      </x:c>
      <x:c r="B1" s="69" t="str">
        <x:v>Источники, задачи и контрольные суммы</x:v>
      </x:c>
      <x:c r="C1" s="69" t="str">
        <x:v>Источники, задачи и контрольные суммы</x:v>
      </x:c>
      <x:c r="D1" s="69" t="str">
        <x:v>Источники, задачи и контрольные суммы</x:v>
      </x:c>
      <x:c r="E1" s="69" t="str">
        <x:v>Источники, задачи и контрольные суммы</x:v>
      </x:c>
      <x:c r="F1" s="69" t="str">
        <x:v>Источники, задачи и контрольные суммы</x:v>
      </x:c>
      <x:c r="G1" s="69" t="str">
        <x:v>Источники, задачи и контрольные суммы</x:v>
      </x:c>
    </x:row>
    <x:row r="2" ht="34" customHeight="1">
      <x:c r="A2" s="41" t="str">
        <x:v>Файлы проверены локально. Задачи указаны по ID; их сообщения являются контекстом, а не заменой текущих файлов.</x:v>
      </x:c>
      <x:c r="B2" s="41" t="str">
        <x:v>Файлы проверены локально. Задачи указаны по ID; их сообщения являются контекстом, а не заменой текущих файлов.</x:v>
      </x:c>
      <x:c r="C2" s="41" t="str">
        <x:v>Файлы проверены локально. Задачи указаны по ID; их сообщения являются контекстом, а не заменой текущих файлов.</x:v>
      </x:c>
      <x:c r="D2" s="41" t="str">
        <x:v>Файлы проверены локально. Задачи указаны по ID; их сообщения являются контекстом, а не заменой текущих файлов.</x:v>
      </x:c>
      <x:c r="E2" s="41" t="str">
        <x:v>Файлы проверены локально. Задачи указаны по ID; их сообщения являются контекстом, а не заменой текущих файлов.</x:v>
      </x:c>
      <x:c r="F2" s="41" t="str">
        <x:v>Файлы проверены локально. Задачи указаны по ID; их сообщения являются контекстом, а не заменой текущих файлов.</x:v>
      </x:c>
      <x:c r="G2" s="41" t="str">
        <x:v>Файлы проверены локально. Задачи указаны по ID; их сообщения являются контекстом, а не заменой текущих файлов.</x:v>
      </x:c>
    </x:row>
    <x:row r="3">
      <x:c r="A3" s="70"/>
      <x:c r="B3" s="70"/>
      <x:c r="C3" s="70"/>
      <x:c r="D3" s="70"/>
      <x:c r="E3" s="70"/>
      <x:c r="F3" s="70"/>
      <x:c r="G3" s="70"/>
    </x:row>
    <x:row r="4">
      <x:c r="A4" s="72" t="str">
        <x:v>Тип</x:v>
      </x:c>
      <x:c r="B4" s="72" t="str">
        <x:v>Наименование</x:v>
      </x:c>
      <x:c r="C4" s="72" t="str">
        <x:v>Путь / Task ID</x:v>
      </x:c>
      <x:c r="D4" s="72" t="str">
        <x:v>SHA256</x:v>
      </x:c>
      <x:c r="E4" s="72" t="str">
        <x:v>Статус</x:v>
      </x:c>
      <x:c r="F4" s="72" t="str">
        <x:v>Использование</x:v>
      </x:c>
      <x:c r="G4" s="72" t="str">
        <x:v>Ограничение</x:v>
      </x:c>
    </x:row>
    <x:row r="5">
      <x:c r="A5" s="89" t="str">
        <x:v>FILE</x:v>
      </x:c>
      <x:c r="B5" s="89" t="str">
        <x:v>Книга R004</x:v>
      </x:c>
      <x:c r="C5" s="89" t="str">
        <x:v>C:\УК 21\INPUT\СПРАВОЧНИКИ\UK_Актуальные_правила_сверки_2026-07-30_R004_ALL_HIERARCHY.xlsx</x:v>
      </x:c>
      <x:c r="D5" s="89" t="str">
        <x:v>0277620449F342F1564B9CFEC175F5829E4CEF62F452787776AC8BDCD2986916</x:v>
      </x:c>
      <x:c r="E5" s="89" t="str">
        <x:v>VERIFIED</x:v>
      </x:c>
      <x:c r="F5" s="89" t="str">
        <x:v>База иерархии</x:v>
      </x:c>
      <x:c r="G5" s="89" t="str">
        <x:v>Не разрешает загрузку</x:v>
      </x:c>
    </x:row>
    <x:row r="6">
      <x:c r="A6" s="73" t="str">
        <x:v>FILE</x:v>
      </x:c>
      <x:c r="B6" s="73" t="str">
        <x:v>Политика движка R005</x:v>
      </x:c>
      <x:c r="C6" s="73" t="str">
        <x:v>C:\Выгрузка Журнала Проводок ОСВ\reconciliation_core\mappings\uk_project_policy.v1.json</x:v>
      </x:c>
      <x:c r="D6" s="73" t="str">
        <x:v>FC2DD72AB76630BB8F0D7FDC7CFA364C5D82DF48FDCF825427C7D3249F0006EA</x:v>
      </x:c>
      <x:c r="E6" s="73" t="str">
        <x:v>VERIFIED</x:v>
      </x:c>
      <x:c r="F6" s="73" t="str">
        <x:v>Машинный гейт</x:v>
      </x:c>
      <x:c r="G6" s="73" t="str">
        <x:v>Fail-closed</x:v>
      </x:c>
    </x:row>
    <x:row r="7">
      <x:c r="A7" s="89" t="str">
        <x:v>FILE</x:v>
      </x:c>
      <x:c r="B7" s="89" t="str">
        <x:v>Справочник статей ERP</x:v>
      </x:c>
      <x:c r="C7" s="89" t="str">
        <x:v>C:\УК 21\INPUT\СПРАВОЧНИКИ\ерп\СтатьиДоходовИРасходовЕРП.xlsx</x:v>
      </x:c>
      <x:c r="D7" s="89" t="str">
        <x:v>8C7CA0E3884BB78F610A95E01A935DEBF55871312D3193728B248E7C4A197BBF</x:v>
      </x:c>
      <x:c r="E7" s="89" t="str">
        <x:v>VERIFIED</x:v>
      </x:c>
      <x:c r="F7" s="89" t="str">
        <x:v>Точная идентичность</x:v>
      </x:c>
      <x:c r="G7" s="89" t="str">
        <x:v>Имя без пути недостаточно</x:v>
      </x:c>
    </x:row>
    <x:row r="8">
      <x:c r="A8" s="73" t="str">
        <x:v>FILE</x:v>
      </x:c>
      <x:c r="B8" s="73" t="str">
        <x:v>Промпт проекта</x:v>
      </x:c>
      <x:c r="C8" s="73" t="str">
        <x:v>C:\УК 21\INPUT\ТРЕБУЕМЫЙ РЕЗУЛЬТАТ\выходной отчет пример\Промт_для_чатов_по_организациям_ОПИУ_по_образцу.txt</x:v>
      </x:c>
      <x:c r="D8" s="73" t="str">
        <x:v>0FD33909613C8DC1EBB31D0B1F4C57C39653F28D9BA186C29C63B377F4D5F5A3</x:v>
      </x:c>
      <x:c r="E8" s="73" t="str">
        <x:v>VERIFIED_R005</x:v>
      </x:c>
      <x:c r="F8" s="73" t="str">
        <x:v>Формат работы</x:v>
      </x:c>
      <x:c r="G8" s="73" t="str">
        <x:v>R005 зарегистрирован в конце файла</x:v>
      </x:c>
    </x:row>
    <x:row r="9">
      <x:c r="A9" s="89" t="str">
        <x:v>FILE</x:v>
      </x:c>
      <x:c r="B9" s="89" t="str">
        <x:v>Срез месяцев JSON</x:v>
      </x:c>
      <x:c r="C9" s="89" t="str">
        <x:v>C:\УК 21\.codex_work\project_actualization_20260730\snapshot\UK_PROJECT_SNAPSHOT_R005_20260730.json</x:v>
      </x:c>
      <x:c r="D9" s="89" t="str">
        <x:v>FB581543B5D5536FFCDDD1DF90F2AC353E6878DA7ED578ADA2426380C645865B</x:v>
      </x:c>
      <x:c r="E9" s="89" t="str">
        <x:v>VERIFIED</x:v>
      </x:c>
      <x:c r="F9" s="89" t="str">
        <x:v>Нормализация 12 месяцев</x:v>
      </x:c>
      <x:c r="G9" s="89" t="str">
        <x:v>Не заменяет исходные findings</x:v>
      </x:c>
    </x:row>
    <x:row r="10">
      <x:c r="A10" s="73" t="str">
        <x:v>TASK</x:v>
      </x:c>
      <x:c r="B10" s="73" t="str">
        <x:v>Управление проектом</x:v>
      </x:c>
      <x:c r="C10" s="73" t="str">
        <x:v>6a693943-fe14-83eb-ad5c-504858eac377</x:v>
      </x:c>
      <x:c r="D10" s="73" t="str"/>
      <x:c r="E10" s="73" t="str">
        <x:v>REVIEWED</x:v>
      </x:c>
      <x:c r="F10" s="73" t="str">
        <x:v>R004 и общие гейты</x:v>
      </x:c>
      <x:c r="G10" s="73" t="str">
        <x:v>Chat summary</x:v>
      </x:c>
    </x:row>
    <x:row r="11">
      <x:c r="A11" s="89" t="str">
        <x:v>TASK</x:v>
      </x:c>
      <x:c r="B11" s="89" t="str">
        <x:v>Управляющая компания ОПИУ 2025</x:v>
      </x:c>
      <x:c r="C11" s="89" t="str">
        <x:v>6a6939ca-91e4-83ed-b560-8d9c9f1cce74</x:v>
      </x:c>
      <x:c r="D11" s="89" t="str"/>
      <x:c r="E11" s="89" t="str">
        <x:v>REVIEWED</x:v>
      </x:c>
      <x:c r="F11" s="89" t="str">
        <x:v>Проводки и исключения</x:v>
      </x:c>
      <x:c r="G11" s="89" t="str">
        <x:v>Проверять файлами</x:v>
      </x:c>
    </x:row>
    <x:row r="12">
      <x:c r="A12" s="73" t="str">
        <x:v>TASK</x:v>
      </x:c>
      <x:c r="B12" s="73" t="str">
        <x:v>Маппинг статей и счетов</x:v>
      </x:c>
      <x:c r="C12" s="73" t="str">
        <x:v>6a69397c-09c8-83eb-b968-de56b1f2b5dc</x:v>
      </x:c>
      <x:c r="D12" s="73" t="str"/>
      <x:c r="E12" s="73" t="str">
        <x:v>REVIEWED</x:v>
      </x:c>
      <x:c r="F12" s="73" t="str">
        <x:v>Идентичность статей</x:v>
      </x:c>
      <x:c r="G12" s="73" t="str">
        <x:v>Проверять файлами</x:v>
      </x:c>
    </x:row>
    <x:row r="13">
      <x:c r="A13" s="89" t="str">
        <x:v>TASK</x:v>
      </x:c>
      <x:c r="B13" s="89" t="str">
        <x:v>Проверка отчетов и форм</x:v>
      </x:c>
      <x:c r="C13" s="89" t="str">
        <x:v>6a69b5af-4594-83eb-89f0-fcbd852ab7bd</x:v>
      </x:c>
      <x:c r="D13" s="89" t="str"/>
      <x:c r="E13" s="89" t="str">
        <x:v>REVIEWED</x:v>
      </x:c>
      <x:c r="F13" s="89" t="str">
        <x:v>Формулы и формы</x:v>
      </x:c>
      <x:c r="G13" s="89" t="str">
        <x:v>Проверять файлами</x:v>
      </x:c>
    </x:row>
    <x:row r="14">
      <x:c r="A14" s="73" t="str">
        <x:v>TASK</x:v>
      </x:c>
      <x:c r="B14" s="73" t="str">
        <x:v>Технический чат 1С/Codex</x:v>
      </x:c>
      <x:c r="C14" s="73" t="str">
        <x:v>6a693997-b2f8-83eb-a1f0-4ea41c828a59</x:v>
      </x:c>
      <x:c r="D14" s="73" t="str"/>
      <x:c r="E14" s="73" t="str">
        <x:v>REVIEWED</x:v>
      </x:c>
      <x:c r="F14" s="73" t="str">
        <x:v>1С и движок</x:v>
      </x:c>
      <x:c r="G14" s="73" t="str">
        <x:v>Не подтверждает live 1С</x:v>
      </x:c>
    </x:row>
    <x:row r="15">
      <x:c r="A15" s="89" t="str">
        <x:v>TASK</x:v>
      </x:c>
      <x:c r="B15" s="89" t="str">
        <x:v>Январь и правила</x:v>
      </x:c>
      <x:c r="C15" s="89" t="str">
        <x:v>019fac0b-d822-77a0-8ab4-dfd2ece500b1</x:v>
      </x:c>
      <x:c r="D15" s="89" t="str"/>
      <x:c r="E15" s="89" t="str">
        <x:v>REVIEWED</x:v>
      </x:c>
      <x:c r="F15" s="89" t="str">
        <x:v>R004 январь</x:v>
      </x:c>
      <x:c r="G15" s="89" t="str">
        <x:v>Итог BLOCKED</x:v>
      </x:c>
    </x:row>
    <x:row r="16">
      <x:c r="A16" s="73" t="str">
        <x:v>TASK</x:v>
      </x:c>
      <x:c r="B16" s="73" t="str">
        <x:v>Январь–апрель</x:v>
      </x:c>
      <x:c r="C16" s="73" t="str">
        <x:v>019fad29-c817-7f23-8fb4-44dfe5980c31</x:v>
      </x:c>
      <x:c r="D16" s="73" t="str"/>
      <x:c r="E16" s="73" t="str">
        <x:v>REVIEWED</x:v>
      </x:c>
      <x:c r="F16" s="73" t="str">
        <x:v>Форминг-репорт</x:v>
      </x:c>
      <x:c r="G16" s="73" t="str">
        <x:v>R004 неполон</x:v>
      </x:c>
    </x:row>
    <x:row r="17">
      <x:c r="A17" s="89" t="str">
        <x:v>TASK</x:v>
      </x:c>
      <x:c r="B17" s="89" t="str">
        <x:v>Май</x:v>
      </x:c>
      <x:c r="C17" s="89" t="str">
        <x:v>019fadd0-d764-7470-b367-54f9f31ed114</x:v>
      </x:c>
      <x:c r="D17" s="89" t="str"/>
      <x:c r="E17" s="89" t="str">
        <x:v>REVIEWED</x:v>
      </x:c>
      <x:c r="F17" s="89" t="str">
        <x:v>R004 v07</x:v>
      </x:c>
      <x:c r="G17" s="89" t="str">
        <x:v>BLOCKED</x:v>
      </x:c>
    </x:row>
    <x:row r="18">
      <x:c r="A18" s="73" t="str">
        <x:v>TASK</x:v>
      </x:c>
      <x:c r="B18" s="73" t="str">
        <x:v>Июнь</x:v>
      </x:c>
      <x:c r="C18" s="73" t="str">
        <x:v>019fadd1-4d63-7b60-9cb2-2ee1a38a7ca1</x:v>
      </x:c>
      <x:c r="D18" s="73" t="str"/>
      <x:c r="E18" s="73" t="str">
        <x:v>REVIEWED</x:v>
      </x:c>
      <x:c r="F18" s="73" t="str">
        <x:v>R006 устарел; правило НДФЛ обновлено</x:v>
      </x:c>
      <x:c r="G18" s="73" t="str">
        <x:v>Бизнес-сверка завершена, release BLOCKED</x:v>
      </x:c>
    </x:row>
    <x:row r="19">
      <x:c r="A19" s="89" t="str">
        <x:v>TASK</x:v>
      </x:c>
      <x:c r="B19" s="89" t="str">
        <x:v>Июль</x:v>
      </x:c>
      <x:c r="C19" s="89" t="str">
        <x:v>019fadd1-896c-7b11-b3e9-8f6e322ff344</x:v>
      </x:c>
      <x:c r="D19" s="89" t="str"/>
      <x:c r="E19" s="89" t="str">
        <x:v>REVIEWED</x:v>
      </x:c>
      <x:c r="F19" s="89" t="str">
        <x:v>Регистрация R004</x:v>
      </x:c>
      <x:c r="G19" s="89" t="str">
        <x:v>Не пересчитан</x:v>
      </x:c>
    </x:row>
    <x:row r="20">
      <x:c r="A20" s="73" t="str">
        <x:v>TASK</x:v>
      </x:c>
      <x:c r="B20" s="73" t="str">
        <x:v>Август</x:v>
      </x:c>
      <x:c r="C20" s="73" t="str">
        <x:v>019fadd1-bcd1-7872-9ca1-dd7d4fc1c715</x:v>
      </x:c>
      <x:c r="D20" s="73" t="str"/>
      <x:c r="E20" s="73" t="str">
        <x:v>REVIEWED</x:v>
      </x:c>
      <x:c r="F20" s="73" t="str">
        <x:v>Регистрация R004</x:v>
      </x:c>
      <x:c r="G20" s="73" t="str">
        <x:v>Не пересчитан</x:v>
      </x:c>
    </x:row>
    <x:row r="21">
      <x:c r="A21" s="89" t="str">
        <x:v>TASK</x:v>
      </x:c>
      <x:c r="B21" s="89" t="str">
        <x:v>Сентябрь</x:v>
      </x:c>
      <x:c r="C21" s="89" t="str">
        <x:v>019fadd2-1919-7480-a839-222e8bb9193d</x:v>
      </x:c>
      <x:c r="D21" s="89" t="str"/>
      <x:c r="E21" s="89" t="str">
        <x:v>REVIEWED</x:v>
      </x:c>
      <x:c r="F21" s="89" t="str">
        <x:v>Регистрация R004</x:v>
      </x:c>
      <x:c r="G21" s="89" t="str">
        <x:v>Не пересчитан</x:v>
      </x:c>
    </x:row>
    <x:row r="22">
      <x:c r="A22" s="73" t="str">
        <x:v>TASK</x:v>
      </x:c>
      <x:c r="B22" s="73" t="str">
        <x:v>Октябрь</x:v>
      </x:c>
      <x:c r="C22" s="73" t="str">
        <x:v>019fadd2-9579-7e53-8e10-3f46ce220973</x:v>
      </x:c>
      <x:c r="D22" s="73" t="str"/>
      <x:c r="E22" s="73" t="str">
        <x:v>REVIEWED</x:v>
      </x:c>
      <x:c r="F22" s="73" t="str">
        <x:v>Регистрация R004</x:v>
      </x:c>
      <x:c r="G22" s="73" t="str">
        <x:v>Не пересчитан</x:v>
      </x:c>
    </x:row>
    <x:row r="23">
      <x:c r="A23" s="89" t="str">
        <x:v>TASK</x:v>
      </x:c>
      <x:c r="B23" s="89" t="str">
        <x:v>Ноябрь</x:v>
      </x:c>
      <x:c r="C23" s="89" t="str">
        <x:v>019fadd3-0b6f-79b0-aa46-1d83a3f616cd</x:v>
      </x:c>
      <x:c r="D23" s="89" t="str"/>
      <x:c r="E23" s="89" t="str">
        <x:v>REVIEWED</x:v>
      </x:c>
      <x:c r="F23" s="89" t="str">
        <x:v>Регистрация R004</x:v>
      </x:c>
      <x:c r="G23" s="89" t="str">
        <x:v>Не пересчитан</x:v>
      </x:c>
    </x:row>
    <x:row r="24">
      <x:c r="A24" s="76" t="str">
        <x:v>TASK</x:v>
      </x:c>
      <x:c r="B24" s="76" t="str">
        <x:v>Декабрь</x:v>
      </x:c>
      <x:c r="C24" s="76" t="str">
        <x:v>019fadde-0084-73e0-8db3-9fc1cd54237b</x:v>
      </x:c>
      <x:c r="D24" s="76" t="str"/>
      <x:c r="E24" s="76" t="str">
        <x:v>REVIEWED</x:v>
      </x:c>
      <x:c r="F24" s="76" t="str">
        <x:v>Закрытие анализа</x:v>
      </x:c>
      <x:c r="G24" s="76" t="str">
        <x:v>Release BLOCKED</x:v>
      </x:c>
    </x:row>
    <x:row r="25" ht="58" customHeight="1">
      <x:c r="A25" s="73" t="str">
        <x:v>FILE</x:v>
      </x:c>
      <x:c r="B25" s="73" t="str">
        <x:v>ERP журнал — НДФЛ Стройиндустрия</x:v>
      </x:c>
      <x:c r="C25" s="73" t="str">
        <x:v>C:\УК 21\INPUT\входные данне ерп\УК_ЕРП_2025_Версия20\1С_ERP_Управление_холдингом_9 Управляющая компания_2025-06_01_Журнал_проводок_МСФО.xlsx</x:v>
      </x:c>
      <x:c r="D25" s="73" t="str">
        <x:v>90E38C3607B41906C0469D0CE9B7C165B8046260E7964A07A95B8B5C906D1A8F</x:v>
      </x:c>
      <x:c r="E25" s="73" t="str">
        <x:v>VERIFIED_EXACT_ROW</x:v>
      </x:c>
      <x:c r="F25" s="73" t="str">
        <x:v>Лист_1!736; Трансляция 0000000347; №35; 4 875,00</x:v>
      </x:c>
      <x:c r="G25" s="73" t="str">
        <x:v>Источник STORNO</x:v>
      </x:c>
    </x:row>
    <x:row r="26" ht="58" customHeight="1">
      <x:c r="A26" s="73" t="str">
        <x:v>FILE</x:v>
      </x:c>
      <x:c r="B26" s="73" t="str">
        <x:v>Инталев журнал — НДФЛ Стройиндустрия</x:v>
      </x:c>
      <x:c r="C26" s="73" t="str">
        <x:v>C:\УК 21\INPUT\ВХОДНЫЕ ДАННЫЕ ИНТАЛЕВ\УК 2025\ПланетаИнноваций_ЦД_ЦЗ Фонд развития\2025-06_ЦД_ЦЗ Фонд развития\ЦД_ЦЗ Фонд развития_Журнал_Операций_2025-06.xlsx</x:v>
      </x:c>
      <x:c r="D26" s="73" t="str">
        <x:v>BC226FC50EC8C24DE2DEA18CD9212F33790DA6ACEAFD15E73DE1AC33922DFBCC</x:v>
      </x:c>
      <x:c r="E26" s="73" t="str">
        <x:v>VERIFIED_EXACT_ROW</x:v>
      </x:c>
      <x:c r="F26" s="73" t="str">
        <x:v>TDSheet!861; Проформа 00000000579; №4; 4 875,00</x:v>
      </x:c>
      <x:c r="G26" s="73" t="str">
        <x:v>Целевая аналитика</x:v>
      </x:c>
    </x:row>
    <x:row r="27" ht="58" customHeight="1">
      <x:c r="A27" s="73" t="str">
        <x:v>IMAGE</x:v>
      </x:c>
      <x:c r="B27" s="73" t="str">
        <x:v>Подтверждение пользователя</x:v>
      </x:c>
      <x:c r="C27" s="73" t="str">
        <x:v>C:\Users\Lapshina\AppData\Local\Temp\codex-clipboard-8958e61e-d450-43e6-a725-ae5ca91d0410.png</x:v>
      </x:c>
      <x:c r="D27" s="73" t="str">
        <x:v>35CDF250076A50450A82BD184E9DCBC2784334464E0F1FD4FDFB443353A9AC86</x:v>
      </x:c>
      <x:c r="E27" s="73" t="str">
        <x:v>REVIEWED</x:v>
      </x:c>
      <x:c r="F27" s="73" t="str">
        <x:v>Меняем НДФЛ Стройиндустрии на страховые взносы</x:v>
      </x:c>
      <x:c r="G27" s="73" t="str">
        <x:v>Не заменяет журнал/НСИ</x:v>
      </x:c>
    </x:row>
    <x:row r="28" ht="58" customHeight="1">
      <x:c r="A28" s="73" t="str">
        <x:v>RULE</x:v>
      </x:c>
      <x:c r="B28" s="73" t="str">
        <x:v>UK-R005-OVR-NDFL-STROY-001</x:v>
      </x:c>
      <x:c r="C28" s="73" t="str">
        <x:v>C:\Выгрузка Журнала Проводок ОСВ\reconciliation_core\mappings\uk_project_policy.v1.json</x:v>
      </x:c>
      <x:c r="D28" s="73" t="str">
        <x:v>FC2DD72AB76630BB8F0D7FDC7CFA364C5D82DF48FDCF825427C7D3249F0006EA</x:v>
      </x:c>
      <x:c r="E28" s="73" t="str">
        <x:v>ACTIVE_FAIL_CLOSED</x:v>
      </x:c>
      <x:c r="F28" s="73" t="str">
        <x:v>Точное исключение для всех последующих расчетов</x:v>
      </x:c>
      <x:c r="G28" s="73" t="str">
        <x:v>Только exact identity</x:v>
      </x:c>
    </x:row>
    <x:row r="29" ht="72" customHeight="1">
      <x:c r="A29" s="21" t="str">
        <x:v>FILE</x:v>
      </x:c>
      <x:c r="B29" s="21" t="str">
        <x:v>Январь 2025 — свежий ERP журнал</x:v>
      </x:c>
      <x:c r="C29" s="21" t="str">
        <x:v>C:\УК 21\INPUT\Работа с корректировками\Январь КУ 2\1С_ERP_Управление_холдингом_9 Управляющая компания_2025-01_01_Журнал_проводок_МСФО.xlsx</x:v>
      </x:c>
      <x:c r="D29" s="21" t="str">
        <x:v>F9B216E2B0698D131FB0B4E6DC9CFA132013C2214E11C93DCDC4AAEE1670CB87</x:v>
      </x:c>
      <x:c r="E29" s="21" t="str">
        <x:v>VERIFIED_EXACT_ROWS</x:v>
      </x:c>
      <x:c r="F29" s="21" t="str">
        <x:v>44 связи ФЗП/НДФЛ; ERP строки ФЗП 452–483 и 572–583; НДФЛ 502–533 и 588–599</x:v>
      </x:c>
      <x:c r="G29" s="21" t="str">
        <x:v>Не заменяет live 1С</x:v>
      </x:c>
    </x:row>
    <x:row r="30" ht="72" customHeight="1">
      <x:c r="A30" s="21" t="str">
        <x:v>FILE</x:v>
      </x:c>
      <x:c r="B30" s="21" t="str">
        <x:v>Январь 2025 — свежий ERP ОПИУ</x:v>
      </x:c>
      <x:c r="C30" s="21" t="str">
        <x:v>C:\УК 21\INPUT\Работа с корректировками\Январь КУ 2\1С_ERP_Управление_холдингом_9 Управляющая компания_2025-01_03_ОПИУ.xlsx</x:v>
      </x:c>
      <x:c r="D30" s="21" t="str">
        <x:v>BA8C56D6B4B09FAC88CE94F226CDD269848164677F6344C776BB73D55E35A40D</x:v>
      </x:c>
      <x:c r="E30" s="21" t="str">
        <x:v>VERIFIED</x:v>
      </x:c>
      <x:c r="F30" s="21" t="str">
        <x:v>Родитель ФЗП 8 603 248,22; текущий ФЗП 8 582 071,75</x:v>
      </x:c>
      <x:c r="G30" s="21" t="str">
        <x:v>До закрытия 26→99</x:v>
      </x:c>
    </x:row>
    <x:row r="31" ht="72" customHeight="1">
      <x:c r="A31" s="21" t="str">
        <x:v>FILE</x:v>
      </x:c>
      <x:c r="B31" s="21" t="str">
        <x:v>Январь R002 — отчет пересорта</x:v>
      </x:c>
      <x:c r="C31" s="21" t="str">
        <x:v>C:\УК 21\outputs\019fb136-2719-7673-8383-3ff93868ff49\Январь_пересорт_R002_DRAFT_DO_NOT_UPLOAD\Отчет_пересорт_ОПИУ_УК_2025-01_R002_DRAFT_DO_NOT_UPLOAD.xlsx</x:v>
      </x:c>
      <x:c r="D31" s="21" t="str">
        <x:v>69F8DEA85E90AC582A965E3E013552209C9F998BB30E0517187E0A84246C65F7</x:v>
      </x:c>
      <x:c r="E31" s="21" t="str">
        <x:v>VERIFIED_DRAFT</x:v>
      </x:c>
      <x:c r="F31" s="21" t="str">
        <x:v>44 пары; 88 строк; ФЗП → НДФЛ 824 716,00</x:v>
      </x:c>
      <x:c r="G31" s="21" t="str">
        <x:v>DRAFT_DO_NOT_UPLOAD</x:v>
      </x:c>
    </x:row>
    <x:row r="32" ht="72" customHeight="1">
      <x:c r="A32" s="21" t="str">
        <x:v>FILE</x:v>
      </x:c>
      <x:c r="B32" s="21" t="str">
        <x:v>Январь R002 — загрузка ГКП</x:v>
      </x:c>
      <x:c r="C32" s="21" t="str">
        <x:v>C:\УК 21\outputs\019fb136-2719-7673-8383-3ff93868ff49\Январь_пересорт_R002_DRAFT_DO_NOT_UPLOAD\[ООО Группа компаний Планета][31.01.2025]_ОПИУ_RECLASS_R002.xlsx</x:v>
      </x:c>
      <x:c r="D32" s="21" t="str">
        <x:v>20D68712A173F78E6AABB04130BF997A4670D9A8753C093013B63EBA36121EE7</x:v>
      </x:c>
      <x:c r="E32" s="21" t="str">
        <x:v>VERIFIED_DRAFT</x:v>
      </x:c>
      <x:c r="F32" s="21" t="str">
        <x:v>32 пары; 64 строки; 564 815,00</x:v>
      </x:c>
      <x:c r="G32" s="21" t="str">
        <x:v>DRAFT_DO_NOT_UPLOAD</x:v>
      </x:c>
    </x:row>
    <x:row r="33" ht="72" customHeight="1">
      <x:c r="A33" s="21" t="str">
        <x:v>FILE</x:v>
      </x:c>
      <x:c r="B33" s="21" t="str">
        <x:v>Январь R002 — загрузка Планета Инноваций</x:v>
      </x:c>
      <x:c r="C33" s="21" t="str">
        <x:v>C:\УК 21\outputs\019fb136-2719-7673-8383-3ff93868ff49\Январь_пересорт_R002_DRAFT_DO_NOT_UPLOAD\[ООО Планета Инноваций][31.01.2025]_ОПИУ_RECLASS_R002.xlsx</x:v>
      </x:c>
      <x:c r="D33" s="21" t="str">
        <x:v>3F42F50542DB65C85794C3C1E8AE26A759E2D1C15A65EB0506E2287E87245034</x:v>
      </x:c>
      <x:c r="E33" s="21" t="str">
        <x:v>VERIFIED_DRAFT</x:v>
      </x:c>
      <x:c r="F33" s="21" t="str">
        <x:v>12 пар; 24 строки; 259 901,00</x:v>
      </x:c>
      <x:c r="G33" s="21" t="str">
        <x:v>DRAFT_DO_NOT_UPLOAD</x:v>
      </x:c>
    </x:row>
    <x:row r="34" ht="72" customHeight="1">
      <x:c r="A34" s="21" t="str">
        <x:v>TASK</x:v>
      </x:c>
      <x:c r="B34" s="21" t="str">
        <x:v>Убрать пересорт за январь</x:v>
      </x:c>
      <x:c r="C34" s="21" t="str">
        <x:v>019fb136-2719-7673-8383-3ff93868ff49</x:v>
      </x:c>
      <x:c r="D34" s="21"/>
      <x:c r="E34" s="21" t="str">
        <x:v>REVIEWED</x:v>
      </x:c>
      <x:c r="F34" s="21" t="str">
        <x:v>R005-A02; R001 superseded; R002 rebuilt from Январь КУ 2</x:v>
      </x:c>
      <x:c r="G34" s="21" t="str">
        <x:v>Бизнес-сверка завершена; release BLOCKED</x:v>
      </x:c>
    </x:row>
    <x:row r="35" ht="78" customHeight="1">
      <x:c r="A35" s="21" t="str">
        <x:v>FILE</x:v>
      </x:c>
      <x:c r="B35" s="21" t="str">
        <x:v>Февраль 2025 — свежий ERP журнал</x:v>
      </x:c>
      <x:c r="C35" s="21" t="str">
        <x:v>C:\УК 21\INPUT\Работа с корректировками\ФЕВРАЛЬ УК\1С_ERP_Управление_холдингом_9 Управляющая компания_2025-02_01_Журнал_проводок_МСФО.xlsx</x:v>
      </x:c>
      <x:c r="D35" s="21" t="str">
        <x:v>9B35A56927E80CFD5E5141975E73B7D49FEFC011095E4C485490F69878BE9352</x:v>
      </x:c>
      <x:c r="E35" s="21" t="str">
        <x:v>VERIFIED_EXACT_ROWS</x:v>
      </x:c>
      <x:c r="F35" s="21" t="str">
        <x:v>51 источник; 45 связок ФЗП/НДФЛ; строки 18, 20, 651, 780, 833, 858</x:v>
      </x:c>
      <x:c r="G35" s="21" t="str">
        <x:v>Не заменяет live 1С</x:v>
      </x:c>
    </x:row>
    <x:row r="36" ht="78" customHeight="1">
      <x:c r="A36" s="21" t="str">
        <x:v>FILE</x:v>
      </x:c>
      <x:c r="B36" s="21" t="str">
        <x:v>Февраль 2025 — свежий ERP ОПИУ</x:v>
      </x:c>
      <x:c r="C36" s="21" t="str">
        <x:v>C:\УК 21\INPUT\Работа с корректировками\ФЕВРАЛЬ УК\1С_ERP_Управление_холдингом_9 Управляющая компания_2025-02_03_ОПИУ.xlsx</x:v>
      </x:c>
      <x:c r="D36" s="21" t="str">
        <x:v>F708657F03ED35D0B1D78F278B2CA3785D0B22B45ED04751C90E043499247763</x:v>
      </x:c>
      <x:c r="E36" s="21" t="str">
        <x:v>VERIFIED</x:v>
      </x:c>
      <x:c r="F36" s="21" t="str">
        <x:v>234 видимые строки; 124 ненулевые</x:v>
      </x:c>
      <x:c r="G36" s="21" t="str">
        <x:v>После загрузки нужен повторный ОПИУ</x:v>
      </x:c>
    </x:row>
    <x:row r="37" ht="78" customHeight="1">
      <x:c r="A37" s="21" t="str">
        <x:v>FILE</x:v>
      </x:c>
      <x:c r="B37" s="21" t="str">
        <x:v>Февраль 2025 — исходная ERP ОСВ</x:v>
      </x:c>
      <x:c r="C37" s="21" t="str">
        <x:v>C:\УК 21\INPUT\Работа с корректировками\ФЕВРАЛЬ УК\1С_ERP_Управление_холдингом_9 Управляющая компания_2025-02_04_ОСВ_МСФО.xlsx</x:v>
      </x:c>
      <x:c r="D37" s="21" t="str">
        <x:v>59A56E96B0EF54FEE74A6330EEF2AED48533F561ACDF545EB54094A7073BFE66</x:v>
      </x:c>
      <x:c r="E37" s="21" t="str">
        <x:v>VERIFIED_PRE_LOAD</x:v>
      </x:c>
      <x:c r="F37" s="21" t="str">
        <x:v>Исходный контроль</x:v>
      </x:c>
      <x:c r="G37" s="21" t="str">
        <x:v>Не является ОСВ после загрузки</x:v>
      </x:c>
    </x:row>
    <x:row r="38" ht="78" customHeight="1">
      <x:c r="A38" s="21" t="str">
        <x:v>FILE</x:v>
      </x:c>
      <x:c r="B38" s="21" t="str">
        <x:v>Intalev — отмеченная годовая цель</x:v>
      </x:c>
      <x:c r="C38" s="21" t="str">
        <x:v>C:\УК 21\INPUT\Работа с корректировками\ОПИУ ИнталевДекабрьОтмечено.xlsx</x:v>
      </x:c>
      <x:c r="D38" s="21" t="str">
        <x:v>77473ADC317DB2F907E924020CE9E16777962EEF6C42B606AA48B92AF38896A9</x:v>
      </x:c>
      <x:c r="E38" s="21" t="str">
        <x:v>VERIFIED_ALL_VISIBLE_NODES</x:v>
      </x:c>
      <x:c r="F38" s="21" t="str">
        <x:v>660 узлов февраля; 170 родителей</x:v>
      </x:c>
      <x:c r="G38" s="21" t="str">
        <x:v>11 child_sum FAIL остаются блокерами</x:v>
      </x:c>
    </x:row>
    <x:row r="39" ht="78" customHeight="1">
      <x:c r="A39" s="21" t="str">
        <x:v>FILE</x:v>
      </x:c>
      <x:c r="B39" s="21" t="str">
        <x:v>Intalev — детальный журнал февраля</x:v>
      </x:c>
      <x:c r="C39" s="21" t="str">
        <x:v>C:\УК 21\INPUT\ВХОДНЫЕ ДАННЫЕ ИНТАЛЕВ\УК 2025\ПланетаИнноваций_ЦД_ЦЗ Фонд развития\2025-02_ЦД_ЦЗ Фонд развития\ЦД_ЦЗ Фонд развития_Журнал_Операций_2025-02.xlsx</x:v>
      </x:c>
      <x:c r="D39" s="21" t="str">
        <x:v>5911AA084DD9C76A426CF85B12CD3F169953BE2E72B18894082DA82898CA3DE8</x:v>
      </x:c>
      <x:c r="E39" s="21" t="str">
        <x:v>VERIFIED_EXACT_ROWS</x:v>
      </x:c>
      <x:c r="F39" s="21" t="str">
        <x:v>Целевые листья и содержание операций</x:v>
      </x:c>
      <x:c r="G39" s="21" t="str">
        <x:v>Не заменяет точную ERP-идентичность</x:v>
      </x:c>
    </x:row>
    <x:row r="40" ht="78" customHeight="1">
      <x:c r="A40" s="21" t="str">
        <x:v>JSON</x:v>
      </x:c>
      <x:c r="B40" s="21" t="str">
        <x:v>Февраль R005-A03 — findings</x:v>
      </x:c>
      <x:c r="C40" s="21" t="str">
        <x:v>C:\УК 21\.codex_work\feb_uk_r005_019fb1c7\findings_february_r005.json</x:v>
      </x:c>
      <x:c r="D40" s="21" t="str">
        <x:v>D32F7CA568634553EB50F8D26DA624EFED6D1D3F3A0D9B9D6A890A558DF9AC72</x:v>
      </x:c>
      <x:c r="E40" s="21" t="str">
        <x:v>VERIFIED</x:v>
      </x:c>
      <x:c r="F40" s="21" t="str">
        <x:v>51 пара; классификация mapping/formula/no-posting</x:v>
      </x:c>
      <x:c r="G40" s="21" t="str">
        <x:v>Локальная доказательная ревизия</x:v>
      </x:c>
    </x:row>
    <x:row r="41" ht="78" customHeight="1">
      <x:c r="A41" s="21" t="str">
        <x:v>FILE</x:v>
      </x:c>
      <x:c r="B41" s="21" t="str">
        <x:v>Февраль R001 — контрольный отчет</x:v>
      </x:c>
      <x:c r="C41" s="21" t="str">
        <x:v>C:\УК 21\outputs\019fb1c7-c0e1-7783-b520-19b94cef6774\Февраль_сверка_R001\Отчет_сверка_ОПИУ_УК_2025-02_R001.xlsx</x:v>
      </x:c>
      <x:c r="D41" s="21" t="str">
        <x:v>561829534AD07BF9F9D832DFF62D976933003E133D0E538FB65CC1A5C5FBA0E5</x:v>
      </x:c>
      <x:c r="E41" s="21" t="str">
        <x:v>VERIFIED_BLOCKED</x:v>
      </x:c>
      <x:c r="F41" s="21" t="str">
        <x:v>11 листов; полная трасса</x:v>
      </x:c>
      <x:c r="G41" s="21" t="str">
        <x:v>ready_to_upload=false</x:v>
      </x:c>
    </x:row>
    <x:row r="42" ht="78" customHeight="1">
      <x:c r="A42" s="21" t="str">
        <x:v>FILE</x:v>
      </x:c>
      <x:c r="B42" s="21" t="str">
        <x:v>Февраль R001 — загрузка ООО "Группа компаний "Планета" 28.02.2025</x:v>
      </x:c>
      <x:c r="C42" s="21" t="str">
        <x:v>C:\УК 21\outputs\019fb1c7-c0e1-7783-b520-19b94cef6774\Февраль_сверка_R001\[ООО Группа компаний Планета][28.02.2025]_ОПИУ_RECLASS_R001.xlsx</x:v>
      </x:c>
      <x:c r="D42" s="21" t="str">
        <x:v>FFAEDA6D7DCDC802617428D0A9F1D40B773C0D1762C0B4E632C79F8B077CD746</x:v>
      </x:c>
      <x:c r="E42" s="21" t="str">
        <x:v>VERIFIED_BLOCKED</x:v>
      </x:c>
      <x:c r="F42" s="21" t="str">
        <x:v>34 пар; 68 строк; 702831.75</x:v>
      </x:c>
      <x:c r="G42" s="21" t="str">
        <x:v>Чистое имя; статус внутри; live preflight обязателен</x:v>
      </x:c>
    </x:row>
    <x:row r="43" ht="78" customHeight="1">
      <x:c r="A43" s="21" t="str">
        <x:v>FILE</x:v>
      </x:c>
      <x:c r="B43" s="21" t="str">
        <x:v>Февраль R001 — загрузка ООО "Планета Инноваций" 28.02.2025</x:v>
      </x:c>
      <x:c r="C43" s="21" t="str">
        <x:v>C:\УК 21\outputs\019fb1c7-c0e1-7783-b520-19b94cef6774\Февраль_сверка_R001\[ООО Планета Инноваций][28.02.2025]_ОПИУ_RECLASS_R001.xlsx</x:v>
      </x:c>
      <x:c r="D43" s="21" t="str">
        <x:v>28D338DE152E24F1AD7EF7D21DEE9211378761FF396E987D753A1513477F6AA2</x:v>
      </x:c>
      <x:c r="E43" s="21" t="str">
        <x:v>VERIFIED_BLOCKED</x:v>
      </x:c>
      <x:c r="F43" s="21" t="str">
        <x:v>13 пар; 26 строк; 273058.05</x:v>
      </x:c>
      <x:c r="G43" s="21" t="str">
        <x:v>Чистое имя; статус внутри; live preflight обязателен</x:v>
      </x:c>
    </x:row>
    <x:row r="44" ht="78" customHeight="1">
      <x:c r="A44" s="21" t="str">
        <x:v>FILE</x:v>
      </x:c>
      <x:c r="B44" s="21" t="str">
        <x:v>Февраль R001 — загрузка ООО "Группа компаний "Планета" 03.02.2025</x:v>
      </x:c>
      <x:c r="C44" s="21" t="str">
        <x:v>C:\УК 21\outputs\019fb1c7-c0e1-7783-b520-19b94cef6774\Февраль_сверка_R001\[ООО Группа компаний Планета][03.02.2025]_ОПИУ_RECLASS_R001.xlsx</x:v>
      </x:c>
      <x:c r="D44" s="21" t="str">
        <x:v>05073AA5F9419A5C08361D37078B61FAFDB6068E3E8D88CBCF4AFB3E9F2491A9</x:v>
      </x:c>
      <x:c r="E44" s="21" t="str">
        <x:v>VERIFIED_BLOCKED</x:v>
      </x:c>
      <x:c r="F44" s="21" t="str">
        <x:v>2 пар; 4 строк; 44379.20</x:v>
      </x:c>
      <x:c r="G44" s="21" t="str">
        <x:v>Чистое имя; статус внутри; live preflight обязателен</x:v>
      </x:c>
    </x:row>
    <x:row r="45" ht="78" customHeight="1">
      <x:c r="A45" s="21" t="str">
        <x:v>FILE</x:v>
      </x:c>
      <x:c r="B45" s="21" t="str">
        <x:v>Февраль R001 — загрузка ГК 28.02.2025</x:v>
      </x:c>
      <x:c r="C45" s="21" t="str">
        <x:v>C:\УК 21\outputs\019fb1c7-c0e1-7783-b520-19b94cef6774\Февраль_сверка_R001\[ГК][28.02.2025]_ОПИУ_RECLASS_R001.xlsx</x:v>
      </x:c>
      <x:c r="D45" s="21" t="str">
        <x:v>E146D0D877CBD1123147E0E8CFD23C2E0FD33AE41FDEFADE1DF4BF40729BB685</x:v>
      </x:c>
      <x:c r="E45" s="21" t="str">
        <x:v>VERIFIED_BLOCKED</x:v>
      </x:c>
      <x:c r="F45" s="21" t="str">
        <x:v>2 пар; 4 строк; 16765.41</x:v>
      </x:c>
      <x:c r="G45" s="21" t="str">
        <x:v>Чистое имя; статус внутри; live preflight обязателен</x:v>
      </x:c>
    </x:row>
    <x:row r="46" ht="78" customHeight="1">
      <x:c r="A46" s="21" t="str">
        <x:v>TASK</x:v>
      </x:c>
      <x:c r="B46" s="21" t="str">
        <x:v>Сверка февраля</x:v>
      </x:c>
      <x:c r="C46" s="21" t="str">
        <x:v>019fb1c7-c0e1-7783-b520-19b94cef6774</x:v>
      </x:c>
      <x:c r="D46" s="21"/>
      <x:c r="E46" s="21" t="str">
        <x:v>REVIEWED</x:v>
      </x:c>
      <x:c r="F46" s="21" t="str">
        <x:v>R005-A03 и февральский пакет R001</x:v>
      </x:c>
      <x:c r="G46" s="21" t="str">
        <x:v>Release BLOCKED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66" hidden="0" customWidth="1"/>
    <x:col min="5" max="5" width="16" hidden="0" customWidth="1"/>
    <x:col min="6" max="6" width="34" hidden="0" customWidth="1"/>
  </x:cols>
  <x:sheetData>
    <x:row r="1" ht="34" customHeight="1">
      <x:c r="A1" s="120" t="str">
        <x:v>История и приоритет версий</x:v>
      </x:c>
      <x:c r="B1" s="120" t="str">
        <x:v>История и приоритет версий</x:v>
      </x:c>
      <x:c r="C1" s="120" t="str">
        <x:v>История и приоритет версий</x:v>
      </x:c>
      <x:c r="D1" s="120" t="str">
        <x:v>История и приоритет версий</x:v>
      </x:c>
      <x:c r="E1" s="120" t="str">
        <x:v>История и приоритет версий</x:v>
      </x:c>
      <x:c r="F1" s="120" t="str">
        <x:v>История и приоритет версий</x:v>
      </x:c>
    </x:row>
    <x:row r="2" ht="34" customHeight="1">
      <x:c r="A2" s="41" t="str">
        <x:v>Версии правил проекта и ревизии месячных пакетов ведутся раздельно.</x:v>
      </x:c>
      <x:c r="B2" s="41" t="str">
        <x:v>Версии правил проекта и ревизии месячных пакетов ведутся раздельно.</x:v>
      </x:c>
      <x:c r="C2" s="41" t="str">
        <x:v>Версии правил проекта и ревизии месячных пакетов ведутся раздельно.</x:v>
      </x:c>
      <x:c r="D2" s="41" t="str">
        <x:v>Версии правил проекта и ревизии месячных пакетов ведутся раздельно.</x:v>
      </x:c>
      <x:c r="E2" s="41" t="str">
        <x:v>Версии правил проекта и ревизии месячных пакетов ведутся раздельно.</x:v>
      </x:c>
      <x:c r="F2" s="41" t="str">
        <x:v>Версии правил проекта и ревизии месячных пакетов ведутся раздельно.</x:v>
      </x:c>
    </x:row>
    <x:row r="3">
      <x:c r="A3" s="121"/>
      <x:c r="B3" s="121"/>
      <x:c r="C3" s="121"/>
      <x:c r="D3" s="121"/>
      <x:c r="E3" s="121"/>
      <x:c r="F3" s="121"/>
    </x:row>
    <x:row r="4">
      <x:c r="A4" s="72" t="str">
        <x:v>Версия</x:v>
      </x:c>
      <x:c r="B4" s="72" t="str">
        <x:v>Тип</x:v>
      </x:c>
      <x:c r="C4" s="72" t="str">
        <x:v>Статус</x:v>
      </x:c>
      <x:c r="D4" s="72" t="str">
        <x:v>Назначение</x:v>
      </x:c>
      <x:c r="E4" s="72" t="str">
        <x:v>Преемник</x:v>
      </x:c>
      <x:c r="F4" s="72" t="str">
        <x:v>Применение</x:v>
      </x:c>
    </x:row>
    <x:row r="5">
      <x:c r="A5" s="89" t="str">
        <x:v>R001</x:v>
      </x:c>
      <x:c r="B5" s="89" t="str">
        <x:v>Правила проекта</x:v>
      </x:c>
      <x:c r="C5" s="89" t="str">
        <x:v>HISTORICAL</x:v>
      </x:c>
      <x:c r="D5" s="89" t="str">
        <x:v>Начальная база</x:v>
      </x:c>
      <x:c r="E5" s="89" t="str">
        <x:v>R002</x:v>
      </x:c>
      <x:c r="F5" s="89" t="str">
        <x:v>Только история</x:v>
      </x:c>
    </x:row>
    <x:row r="6">
      <x:c r="A6" s="73" t="str">
        <x:v>R002</x:v>
      </x:c>
      <x:c r="B6" s="73" t="str">
        <x:v>Правила проекта</x:v>
      </x:c>
      <x:c r="C6" s="73" t="str">
        <x:v>HISTORICAL</x:v>
      </x:c>
      <x:c r="D6" s="73" t="str">
        <x:v>Справочники и мэппинг</x:v>
      </x:c>
      <x:c r="E6" s="73" t="str">
        <x:v>R003</x:v>
      </x:c>
      <x:c r="F6" s="73" t="str">
        <x:v>Только история</x:v>
      </x:c>
    </x:row>
    <x:row r="7">
      <x:c r="A7" s="89" t="str">
        <x:v>R003</x:v>
      </x:c>
      <x:c r="B7" s="89" t="str">
        <x:v>Правила проекта</x:v>
      </x:c>
      <x:c r="C7" s="89" t="str">
        <x:v>SUPERSEDED</x:v>
      </x:c>
      <x:c r="D7" s="89" t="str">
        <x:v>Строковые правила и декабрьская логика</x:v>
      </x:c>
      <x:c r="E7" s="89" t="str">
        <x:v>R004</x:v>
      </x:c>
      <x:c r="F7" s="89" t="str">
        <x:v>Гипотезы до проверки</x:v>
      </x:c>
    </x:row>
    <x:row r="8">
      <x:c r="A8" s="73" t="str">
        <x:v>R004</x:v>
      </x:c>
      <x:c r="B8" s="73" t="str">
        <x:v>Правила проекта</x:v>
      </x:c>
      <x:c r="C8" s="73" t="str">
        <x:v>BASELINE</x:v>
      </x:c>
      <x:c r="D8" s="73" t="str">
        <x:v>Полная иерархия</x:v>
      </x:c>
      <x:c r="E8" s="73" t="str">
        <x:v>R005</x:v>
      </x:c>
      <x:c r="F8" s="73" t="str">
        <x:v>Обязательная база</x:v>
      </x:c>
    </x:row>
    <x:row r="9">
      <x:c r="A9" s="89" t="str">
        <x:v>R005</x:v>
      </x:c>
      <x:c r="B9" s="89" t="str">
        <x:v>Правила проекта</x:v>
      </x:c>
      <x:c r="C9" s="106" t="str">
        <x:v>ACTIVE</x:v>
      </x:c>
      <x:c r="D9" s="89" t="str">
        <x:v>Консолидированный гейт и разрешение конфликтов</x:v>
      </x:c>
      <x:c r="E9" s="89" t="str"/>
      <x:c r="F9" s="89" t="str">
        <x:v>Текущая версия</x:v>
      </x:c>
    </x:row>
    <x:row r="10">
      <x:c r="A10" s="76" t="str">
        <x:v>R006 / v07</x:v>
      </x:c>
      <x:c r="B10" s="76" t="str">
        <x:v>Ревизия пакета</x:v>
      </x:c>
      <x:c r="C10" s="76" t="str">
        <x:v>MONTH_LOCAL</x:v>
      </x:c>
      <x:c r="D10" s="76" t="str">
        <x:v>Локальные доработки месяца</x:v>
      </x:c>
      <x:c r="E10" s="76" t="str"/>
      <x:c r="F10" s="76" t="str">
        <x:v>Не перекрывает R005</x:v>
      </x:c>
    </x:row>
    <x:row r="11" ht="48" customHeight="1">
      <x:c r="A11" s="73" t="str">
        <x:v>R005-A01</x:v>
      </x:c>
      <x:c r="B11" s="73" t="str">
        <x:v>Поправка правил проекта</x:v>
      </x:c>
      <x:c r="C11" s="106" t="str">
        <x:v>ACTIVE</x:v>
      </x:c>
      <x:c r="D11" s="73" t="str">
        <x:v>НДФЛ Стройиндустрия → страховые взносы; июнь бизнес-закрыт</x:v>
      </x:c>
      <x:c r="E11" s="73" t="str"/>
      <x:c r="F11" s="73" t="str">
        <x:v>Точная идентичность; release fail-closed</x:v>
      </x:c>
    </x:row>
    <x:row r="12" ht="60" customHeight="1">
      <x:c r="A12" s="21" t="str">
        <x:v>R005-A02</x:v>
      </x:c>
      <x:c r="B12" s="21" t="str">
        <x:v>Поправка правил проекта</x:v>
      </x:c>
      <x:c r="C12" s="21" t="str">
        <x:v>ACTIVE</x:v>
      </x:c>
      <x:c r="D12" s="21" t="str">
        <x:v>Всегда раскрывать все группировки до листьев; январь бизнес-сверен, R001 устарел, R002 подтвержден; имена выгрузок без BLOCKED/DRAFT-маркеров.</x:v>
      </x:c>
      <x:c r="E12" s="21"/>
      <x:c r="F12" s="21" t="str">
        <x:v>Все месяцы; release fail-closed</x:v>
      </x:c>
    </x:row>
    <x:row r="13" ht="120" customHeight="1">
      <x:c r="A13" s="21" t="str">
        <x:v>R005-A03</x:v>
      </x:c>
      <x:c r="B13" s="21" t="str">
        <x:v>Поправка правил проекта</x:v>
      </x:c>
      <x:c r="C13" s="21" t="str">
        <x:v>ACTIVE</x:v>
      </x:c>
      <x:c r="D13" s="21" t="str">
        <x:v>Февраль: 51 точная пара / 102 строки; 45 НДФЛ на 975 705,00; ИТ 36 564; юридические 8 000; НДФЛ→страховые 4 875; кредиты 11 890,41. Депозиты — mapping; 29 000 и −2,06 без проводок.</x:v>
      </x:c>
      <x:c r="E13" s="21"/>
      <x:c r="F13" s="21" t="str">
        <x:v>2025-02 exact current evidence; release fail-closed</x:v>
      </x:c>
    </x:row>
    <x:row r="14" ht="72" customHeight="1">
      <x:c r="A14" s="19" t="str">
        <x:v>R005-A04</x:v>
      </x:c>
      <x:c r="B14" s="19" t="str">
        <x:v>Поправка правил проекта</x:v>
      </x:c>
      <x:c r="C14" s="19" t="str">
        <x:v>ACTIVE</x:v>
      </x:c>
      <x:c r="D14" s="19" t="str">
        <x:v>Нулевая дельта подтвержденной группы означает перенос статей через STORNO/REPOST, а не UPDATE_MAPPING. Знаки пары определяются исходной проводкой: STORNO = −source_amount, REPOST = source_amount.</x:v>
      </x:c>
      <x:c r="E14" s="19"/>
      <x:c r="F14" s="19" t="str">
        <x:v>Все месяцы; candidate-only; release fail-closed</x:v>
      </x:c>
    </x:row>
  </x:sheetData>
  <x:mergeCells>
    <x:mergeCell ref="A1:F1"/>
    <x:mergeCell ref="A2:F2"/>
  </x:mergeCells>
  <x:pageMargins left="0.7" right="0.7" top="0.75" bottom="0.75" header="0.3" footer="0.3"/>
</x:worksheet>
</file>