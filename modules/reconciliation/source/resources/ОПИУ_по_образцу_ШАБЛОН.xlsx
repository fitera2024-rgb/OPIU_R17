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213d5c61244f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Паспорт" sheetId="1" r:id="Rb51e57d15d8c4b31"/>
    <x:sheet xmlns:r="http://schemas.openxmlformats.org/officeDocument/2006/relationships" name="01_Свод_ОПИУ" sheetId="2" r:id="R682a2a153e43481e"/>
    <x:sheet xmlns:r="http://schemas.openxmlformats.org/officeDocument/2006/relationships" name="02_Месяц" sheetId="3" r:id="Rbb650d3c29604c3c"/>
    <x:sheet xmlns:r="http://schemas.openxmlformats.org/officeDocument/2006/relationships" name="03_Корректировки" sheetId="4" r:id="Rda3c73abaade435d"/>
    <x:sheet xmlns:r="http://schemas.openxmlformats.org/officeDocument/2006/relationships" name="04_Влияние_ОПИУ" sheetId="5" r:id="R67f20539d8354d91"/>
    <x:sheet xmlns:r="http://schemas.openxmlformats.org/officeDocument/2006/relationships" name="05_Неопределенные" sheetId="6" r:id="R7bc59314c3344250"/>
    <x:sheet xmlns:r="http://schemas.openxmlformats.org/officeDocument/2006/relationships" name="06_Источники_ERP" sheetId="7" r:id="R39795999e7284a50"/>
    <x:sheet xmlns:r="http://schemas.openxmlformats.org/officeDocument/2006/relationships" name="07_Кандидаты_Инталев" sheetId="8" r:id="R3ba5a691943e442d"/>
    <x:sheet xmlns:r="http://schemas.openxmlformats.org/officeDocument/2006/relationships" name="08_Решения" sheetId="9" r:id="Rb9a70f50c5e646cb"/>
    <x:sheet xmlns:r="http://schemas.openxmlformats.org/officeDocument/2006/relationships" name="09_Контроли" sheetId="10" r:id="Rad46e5a20f244eaf"/>
    <x:sheet xmlns:r="http://schemas.openxmlformats.org/officeDocument/2006/relationships" name="99_Списки" sheetId="11" r:id="R1dd26ee51ba448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[Red]-#,##0.00;-"/>
  </x:numFmts>
  <x:fonts count="9">
    <x:font>
      <x:sz val="11"/>
      <x:name val="Carlito"/>
    </x:font>
    <x:font>
      <x:b/>
      <x:sz val="14"/>
      <x:color rgb="FFFFFFFF"/>
      <x:name val="Carlito"/>
    </x:font>
    <x:font>
      <x:b/>
      <x:sz val="10"/>
      <x:color rgb="FF1F1F1F"/>
      <x:name val="Carlito"/>
    </x:font>
    <x:font>
      <x:b/>
      <x:sz val="10"/>
      <x:color rgb="FF9C0006"/>
      <x:name val="Carlito"/>
    </x:font>
    <x:font>
      <x:b/>
      <x:sz val="9"/>
      <x:color rgb="FFFFFFFF"/>
      <x:name val="Carlito"/>
    </x:font>
    <x:font>
      <x:sz val="9"/>
      <x:color rgb="FF1F1F1F"/>
      <x:name val="Carlito"/>
    </x:font>
    <x:font>
      <x:b/>
      <x:sz val="9"/>
      <x:color rgb="FF1F1F1F"/>
      <x:name val="Carlito"/>
    </x:font>
    <x:font>
      <x:b/>
      <x:sz val="8"/>
      <x:color rgb="FF1F1F1F"/>
      <x:name val="Carlito"/>
    </x:font>
    <x:font>
      <x:sz val="9"/>
      <x:color rgb="FF1F1F1F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7DA4C8"/>
      </x:patternFill>
    </x:fill>
    <x:fill>
      <x:patternFill patternType="solid">
        <x:fgColor rgb="FFD9EAF7"/>
      </x:patternFill>
    </x:fill>
    <x:fill>
      <x:patternFill patternType="solid">
        <x:fgColor rgb="FFFFE699"/>
      </x:patternFill>
    </x:fill>
    <x:fill>
      <x:patternFill patternType="solid">
        <x:fgColor rgb="FF4472C4"/>
      </x:patternFill>
    </x:fill>
    <x:fill>
      <x:patternFill patternType="solid">
        <x:fgColor rgb="FFF7F9FB"/>
      </x:patternFill>
    </x:fill>
    <x:fill>
      <x:patternFill patternType="solid">
        <x:fgColor rgb="FFE6FFE6"/>
      </x:patternFill>
    </x:fill>
    <x:fill>
      <x:patternFill patternType="solid">
        <x:fgColor rgb="FFEAF3F8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4CCCC"/>
      </x:patternFill>
    </x:fill>
    <x:fill>
      <x:patternFill patternType="solid">
        <x:fgColor rgb="FFCCFFFF"/>
      </x:patternFill>
    </x:fill>
    <x:fill>
      <x:patternFill patternType="solid">
        <x:fgColor rgb="FFFFFFFF"/>
      </x:patternFill>
    </x:fill>
    <x:fill>
      <x:patternFill patternType="solid">
        <x:fgColor rgb="FFFFFF99"/>
      </x:patternFill>
    </x:fill>
    <x:fill>
      <x:patternFill patternType="solid">
        <x:fgColor rgb="FFD9EAD3"/>
      </x:patternFill>
    </x:fill>
    <x:fill>
      <x:patternFill patternType="solid">
        <x:fgColor rgb="FFEAF2F8"/>
      </x:patternFill>
    </x:fill>
  </x:fills>
  <x:borders count="4">
    <x:border/>
    <x:border/>
    <x:border>
      <x:left style="thin">
        <x:color rgb="FFB8C4D0"/>
      </x:left>
      <x:right style="thin">
        <x:color rgb="FFB8C4D0"/>
      </x:right>
      <x:top style="thin">
        <x:color rgb="FFB8C4D0"/>
      </x:top>
      <x:bottom style="thin">
        <x:color rgb="FFB8C4D0"/>
      </x:bottom>
    </x:border>
    <x:border>
      <x:left style="thin">
        <x:color rgb="FFB8C4D0"/>
      </x:left>
      <x:right style="thin">
        <x:color rgb="FFB8C4D0"/>
      </x:right>
      <x:top style="thin">
        <x:color rgb="FFB8C4D0"/>
      </x:top>
      <x:bottom style="thin">
        <x:color rgb="FFB8C4D0"/>
      </x:bottom>
    </x:border>
  </x:borders>
  <x:cellStyleXfs count="1">
    <x:xf numFmtId="0" fontId="0" fillId="0" borderId="0"/>
  </x:cellStyleXfs>
  <x:cellXfs count="30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left" wrapText="1"/>
    </x:xf>
    <x:xf numFmtId="0" fontId="5" fillId="6" borderId="0" xfId="0" applyNumberFormat="1" applyFont="1" applyFill="1" applyBorder="1" applyAlignment="1">
      <x:alignment horizontal="left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left" wrapText="1"/>
    </x:xf>
    <x:xf numFmtId="0" fontId="5" fillId="6" borderId="1" xfId="0" applyNumberFormat="1" applyFont="1" applyFill="1" applyBorder="1" applyAlignment="1">
      <x:alignment horizontal="left" vertical="center" wrapText="1"/>
    </x:xf>
    <x:xf numFmtId="0" fontId="5" fillId="6" borderId="2" xfId="0" applyNumberFormat="1" applyFont="1" applyFill="1" applyBorder="1" applyAlignment="1">
      <x:alignment horizontal="left" vertical="center" wrapText="1"/>
    </x:xf>
    <x:xf numFmtId="0" fontId="5" fillId="6" borderId="3" xfId="0" applyNumberFormat="1" applyFont="1" applyFill="1" applyBorder="1" applyAlignment="1">
      <x:alignment horizontal="left" vertical="center" wrapText="1"/>
    </x:xf>
    <x:xf numFmtId="0" fontId="6" fillId="6" borderId="2" xfId="0" applyNumberFormat="1" applyFont="1" applyFill="1" applyBorder="1" applyAlignment="1">
      <x:alignment horizontal="left" vertical="center" wrapText="1"/>
    </x:xf>
    <x:xf numFmtId="0" fontId="6" fillId="6" borderId="3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horizontal="center" wrapText="1"/>
    </x:xf>
    <x:xf numFmtId="0" fontId="7" fillId="7" borderId="1" xfId="0" applyNumberFormat="1" applyFont="1" applyFill="1" applyBorder="1" applyAlignment="1">
      <x:alignment horizontal="center" vertical="center" wrapText="1"/>
    </x:xf>
    <x:xf numFmtId="0" fontId="7" fillId="7" borderId="2" xfId="0" applyNumberFormat="1" applyFont="1" applyFill="1" applyBorder="1" applyAlignment="1">
      <x:alignment horizontal="center" vertical="center" wrapText="1"/>
    </x:xf>
    <x:xf numFmtId="0" fontId="7" fillId="7" borderId="3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horizont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7" fillId="8" borderId="1" xfId="0" applyNumberFormat="1" applyFont="1" applyFill="1" applyBorder="1"/>
    <x:xf numFmtId="0" fontId="7" fillId="8" borderId="1" xfId="0" applyNumberFormat="1" applyFont="1" applyFill="1" applyBorder="1" applyAlignment="1">
      <x:alignment wrapText="1"/>
    </x:xf>
    <x:xf numFmtId="0" fontId="7" fillId="8" borderId="1" xfId="0" applyNumberFormat="1" applyFont="1" applyFill="1" applyBorder="1" applyAlignment="1">
      <x:alignment horizontal="center" wrapText="1"/>
    </x:xf>
    <x:xf numFmtId="0" fontId="7" fillId="8" borderId="1" xfId="0" applyNumberFormat="1" applyFont="1" applyFill="1" applyBorder="1" applyAlignment="1">
      <x:alignment horizontal="center" vertical="center" wrapText="1"/>
    </x:xf>
    <x:xf numFmtId="0" fontId="7" fillId="8" borderId="2" xfId="0" applyNumberFormat="1" applyFont="1" applyFill="1" applyBorder="1" applyAlignment="1">
      <x:alignment horizontal="center" vertical="center" wrapText="1"/>
    </x:xf>
    <x:xf numFmtId="0" fontId="7" fillId="8" borderId="3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horizont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/>
    <x:xf numFmtId="0" fontId="7" fillId="9" borderId="1" xfId="0" applyNumberFormat="1" applyFont="1" applyFill="1" applyBorder="1"/>
    <x:xf numFmtId="0" fontId="7" fillId="9" borderId="1" xfId="0" applyNumberFormat="1" applyFont="1" applyFill="1" applyBorder="1" applyAlignment="1">
      <x:alignment wrapText="1"/>
    </x:xf>
    <x:xf numFmtId="0" fontId="7" fillId="9" borderId="1" xfId="0" applyNumberFormat="1" applyFont="1" applyFill="1" applyBorder="1" applyAlignment="1">
      <x:alignment horizontal="center" wrapText="1"/>
    </x:xf>
    <x:xf numFmtId="0" fontId="7" fillId="9" borderId="1" xfId="0" applyNumberFormat="1" applyFont="1" applyFill="1" applyBorder="1" applyAlignment="1">
      <x:alignment horizontal="center" vertical="center" wrapText="1"/>
    </x:xf>
    <x:xf numFmtId="0" fontId="7" fillId="9" borderId="2" xfId="0" applyNumberFormat="1" applyFont="1" applyFill="1" applyBorder="1" applyAlignment="1">
      <x:alignment horizontal="center" vertical="center" wrapText="1"/>
    </x:xf>
    <x:xf numFmtId="0" fontId="7" fillId="9" borderId="3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 horizontal="center" wrapText="1"/>
    </x:xf>
    <x:xf numFmtId="0" fontId="7" fillId="10" borderId="0" xfId="0" applyNumberFormat="1" applyFont="1" applyFill="1" applyBorder="1" applyAlignment="1">
      <x:alignment horizontal="center" vertical="center" wrapText="1"/>
    </x:xf>
    <x:xf numFmtId="0" fontId="0" fillId="10" borderId="1" xfId="0" applyNumberFormat="1" applyFont="1" applyFill="1" applyBorder="1"/>
    <x:xf numFmtId="0" fontId="7" fillId="10" borderId="1" xfId="0" applyNumberFormat="1" applyFont="1" applyFill="1" applyBorder="1"/>
    <x:xf numFmtId="0" fontId="7" fillId="10" borderId="1" xfId="0" applyNumberFormat="1" applyFont="1" applyFill="1" applyBorder="1" applyAlignment="1">
      <x:alignment wrapText="1"/>
    </x:xf>
    <x:xf numFmtId="0" fontId="7" fillId="10" borderId="1" xfId="0" applyNumberFormat="1" applyFont="1" applyFill="1" applyBorder="1" applyAlignment="1">
      <x:alignment horizontal="center" wrapText="1"/>
    </x:xf>
    <x:xf numFmtId="0" fontId="7" fillId="10" borderId="1" xfId="0" applyNumberFormat="1" applyFont="1" applyFill="1" applyBorder="1" applyAlignment="1">
      <x:alignment horizontal="center" vertical="center" wrapText="1"/>
    </x:xf>
    <x:xf numFmtId="0" fontId="7" fillId="10" borderId="2" xfId="0" applyNumberFormat="1" applyFont="1" applyFill="1" applyBorder="1" applyAlignment="1">
      <x:alignment horizontal="center" vertical="center" wrapText="1"/>
    </x:xf>
    <x:xf numFmtId="0" fontId="7" fillId="10" borderId="3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7" fillId="11" borderId="0" xfId="0" applyNumberFormat="1" applyFont="1" applyFill="1" applyBorder="1"/>
    <x:xf numFmtId="0" fontId="7" fillId="11" borderId="0" xfId="0" applyNumberFormat="1" applyFont="1" applyFill="1" applyBorder="1" applyAlignment="1">
      <x:alignment wrapText="1"/>
    </x:xf>
    <x:xf numFmtId="0" fontId="7" fillId="11" borderId="0" xfId="0" applyNumberFormat="1" applyFont="1" applyFill="1" applyBorder="1" applyAlignment="1">
      <x:alignment horizontal="center" wrapText="1"/>
    </x:xf>
    <x:xf numFmtId="0" fontId="7" fillId="11" borderId="0" xfId="0" applyNumberFormat="1" applyFont="1" applyFill="1" applyBorder="1" applyAlignment="1">
      <x:alignment horizontal="center" vertical="center" wrapText="1"/>
    </x:xf>
    <x:xf numFmtId="0" fontId="0" fillId="11" borderId="1" xfId="0" applyNumberFormat="1" applyFont="1" applyFill="1" applyBorder="1"/>
    <x:xf numFmtId="0" fontId="7" fillId="11" borderId="1" xfId="0" applyNumberFormat="1" applyFont="1" applyFill="1" applyBorder="1"/>
    <x:xf numFmtId="0" fontId="7" fillId="11" borderId="1" xfId="0" applyNumberFormat="1" applyFont="1" applyFill="1" applyBorder="1" applyAlignment="1">
      <x:alignment wrapText="1"/>
    </x:xf>
    <x:xf numFmtId="0" fontId="7" fillId="11" borderId="1" xfId="0" applyNumberFormat="1" applyFont="1" applyFill="1" applyBorder="1" applyAlignment="1">
      <x:alignment horizontal="center" wrapText="1"/>
    </x:xf>
    <x:xf numFmtId="0" fontId="7" fillId="11" borderId="1" xfId="0" applyNumberFormat="1" applyFont="1" applyFill="1" applyBorder="1" applyAlignment="1">
      <x:alignment horizontal="center" vertical="center" wrapText="1"/>
    </x:xf>
    <x:xf numFmtId="0" fontId="7" fillId="11" borderId="2" xfId="0" applyNumberFormat="1" applyFont="1" applyFill="1" applyBorder="1" applyAlignment="1">
      <x:alignment horizontal="center" vertical="center" wrapText="1"/>
    </x:xf>
    <x:xf numFmtId="0" fontId="7" fillId="11" borderId="3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7" fillId="12" borderId="0" xfId="0" applyNumberFormat="1" applyFont="1" applyFill="1" applyBorder="1" applyAlignment="1">
      <x:alignment wrapText="1"/>
    </x:xf>
    <x:xf numFmtId="0" fontId="7" fillId="12" borderId="0" xfId="0" applyNumberFormat="1" applyFont="1" applyFill="1" applyBorder="1" applyAlignment="1">
      <x:alignment horizontal="center" wrapText="1"/>
    </x:xf>
    <x:xf numFmtId="0" fontId="7" fillId="12" borderId="0" xfId="0" applyNumberFormat="1" applyFont="1" applyFill="1" applyBorder="1" applyAlignment="1">
      <x:alignment horizontal="center" vertical="center" wrapText="1"/>
    </x:xf>
    <x:xf numFmtId="0" fontId="0" fillId="12" borderId="1" xfId="0" applyNumberFormat="1" applyFont="1" applyFill="1" applyBorder="1"/>
    <x:xf numFmtId="0" fontId="7" fillId="12" borderId="1" xfId="0" applyNumberFormat="1" applyFont="1" applyFill="1" applyBorder="1"/>
    <x:xf numFmtId="0" fontId="7" fillId="12" borderId="1" xfId="0" applyNumberFormat="1" applyFont="1" applyFill="1" applyBorder="1" applyAlignment="1">
      <x:alignment wrapText="1"/>
    </x:xf>
    <x:xf numFmtId="0" fontId="7" fillId="12" borderId="1" xfId="0" applyNumberFormat="1" applyFont="1" applyFill="1" applyBorder="1" applyAlignment="1">
      <x:alignment horizontal="center" wrapText="1"/>
    </x:xf>
    <x:xf numFmtId="0" fontId="7" fillId="12" borderId="1" xfId="0" applyNumberFormat="1" applyFont="1" applyFill="1" applyBorder="1" applyAlignment="1">
      <x:alignment horizontal="center" vertical="center" wrapText="1"/>
    </x:xf>
    <x:xf numFmtId="0" fontId="7" fillId="12" borderId="2" xfId="0" applyNumberFormat="1" applyFont="1" applyFill="1" applyBorder="1" applyAlignment="1">
      <x:alignment horizontal="center" vertical="center" wrapText="1"/>
    </x:xf>
    <x:xf numFmtId="0" fontId="7" fillId="12" borderId="3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horizontal="center" wrapText="1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horizontal="center" wrapText="1"/>
    </x:xf>
    <x:xf numFmtId="0" fontId="7" fillId="3" borderId="1" xfId="0" applyNumberFormat="1" applyFont="1" applyFill="1" applyBorder="1" applyAlignment="1">
      <x:alignment horizontal="center" vertical="center" wrapText="1"/>
    </x:xf>
    <x:xf numFmtId="0" fontId="7" fillId="3" borderId="2" xfId="0" applyNumberFormat="1" applyFont="1" applyFill="1" applyBorder="1" applyAlignment="1">
      <x:alignment horizontal="center" vertical="center" wrapText="1"/>
    </x:xf>
    <x:xf numFmtId="0" fontId="7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left" wrapText="1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horizontal="left" wrapText="1"/>
    </x:xf>
    <x:xf numFmtId="0" fontId="5" fillId="0" borderId="1" xfId="0" applyNumberFormat="1" applyFont="1" applyFill="1" applyBorder="1" applyAlignment="1">
      <x:alignment horizontal="left" vertical="center" wrapText="1"/>
    </x:xf>
    <x:xf numFmtId="0" fontId="5" fillId="0" borderId="2" xfId="0" applyNumberFormat="1" applyFont="1" applyFill="1" applyBorder="1" applyAlignment="1">
      <x:alignment horizontal="left" vertical="center" wrapText="1"/>
    </x:xf>
    <x:xf numFmtId="0" fontId="5" fillId="0" borderId="3" xfId="0" applyNumberFormat="1" applyFont="1" applyFill="1" applyBorder="1" applyAlignment="1">
      <x:alignment horizontal="left" vertical="center" wrapText="1"/>
    </x:xf>
    <x:xf numFmtId="0" fontId="5" fillId="3" borderId="2" xfId="0" applyNumberFormat="1" applyFont="1" applyFill="1" applyBorder="1" applyAlignment="1">
      <x:alignment horizontal="left" vertical="center" wrapText="1"/>
    </x:xf>
    <x:xf numFmtId="0" fontId="5" fillId="3" borderId="3" xfId="0" applyNumberFormat="1" applyFont="1" applyFill="1" applyBorder="1" applyAlignment="1">
      <x:alignment horizontal="left" vertical="center" wrapText="1"/>
    </x:xf>
    <x:xf numFmtId="0" fontId="6" fillId="3" borderId="2" xfId="0" applyNumberFormat="1" applyFont="1" applyFill="1" applyBorder="1" applyAlignment="1">
      <x:alignment horizontal="left" vertical="center" wrapText="1"/>
    </x:xf>
    <x:xf numFmtId="0" fontId="6" fillId="3" borderId="3" xfId="0" applyNumberFormat="1" applyFont="1" applyFill="1" applyBorder="1" applyAlignment="1">
      <x:alignment horizontal="left" vertical="center" wrapText="1"/>
    </x:xf>
    <x:xf numFmtId="0" fontId="5" fillId="13" borderId="2" xfId="0" applyNumberFormat="1" applyFont="1" applyFill="1" applyBorder="1" applyAlignment="1">
      <x:alignment horizontal="left" vertical="center" wrapText="1"/>
    </x:xf>
    <x:xf numFmtId="0" fontId="5" fillId="13" borderId="3" xfId="0" applyNumberFormat="1" applyFont="1" applyFill="1" applyBorder="1" applyAlignment="1">
      <x:alignment horizontal="left" vertical="center" wrapText="1"/>
    </x:xf>
    <x:xf numFmtId="0" fontId="6" fillId="13" borderId="2" xfId="0" applyNumberFormat="1" applyFont="1" applyFill="1" applyBorder="1" applyAlignment="1">
      <x:alignment horizontal="left" vertical="center" wrapText="1"/>
    </x:xf>
    <x:xf numFmtId="0" fontId="6" fillId="13" borderId="3" xfId="0" applyNumberFormat="1" applyFont="1" applyFill="1" applyBorder="1" applyAlignment="1">
      <x:alignment horizontal="left" vertical="center" wrapText="1"/>
    </x:xf>
    <x:xf numFmtId="0" fontId="5" fillId="14" borderId="2" xfId="0" applyNumberFormat="1" applyFont="1" applyFill="1" applyBorder="1" applyAlignment="1">
      <x:alignment horizontal="left" vertical="center" wrapText="1"/>
    </x:xf>
    <x:xf numFmtId="0" fontId="5" fillId="14" borderId="3" xfId="0" applyNumberFormat="1" applyFont="1" applyFill="1" applyBorder="1" applyAlignment="1">
      <x:alignment horizontal="left" vertical="center" wrapText="1"/>
    </x:xf>
    <x:xf numFmtId="0" fontId="8" fillId="14" borderId="2" xfId="0" applyNumberFormat="1" applyFont="1" applyFill="1" applyBorder="1" applyAlignment="1">
      <x:alignment horizontal="left" vertical="center" wrapText="1"/>
    </x:xf>
    <x:xf numFmtId="0" fontId="8" fillId="14" borderId="3" xfId="0" applyNumberFormat="1" applyFont="1" applyFill="1" applyBorder="1" applyAlignment="1">
      <x:alignment horizontal="left" vertical="center" wrapText="1"/>
    </x:xf>
    <x:xf numFmtId="0" fontId="5" fillId="15" borderId="2" xfId="0" applyNumberFormat="1" applyFont="1" applyFill="1" applyBorder="1" applyAlignment="1">
      <x:alignment horizontal="left" vertical="center" wrapText="1"/>
    </x:xf>
    <x:xf numFmtId="0" fontId="5" fillId="15" borderId="3" xfId="0" applyNumberFormat="1" applyFont="1" applyFill="1" applyBorder="1" applyAlignment="1">
      <x:alignment horizontal="left" vertical="center" wrapText="1"/>
    </x:xf>
    <x:xf numFmtId="0" fontId="8" fillId="15" borderId="2" xfId="0" applyNumberFormat="1" applyFont="1" applyFill="1" applyBorder="1" applyAlignment="1">
      <x:alignment horizontal="left" vertical="center" wrapText="1"/>
    </x:xf>
    <x:xf numFmtId="0" fontId="8" fillId="15" borderId="3" xfId="0" applyNumberFormat="1" applyFont="1" applyFill="1" applyBorder="1" applyAlignment="1">
      <x:alignment horizontal="left" vertical="center" wrapText="1"/>
    </x:xf>
    <x:xf numFmtId="0" fontId="5" fillId="16" borderId="2" xfId="0" applyNumberFormat="1" applyFont="1" applyFill="1" applyBorder="1" applyAlignment="1">
      <x:alignment horizontal="left" vertical="center" wrapText="1"/>
    </x:xf>
    <x:xf numFmtId="0" fontId="5" fillId="16" borderId="3" xfId="0" applyNumberFormat="1" applyFont="1" applyFill="1" applyBorder="1" applyAlignment="1">
      <x:alignment horizontal="left" vertical="center" wrapText="1"/>
    </x:xf>
    <x:xf numFmtId="0" fontId="6" fillId="16" borderId="2" xfId="0" applyNumberFormat="1" applyFont="1" applyFill="1" applyBorder="1" applyAlignment="1">
      <x:alignment horizontal="left" vertical="center" wrapText="1"/>
    </x:xf>
    <x:xf numFmtId="0" fontId="6" fillId="16" borderId="3" xfId="0" applyNumberFormat="1" applyFont="1" applyFill="1" applyBorder="1" applyAlignment="1">
      <x:alignment horizontal="left" vertical="center" wrapText="1"/>
    </x:xf>
    <x:xf numFmtId="0" fontId="5" fillId="17" borderId="2" xfId="0" applyNumberFormat="1" applyFont="1" applyFill="1" applyBorder="1" applyAlignment="1">
      <x:alignment horizontal="left" vertical="center" wrapText="1"/>
    </x:xf>
    <x:xf numFmtId="0" fontId="5" fillId="17" borderId="3" xfId="0" applyNumberFormat="1" applyFont="1" applyFill="1" applyBorder="1" applyAlignment="1">
      <x:alignment horizontal="left" vertical="center" wrapText="1"/>
    </x:xf>
    <x:xf numFmtId="0" fontId="6" fillId="17" borderId="2" xfId="0" applyNumberFormat="1" applyFont="1" applyFill="1" applyBorder="1" applyAlignment="1">
      <x:alignment horizontal="left" vertical="center" wrapText="1"/>
    </x:xf>
    <x:xf numFmtId="0" fontId="6" fillId="17" borderId="3" xfId="0" applyNumberFormat="1" applyFont="1" applyFill="1" applyBorder="1" applyAlignment="1">
      <x:alignment horizontal="left" vertical="center" wrapText="1"/>
    </x:xf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0"/>
    </x:xf>
    <x:xf numFmtId="0" fontId="5" fillId="7" borderId="0" xfId="0" applyNumberFormat="1" applyFont="1" applyFill="1" applyBorder="1" applyAlignment="1">
      <x:alignment horizontal="right" wrapText="0"/>
    </x:xf>
    <x:xf numFmtId="0" fontId="5" fillId="7" borderId="0" xfId="0" applyNumberFormat="1" applyFont="1" applyFill="1" applyBorder="1" applyAlignment="1">
      <x:alignment horizontal="right" vertical="center" wrapText="0"/>
    </x:xf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0"/>
    </x:xf>
    <x:xf numFmtId="0" fontId="5" fillId="7" borderId="1" xfId="0" applyNumberFormat="1" applyFont="1" applyFill="1" applyBorder="1" applyAlignment="1">
      <x:alignment horizontal="right" wrapText="0"/>
    </x:xf>
    <x:xf numFmtId="0" fontId="5" fillId="7" borderId="1" xfId="0" applyNumberFormat="1" applyFont="1" applyFill="1" applyBorder="1" applyAlignment="1">
      <x:alignment horizontal="right" vertical="center" wrapText="0"/>
    </x:xf>
    <x:xf numFmtId="0" fontId="5" fillId="7" borderId="2" xfId="0" applyNumberFormat="1" applyFont="1" applyFill="1" applyBorder="1" applyAlignment="1">
      <x:alignment horizontal="right" vertical="center" wrapText="0"/>
    </x:xf>
    <x:xf numFmtId="0" fontId="5" fillId="7" borderId="3" xfId="0" applyNumberFormat="1" applyFont="1" applyFill="1" applyBorder="1" applyAlignment="1">
      <x:alignment horizontal="right" vertical="center" wrapText="0"/>
    </x:xf>
    <x:xf numFmtId="200" fontId="5" fillId="7" borderId="2" xfId="0" applyNumberFormat="1" applyFont="1" applyFill="1" applyBorder="1" applyAlignment="1">
      <x:alignment horizontal="right" vertical="center" wrapText="0"/>
    </x:xf>
    <x:xf numFmtId="200" fontId="5" fillId="7" borderId="3" xfId="0" applyNumberFormat="1" applyFont="1" applyFill="1" applyBorder="1" applyAlignment="1">
      <x:alignment horizontal="right" vertical="center" wrapText="0"/>
    </x:xf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0"/>
    </x:xf>
    <x:xf numFmtId="0" fontId="5" fillId="8" borderId="0" xfId="0" applyNumberFormat="1" applyFont="1" applyFill="1" applyBorder="1" applyAlignment="1">
      <x:alignment horizontal="right" wrapText="0"/>
    </x:xf>
    <x:xf numFmtId="0" fontId="5" fillId="8" borderId="0" xfId="0" applyNumberFormat="1" applyFont="1" applyFill="1" applyBorder="1" applyAlignment="1">
      <x:alignment horizontal="right" vertical="center" wrapText="0"/>
    </x:xf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wrapText="0"/>
    </x:xf>
    <x:xf numFmtId="0" fontId="5" fillId="8" borderId="1" xfId="0" applyNumberFormat="1" applyFont="1" applyFill="1" applyBorder="1" applyAlignment="1">
      <x:alignment horizontal="right" wrapText="0"/>
    </x:xf>
    <x:xf numFmtId="0" fontId="5" fillId="8" borderId="1" xfId="0" applyNumberFormat="1" applyFont="1" applyFill="1" applyBorder="1" applyAlignment="1">
      <x:alignment horizontal="right" vertical="center" wrapText="0"/>
    </x:xf>
    <x:xf numFmtId="0" fontId="5" fillId="8" borderId="2" xfId="0" applyNumberFormat="1" applyFont="1" applyFill="1" applyBorder="1" applyAlignment="1">
      <x:alignment horizontal="right" vertical="center" wrapText="0"/>
    </x:xf>
    <x:xf numFmtId="0" fontId="5" fillId="8" borderId="3" xfId="0" applyNumberFormat="1" applyFont="1" applyFill="1" applyBorder="1" applyAlignment="1">
      <x:alignment horizontal="right" vertical="center" wrapText="0"/>
    </x:xf>
    <x:xf numFmtId="200" fontId="5" fillId="8" borderId="2" xfId="0" applyNumberFormat="1" applyFont="1" applyFill="1" applyBorder="1" applyAlignment="1">
      <x:alignment horizontal="right" vertical="center" wrapText="0"/>
    </x:xf>
    <x:xf numFmtId="200" fontId="5" fillId="8" borderId="3" xfId="0" applyNumberFormat="1" applyFont="1" applyFill="1" applyBorder="1" applyAlignment="1">
      <x:alignment horizontal="right" vertical="center" wrapText="0"/>
    </x:xf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0"/>
    </x:xf>
    <x:xf numFmtId="0" fontId="5" fillId="9" borderId="0" xfId="0" applyNumberFormat="1" applyFont="1" applyFill="1" applyBorder="1" applyAlignment="1">
      <x:alignment horizontal="right" wrapText="0"/>
    </x:xf>
    <x:xf numFmtId="0" fontId="5" fillId="9" borderId="0" xfId="0" applyNumberFormat="1" applyFont="1" applyFill="1" applyBorder="1" applyAlignment="1">
      <x:alignment horizontal="right" vertical="center" wrapText="0"/>
    </x:xf>
    <x:xf numFmtId="0" fontId="5" fillId="9" borderId="1" xfId="0" applyNumberFormat="1" applyFont="1" applyFill="1" applyBorder="1"/>
    <x:xf numFmtId="0" fontId="5" fillId="9" borderId="1" xfId="0" applyNumberFormat="1" applyFont="1" applyFill="1" applyBorder="1" applyAlignment="1">
      <x:alignment wrapText="0"/>
    </x:xf>
    <x:xf numFmtId="0" fontId="5" fillId="9" borderId="1" xfId="0" applyNumberFormat="1" applyFont="1" applyFill="1" applyBorder="1" applyAlignment="1">
      <x:alignment horizontal="right" wrapText="0"/>
    </x:xf>
    <x:xf numFmtId="0" fontId="5" fillId="9" borderId="1" xfId="0" applyNumberFormat="1" applyFont="1" applyFill="1" applyBorder="1" applyAlignment="1">
      <x:alignment horizontal="right" vertical="center" wrapText="0"/>
    </x:xf>
    <x:xf numFmtId="0" fontId="5" fillId="9" borderId="2" xfId="0" applyNumberFormat="1" applyFont="1" applyFill="1" applyBorder="1" applyAlignment="1">
      <x:alignment horizontal="right" vertical="center" wrapText="0"/>
    </x:xf>
    <x:xf numFmtId="0" fontId="5" fillId="9" borderId="3" xfId="0" applyNumberFormat="1" applyFont="1" applyFill="1" applyBorder="1" applyAlignment="1">
      <x:alignment horizontal="right" vertical="center" wrapText="0"/>
    </x:xf>
    <x:xf numFmtId="200" fontId="5" fillId="9" borderId="2" xfId="0" applyNumberFormat="1" applyFont="1" applyFill="1" applyBorder="1" applyAlignment="1">
      <x:alignment horizontal="right" vertical="center" wrapText="0"/>
    </x:xf>
    <x:xf numFmtId="200" fontId="5" fillId="9" borderId="3" xfId="0" applyNumberFormat="1" applyFont="1" applyFill="1" applyBorder="1" applyAlignment="1">
      <x:alignment horizontal="right" vertical="center" wrapText="0"/>
    </x:xf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wrapText="0"/>
    </x:xf>
    <x:xf numFmtId="0" fontId="5" fillId="10" borderId="0" xfId="0" applyNumberFormat="1" applyFont="1" applyFill="1" applyBorder="1" applyAlignment="1">
      <x:alignment horizontal="right" wrapText="0"/>
    </x:xf>
    <x:xf numFmtId="0" fontId="5" fillId="10" borderId="0" xfId="0" applyNumberFormat="1" applyFont="1" applyFill="1" applyBorder="1" applyAlignment="1">
      <x:alignment horizontal="right" vertical="center" wrapText="0"/>
    </x:xf>
    <x:xf numFmtId="0" fontId="5" fillId="10" borderId="1" xfId="0" applyNumberFormat="1" applyFont="1" applyFill="1" applyBorder="1"/>
    <x:xf numFmtId="0" fontId="5" fillId="10" borderId="1" xfId="0" applyNumberFormat="1" applyFont="1" applyFill="1" applyBorder="1" applyAlignment="1">
      <x:alignment wrapText="0"/>
    </x:xf>
    <x:xf numFmtId="0" fontId="5" fillId="10" borderId="1" xfId="0" applyNumberFormat="1" applyFont="1" applyFill="1" applyBorder="1" applyAlignment="1">
      <x:alignment horizontal="right" wrapText="0"/>
    </x:xf>
    <x:xf numFmtId="0" fontId="5" fillId="10" borderId="1" xfId="0" applyNumberFormat="1" applyFont="1" applyFill="1" applyBorder="1" applyAlignment="1">
      <x:alignment horizontal="right" vertical="center" wrapText="0"/>
    </x:xf>
    <x:xf numFmtId="0" fontId="5" fillId="10" borderId="2" xfId="0" applyNumberFormat="1" applyFont="1" applyFill="1" applyBorder="1" applyAlignment="1">
      <x:alignment horizontal="right" vertical="center" wrapText="0"/>
    </x:xf>
    <x:xf numFmtId="0" fontId="5" fillId="10" borderId="3" xfId="0" applyNumberFormat="1" applyFont="1" applyFill="1" applyBorder="1" applyAlignment="1">
      <x:alignment horizontal="right" vertical="center" wrapText="0"/>
    </x:xf>
    <x:xf numFmtId="200" fontId="5" fillId="10" borderId="2" xfId="0" applyNumberFormat="1" applyFont="1" applyFill="1" applyBorder="1" applyAlignment="1">
      <x:alignment horizontal="right" vertical="center" wrapText="0"/>
    </x:xf>
    <x:xf numFmtId="200" fontId="5" fillId="10" borderId="3" xfId="0" applyNumberFormat="1" applyFont="1" applyFill="1" applyBorder="1" applyAlignment="1">
      <x:alignment horizontal="right" vertical="center" wrapText="0"/>
    </x:xf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wrapText="0"/>
    </x:xf>
    <x:xf numFmtId="0" fontId="5" fillId="11" borderId="0" xfId="0" applyNumberFormat="1" applyFont="1" applyFill="1" applyBorder="1" applyAlignment="1">
      <x:alignment horizontal="right" wrapText="0"/>
    </x:xf>
    <x:xf numFmtId="0" fontId="5" fillId="11" borderId="0" xfId="0" applyNumberFormat="1" applyFont="1" applyFill="1" applyBorder="1" applyAlignment="1">
      <x:alignment horizontal="right" vertical="center" wrapText="0"/>
    </x:xf>
    <x:xf numFmtId="0" fontId="5" fillId="11" borderId="1" xfId="0" applyNumberFormat="1" applyFont="1" applyFill="1" applyBorder="1"/>
    <x:xf numFmtId="0" fontId="5" fillId="11" borderId="1" xfId="0" applyNumberFormat="1" applyFont="1" applyFill="1" applyBorder="1" applyAlignment="1">
      <x:alignment wrapText="0"/>
    </x:xf>
    <x:xf numFmtId="0" fontId="5" fillId="11" borderId="1" xfId="0" applyNumberFormat="1" applyFont="1" applyFill="1" applyBorder="1" applyAlignment="1">
      <x:alignment horizontal="right" wrapText="0"/>
    </x:xf>
    <x:xf numFmtId="0" fontId="5" fillId="11" borderId="1" xfId="0" applyNumberFormat="1" applyFont="1" applyFill="1" applyBorder="1" applyAlignment="1">
      <x:alignment horizontal="right" vertical="center" wrapText="0"/>
    </x:xf>
    <x:xf numFmtId="0" fontId="5" fillId="11" borderId="2" xfId="0" applyNumberFormat="1" applyFont="1" applyFill="1" applyBorder="1" applyAlignment="1">
      <x:alignment horizontal="right" vertical="center" wrapText="0"/>
    </x:xf>
    <x:xf numFmtId="0" fontId="5" fillId="11" borderId="3" xfId="0" applyNumberFormat="1" applyFont="1" applyFill="1" applyBorder="1" applyAlignment="1">
      <x:alignment horizontal="right" vertical="center" wrapText="0"/>
    </x:xf>
    <x:xf numFmtId="200" fontId="5" fillId="11" borderId="2" xfId="0" applyNumberFormat="1" applyFont="1" applyFill="1" applyBorder="1" applyAlignment="1">
      <x:alignment horizontal="right" vertical="center" wrapText="0"/>
    </x:xf>
    <x:xf numFmtId="200" fontId="5" fillId="11" borderId="3" xfId="0" applyNumberFormat="1" applyFont="1" applyFill="1" applyBorder="1" applyAlignment="1">
      <x:alignment horizontal="right" vertical="center" wrapText="0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wrapText="0"/>
    </x:xf>
    <x:xf numFmtId="0" fontId="5" fillId="14" borderId="0" xfId="0" applyNumberFormat="1" applyFont="1" applyFill="1" applyBorder="1" applyAlignment="1">
      <x:alignment horizontal="right" wrapText="0"/>
    </x:xf>
    <x:xf numFmtId="0" fontId="5" fillId="14" borderId="0" xfId="0" applyNumberFormat="1" applyFont="1" applyFill="1" applyBorder="1" applyAlignment="1">
      <x:alignment horizontal="right" vertical="center" wrapText="0"/>
    </x:xf>
    <x:xf numFmtId="0" fontId="0" fillId="14" borderId="1" xfId="0" applyNumberFormat="1" applyFont="1" applyFill="1" applyBorder="1"/>
    <x:xf numFmtId="0" fontId="5" fillId="14" borderId="1" xfId="0" applyNumberFormat="1" applyFont="1" applyFill="1" applyBorder="1"/>
    <x:xf numFmtId="0" fontId="5" fillId="14" borderId="1" xfId="0" applyNumberFormat="1" applyFont="1" applyFill="1" applyBorder="1" applyAlignment="1">
      <x:alignment wrapText="0"/>
    </x:xf>
    <x:xf numFmtId="0" fontId="5" fillId="14" borderId="1" xfId="0" applyNumberFormat="1" applyFont="1" applyFill="1" applyBorder="1" applyAlignment="1">
      <x:alignment horizontal="right" wrapText="0"/>
    </x:xf>
    <x:xf numFmtId="0" fontId="5" fillId="14" borderId="1" xfId="0" applyNumberFormat="1" applyFont="1" applyFill="1" applyBorder="1" applyAlignment="1">
      <x:alignment horizontal="right" vertical="center" wrapText="0"/>
    </x:xf>
    <x:xf numFmtId="0" fontId="5" fillId="14" borderId="2" xfId="0" applyNumberFormat="1" applyFont="1" applyFill="1" applyBorder="1" applyAlignment="1">
      <x:alignment horizontal="right" vertical="center" wrapText="0"/>
    </x:xf>
    <x:xf numFmtId="0" fontId="5" fillId="14" borderId="3" xfId="0" applyNumberFormat="1" applyFont="1" applyFill="1" applyBorder="1" applyAlignment="1">
      <x:alignment horizontal="right" vertical="center" wrapText="0"/>
    </x:xf>
    <x:xf numFmtId="200" fontId="5" fillId="14" borderId="2" xfId="0" applyNumberFormat="1" applyFont="1" applyFill="1" applyBorder="1" applyAlignment="1">
      <x:alignment horizontal="right" vertical="center" wrapText="0"/>
    </x:xf>
    <x:xf numFmtId="200" fontId="5" fillId="14" borderId="3" xfId="0" applyNumberFormat="1" applyFont="1" applyFill="1" applyBorder="1" applyAlignment="1">
      <x:alignment horizontal="right" vertical="center" wrapText="0"/>
    </x:xf>
    <x:xf numFmtId="0" fontId="5" fillId="14" borderId="0" xfId="0" applyNumberFormat="1" applyFont="1" applyFill="1" applyBorder="1" applyAlignment="1">
      <x:alignment wrapText="1"/>
    </x:xf>
    <x:xf numFmtId="0" fontId="5" fillId="14" borderId="0" xfId="0" applyNumberFormat="1" applyFont="1" applyFill="1" applyBorder="1" applyAlignment="1">
      <x:alignment horizontal="center" wrapText="1"/>
    </x:xf>
    <x:xf numFmtId="0" fontId="5" fillId="14" borderId="0" xfId="0" applyNumberFormat="1" applyFont="1" applyFill="1" applyBorder="1" applyAlignment="1">
      <x:alignment horizontal="center" vertical="center" wrapText="1"/>
    </x:xf>
    <x:xf numFmtId="0" fontId="5" fillId="14" borderId="1" xfId="0" applyNumberFormat="1" applyFont="1" applyFill="1" applyBorder="1" applyAlignment="1">
      <x:alignment wrapText="1"/>
    </x:xf>
    <x:xf numFmtId="0" fontId="5" fillId="14" borderId="1" xfId="0" applyNumberFormat="1" applyFont="1" applyFill="1" applyBorder="1" applyAlignment="1">
      <x:alignment horizontal="center" wrapText="1"/>
    </x:xf>
    <x:xf numFmtId="0" fontId="5" fillId="14" borderId="1" xfId="0" applyNumberFormat="1" applyFont="1" applyFill="1" applyBorder="1" applyAlignment="1">
      <x:alignment horizontal="center" vertical="center" wrapText="1"/>
    </x:xf>
    <x:xf numFmtId="0" fontId="5" fillId="14" borderId="2" xfId="0" applyNumberFormat="1" applyFont="1" applyFill="1" applyBorder="1" applyAlignment="1">
      <x:alignment horizontal="center" vertical="center" wrapText="1"/>
    </x:xf>
    <x:xf numFmtId="0" fontId="5" fillId="14" borderId="3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horizont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5" fillId="7" borderId="2" xfId="0" applyNumberFormat="1" applyFont="1" applyFill="1" applyBorder="1" applyAlignment="1">
      <x:alignment horizontal="left" vertical="center" wrapText="1"/>
    </x:xf>
    <x:xf numFmtId="0" fontId="5" fillId="7" borderId="3" xfId="0" applyNumberFormat="1" applyFont="1" applyFill="1" applyBorder="1" applyAlignment="1">
      <x:alignment horizontal="left" vertical="center" wrapText="1"/>
    </x:xf>
    <x:xf numFmtId="200" fontId="5" fillId="7" borderId="2" xfId="0" applyNumberFormat="1" applyFont="1" applyFill="1" applyBorder="1" applyAlignment="1">
      <x:alignment horizontal="left" vertical="center" wrapText="1"/>
    </x:xf>
    <x:xf numFmtId="200" fontId="5" fillId="7" borderId="3" xfId="0" applyNumberFormat="1" applyFont="1" applyFill="1" applyBorder="1" applyAlignment="1">
      <x:alignment horizontal="left" vertical="center" wrapText="1"/>
    </x:xf>
    <x:xf numFmtId="0" fontId="5" fillId="8" borderId="2" xfId="0" applyNumberFormat="1" applyFont="1" applyFill="1" applyBorder="1" applyAlignment="1">
      <x:alignment horizontal="left" vertical="center" wrapText="1"/>
    </x:xf>
    <x:xf numFmtId="0" fontId="5" fillId="8" borderId="3" xfId="0" applyNumberFormat="1" applyFont="1" applyFill="1" applyBorder="1" applyAlignment="1">
      <x:alignment horizontal="left" vertical="center" wrapText="1"/>
    </x:xf>
    <x:xf numFmtId="200" fontId="5" fillId="8" borderId="2" xfId="0" applyNumberFormat="1" applyFont="1" applyFill="1" applyBorder="1" applyAlignment="1">
      <x:alignment horizontal="left" vertical="center" wrapText="1"/>
    </x:xf>
    <x:xf numFmtId="200" fontId="5" fillId="8" borderId="3" xfId="0" applyNumberFormat="1" applyFont="1" applyFill="1" applyBorder="1" applyAlignment="1">
      <x:alignment horizontal="left" vertical="center" wrapText="1"/>
    </x:xf>
    <x:xf numFmtId="0" fontId="5" fillId="9" borderId="2" xfId="0" applyNumberFormat="1" applyFont="1" applyFill="1" applyBorder="1" applyAlignment="1">
      <x:alignment horizontal="left" vertical="center" wrapText="1"/>
    </x:xf>
    <x:xf numFmtId="0" fontId="5" fillId="9" borderId="3" xfId="0" applyNumberFormat="1" applyFont="1" applyFill="1" applyBorder="1" applyAlignment="1">
      <x:alignment horizontal="left" vertical="center" wrapText="1"/>
    </x:xf>
    <x:xf numFmtId="200" fontId="5" fillId="9" borderId="2" xfId="0" applyNumberFormat="1" applyFont="1" applyFill="1" applyBorder="1" applyAlignment="1">
      <x:alignment horizontal="left" vertical="center" wrapText="1"/>
    </x:xf>
    <x:xf numFmtId="200" fontId="5" fillId="9" borderId="3" xfId="0" applyNumberFormat="1" applyFont="1" applyFill="1" applyBorder="1" applyAlignment="1">
      <x:alignment horizontal="left" vertical="center" wrapText="1"/>
    </x:xf>
    <x:xf numFmtId="0" fontId="5" fillId="10" borderId="2" xfId="0" applyNumberFormat="1" applyFont="1" applyFill="1" applyBorder="1" applyAlignment="1">
      <x:alignment horizontal="left" vertical="center" wrapText="1"/>
    </x:xf>
    <x:xf numFmtId="0" fontId="5" fillId="10" borderId="3" xfId="0" applyNumberFormat="1" applyFont="1" applyFill="1" applyBorder="1" applyAlignment="1">
      <x:alignment horizontal="left" vertical="center" wrapText="1"/>
    </x:xf>
    <x:xf numFmtId="200" fontId="5" fillId="10" borderId="2" xfId="0" applyNumberFormat="1" applyFont="1" applyFill="1" applyBorder="1" applyAlignment="1">
      <x:alignment horizontal="left" vertical="center" wrapText="1"/>
    </x:xf>
    <x:xf numFmtId="200" fontId="5" fillId="10" borderId="3" xfId="0" applyNumberFormat="1" applyFont="1" applyFill="1" applyBorder="1" applyAlignment="1">
      <x:alignment horizontal="left" vertical="center" wrapText="1"/>
    </x:xf>
    <x:xf numFmtId="0" fontId="5" fillId="11" borderId="2" xfId="0" applyNumberFormat="1" applyFont="1" applyFill="1" applyBorder="1" applyAlignment="1">
      <x:alignment horizontal="left" vertical="center" wrapText="1"/>
    </x:xf>
    <x:xf numFmtId="0" fontId="5" fillId="11" borderId="3" xfId="0" applyNumberFormat="1" applyFont="1" applyFill="1" applyBorder="1" applyAlignment="1">
      <x:alignment horizontal="left" vertical="center" wrapText="1"/>
    </x:xf>
    <x:xf numFmtId="200" fontId="5" fillId="11" borderId="2" xfId="0" applyNumberFormat="1" applyFont="1" applyFill="1" applyBorder="1" applyAlignment="1">
      <x:alignment horizontal="left" vertical="center" wrapText="1"/>
    </x:xf>
    <x:xf numFmtId="200" fontId="5" fillId="11" borderId="3" xfId="0" applyNumberFormat="1" applyFont="1" applyFill="1" applyBorder="1" applyAlignment="1">
      <x:alignment horizontal="left" vertical="center" wrapText="1"/>
    </x:xf>
    <x:xf numFmtId="200" fontId="5" fillId="14" borderId="2" xfId="0" applyNumberFormat="1" applyFont="1" applyFill="1" applyBorder="1" applyAlignment="1">
      <x:alignment horizontal="left" vertical="center" wrapText="1"/>
    </x:xf>
    <x:xf numFmtId="200" fontId="5" fillId="14" borderId="3" xfId="0" applyNumberFormat="1" applyFont="1" applyFill="1" applyBorder="1" applyAlignment="1">
      <x:alignment horizontal="left" vertic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5" fillId="14" borderId="0" xfId="0" applyNumberFormat="1" applyFont="1" applyFill="1" applyBorder="1" applyAlignment="1">
      <x:alignment horizontal="left" wrapText="1"/>
    </x:xf>
    <x:xf numFmtId="0" fontId="5" fillId="14" borderId="0" xfId="0" applyNumberFormat="1" applyFont="1" applyFill="1" applyBorder="1" applyAlignment="1">
      <x:alignment horizontal="left" vertical="center" wrapText="1"/>
    </x:xf>
    <x:xf numFmtId="0" fontId="5" fillId="14" borderId="1" xfId="0" applyNumberFormat="1" applyFont="1" applyFill="1" applyBorder="1" applyAlignment="1">
      <x:alignment horizontal="left" wrapText="1"/>
    </x:xf>
    <x:xf numFmtId="0" fontId="5" fillId="14" borderId="1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5" fillId="0" borderId="2" xfId="0" applyNumberFormat="1" applyFont="1" applyFill="1" applyBorder="1" applyAlignment="1">
      <x:alignment horizontal="left" vertical="center" wrapText="1"/>
    </x:xf>
    <x:xf numFmtId="200" fontId="5" fillId="0" borderId="3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54"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f0ffe6eec94b18" /><Relationship Type="http://schemas.openxmlformats.org/officeDocument/2006/relationships/theme" Target="/xl/theme/theme1.xml" Id="R0bed58b977a641df" /><Relationship Type="http://schemas.openxmlformats.org/officeDocument/2006/relationships/sharedStrings" Target="/xl/sharedStrings.xml" Id="R87bb4c5c5a244f7d" /><Relationship Type="http://schemas.openxmlformats.org/officeDocument/2006/relationships/worksheet" Target="/xl/worksheets/sheet1.xml" Id="Rb51e57d15d8c4b31" /><Relationship Type="http://schemas.openxmlformats.org/officeDocument/2006/relationships/worksheet" Target="/xl/worksheets/sheet2.xml" Id="R682a2a153e43481e" /><Relationship Type="http://schemas.openxmlformats.org/officeDocument/2006/relationships/worksheet" Target="/xl/worksheets/sheet3.xml" Id="Rbb650d3c29604c3c" /><Relationship Type="http://schemas.openxmlformats.org/officeDocument/2006/relationships/worksheet" Target="/xl/worksheets/sheet4.xml" Id="Rda3c73abaade435d" /><Relationship Type="http://schemas.openxmlformats.org/officeDocument/2006/relationships/worksheet" Target="/xl/worksheets/sheet5.xml" Id="R67f20539d8354d91" /><Relationship Type="http://schemas.openxmlformats.org/officeDocument/2006/relationships/worksheet" Target="/xl/worksheets/sheet6.xml" Id="R7bc59314c3344250" /><Relationship Type="http://schemas.openxmlformats.org/officeDocument/2006/relationships/worksheet" Target="/xl/worksheets/sheet7.xml" Id="R39795999e7284a50" /><Relationship Type="http://schemas.openxmlformats.org/officeDocument/2006/relationships/worksheet" Target="/xl/worksheets/sheet8.xml" Id="R3ba5a691943e442d" /><Relationship Type="http://schemas.openxmlformats.org/officeDocument/2006/relationships/worksheet" Target="/xl/worksheets/sheet9.xml" Id="Rb9a70f50c5e646cb" /><Relationship Type="http://schemas.openxmlformats.org/officeDocument/2006/relationships/worksheet" Target="/xl/worksheets/sheet10.xml" Id="Rad46e5a20f244eaf" /><Relationship Type="http://schemas.openxmlformats.org/officeDocument/2006/relationships/worksheet" Target="/xl/worksheets/sheet11.xml" Id="R1dd26ee51ba448bc" /></Relationships>
</file>

<file path=xl/tables/table1.xml><?xml version="1.0" encoding="utf-8"?>
<x:table xmlns:x="http://schemas.openxmlformats.org/spreadsheetml/2006/main" id="1" name="CorrectionsTable" displayName="CorrectionsTable" ref="A1:X2" headerRowCount="1">
  <x:tableColumns count="24">
    <x:tableColumn id="1" name="Стабильный_ID"/>
    <x:tableColumn id="2" name="Парный_ID"/>
    <x:tableColumn id="3" name="Период"/>
    <x:tableColumn id="4" name="Организация ERP"/>
    <x:tableColumn id="5" name="Код организации"/>
    <x:tableColumn id="6" name="Версия"/>
    <x:tableColumn id="7" name="calculation_mode"/>
    <x:tableColumn id="8" name="Сценарий ERP"/>
    <x:tableColumn id="9" name="Дата документа"/>
    <x:tableColumn id="10" name="Тип действия"/>
    <x:tableColumn id="11" name="Дт"/>
    <x:tableColumn id="12" name="Кт"/>
    <x:tableColumn id="13" name="Сумма проводки"/>
    <x:tableColumn id="14" name="Статья ERP"/>
    <x:tableColumn id="15" name="ЦФО"/>
    <x:tableColumn id="16" name="Контрагент"/>
    <x:tableColumn id="17" name="Договор"/>
    <x:tableColumn id="18" name="Прочая аналитика"/>
    <x:tableColumn id="19" name="Код строки ОПИУ"/>
    <x:tableColumn id="20" name="Влияние на строку ОПИУ"/>
    <x:tableColumn id="21" name="Источник решения"/>
    <x:tableColumn id="22" name="Статус"/>
    <x:tableColumn id="23" name="ready_to_upload"/>
    <x:tableColumn id="24" name="Предупреждение"/>
  </x:tableColumns>
  <x:tableStyleInfo name="TableStyleMedium2" showRowStripes="1"/>
</x:table>
</file>

<file path=xl/tables/table2.xml><?xml version="1.0" encoding="utf-8"?>
<x:table xmlns:x="http://schemas.openxmlformats.org/spreadsheetml/2006/main" id="2" name="ImpactTable" displayName="ImpactTable" ref="A1:J2" headerRowCount="1">
  <x:tableColumns count="10">
    <x:tableColumn id="1" name="Impact_ID"/>
    <x:tableColumn id="2" name="Период"/>
    <x:tableColumn id="3" name="Код строки"/>
    <x:tableColumn id="4" name="Корректировка_ID"/>
    <x:tableColumn id="5" name="Тип влияния"/>
    <x:tableColumn id="6" name="Сумма влияния на строку ОПИУ"/>
    <x:tableColumn id="7" name="Учитывать"/>
    <x:tableColumn id="8" name="Статус"/>
    <x:tableColumn id="9" name="Основание"/>
    <x:tableColumn id="10" name="Версия"/>
  </x:tableColumns>
  <x:tableStyleInfo name="TableStyleMedium2" showRowStripes="1"/>
</x:table>
</file>

<file path=xl/tables/table3.xml><?xml version="1.0" encoding="utf-8"?>
<x:table xmlns:x="http://schemas.openxmlformats.org/spreadsheetml/2006/main" id="3" name="UnresolvedTable" displayName="UnresolvedTable" ref="A1:T2" headerRowCount="1">
  <x:tableColumns count="20">
    <x:tableColumn id="1" name="ID проблемы"/>
    <x:tableColumn id="2" name="Период"/>
    <x:tableColumn id="3" name="Код строки"/>
    <x:tableColumn id="4" name="Тип строки"/>
    <x:tableColumn id="5" name="Роль"/>
    <x:tableColumn id="6" name="Строка Инталев"/>
    <x:tableColumn id="7" name="Строка/статья ERP"/>
    <x:tableColumn id="8" name="Инталев эталон"/>
    <x:tableColumn id="9" name="ERP текущая"/>
    <x:tableColumn id="10" name="Дельта текущая"/>
    <x:tableColumn id="11" name="Корректировки"/>
    <x:tableColumn id="12" name="ERP после"/>
    <x:tableColumn id="13" name="Остаточная дельта"/>
    <x:tableColumn id="14" name="Код причины"/>
    <x:tableColumn id="15" name="Причина"/>
    <x:tableColumn id="16" name="Что нужно сделать"/>
    <x:tableColumn id="17" name="Строка образца"/>
    <x:tableColumn id="18" name="Блокер"/>
    <x:tableColumn id="19" name="Версия"/>
    <x:tableColumn id="20" name="Статус решения"/>
  </x:tableColumns>
  <x:tableStyleInfo name="TableStyleMedium2" showRowStripes="1"/>
</x:table>
</file>

<file path=xl/tables/table4.xml><?xml version="1.0" encoding="utf-8"?>
<x:table xmlns:x="http://schemas.openxmlformats.org/spreadsheetml/2006/main" id="4" name="ErpSourcesTable" displayName="ErpSourcesTable" ref="A1:V2" headerRowCount="1">
  <x:tableColumns count="22">
    <x:tableColumn id="1" name="ID проблемы"/>
    <x:tableColumn id="2" name="Период"/>
    <x:tableColumn id="3" name="Организация ERP"/>
    <x:tableColumn id="4" name="Код строки"/>
    <x:tableColumn id="5" name="Строка/статья ERP"/>
    <x:tableColumn id="6" name="ERP сумма строки"/>
    <x:tableColumn id="7" name="Файл-источник"/>
    <x:tableColumn id="8" name="Строка файла"/>
    <x:tableColumn id="9" name="Вид документа ERP"/>
    <x:tableColumn id="10" name="Номер документа"/>
    <x:tableColumn id="11" name="Дата документа"/>
    <x:tableColumn id="12" name="Номер проводки/строки"/>
    <x:tableColumn id="13" name="Дт"/>
    <x:tableColumn id="14" name="Кт"/>
    <x:tableColumn id="15" name="Сумма проводки"/>
    <x:tableColumn id="16" name="Статья ERP"/>
    <x:tableColumn id="17" name="ЦФО"/>
    <x:tableColumn id="18" name="Контрагент"/>
    <x:tableColumn id="19" name="Договор"/>
    <x:tableColumn id="20" name="Прочая аналитика"/>
    <x:tableColumn id="21" name="Статус детализации"/>
    <x:tableColumn id="22" name="Что проверить"/>
  </x:tableColumns>
  <x:tableStyleInfo name="TableStyleMedium2" showRowStripes="1"/>
</x:table>
</file>

<file path=xl/tables/table5.xml><?xml version="1.0" encoding="utf-8"?>
<x:table xmlns:x="http://schemas.openxmlformats.org/spreadsheetml/2006/main" id="5" name="IntalevCandidatesTable" displayName="IntalevCandidatesTable" ref="A1:T2" headerRowCount="1">
  <x:tableColumns count="20">
    <x:tableColumn id="1" name="ID проблемы"/>
    <x:tableColumn id="2" name="Период"/>
    <x:tableColumn id="3" name="Код строки"/>
    <x:tableColumn id="4" name="Строка ОПИУ Инталев"/>
    <x:tableColumn id="5" name="Инталев эталон"/>
    <x:tableColumn id="6" name="Файл-источник"/>
    <x:tableColumn id="7" name="Строка файла"/>
    <x:tableColumn id="8" name="Документ Инталев"/>
    <x:tableColumn id="9" name="Дата документа"/>
    <x:tableColumn id="10" name="Номер проводки"/>
    <x:tableColumn id="11" name="Дт Инталев"/>
    <x:tableColumn id="12" name="Кт Инталев"/>
    <x:tableColumn id="13" name="Сумма"/>
    <x:tableColumn id="14" name="Статья/показатель"/>
    <x:tableColumn id="15" name="ЦФО/организация"/>
    <x:tableColumn id="16" name="Кандидат ERP"/>
    <x:tableColumn id="17" name="Оценка кандидата"/>
    <x:tableColumn id="18" name="Основание"/>
    <x:tableColumn id="19" name="Статус кандидата"/>
    <x:tableColumn id="20" name="Что проверить"/>
  </x:tableColumns>
  <x:tableStyleInfo name="TableStyleMedium2" showRowStripes="1"/>
</x:table>
</file>

<file path=xl/tables/table6.xml><?xml version="1.0" encoding="utf-8"?>
<x:table xmlns:x="http://schemas.openxmlformats.org/spreadsheetml/2006/main" id="6" name="DecisionsTable" displayName="DecisionsTable" ref="A1:S2" headerRowCount="1">
  <x:tableColumns count="19">
    <x:tableColumn id="1" name="Decision_ID"/>
    <x:tableColumn id="2" name="ID проблемы"/>
    <x:tableColumn id="3" name="Период"/>
    <x:tableColumn id="4" name="Код строки"/>
    <x:tableColumn id="5" name="Статус решения"/>
    <x:tableColumn id="6" name="Тип решения"/>
    <x:tableColumn id="7" name="Что сделать"/>
    <x:tableColumn id="8" name="Приоритетный источник"/>
    <x:tableColumn id="9" name="Подтверждённый Дт"/>
    <x:tableColumn id="10" name="Подтверждённый Кт"/>
    <x:tableColumn id="11" name="Подтверждённая статья ERP"/>
    <x:tableColumn id="12" name="Подтверждённый ЦФО"/>
    <x:tableColumn id="13" name="Сумма корректировки"/>
    <x:tableColumn id="14" name="Обоснование"/>
    <x:tableColumn id="15" name="Кто подтвердил"/>
    <x:tableColumn id="16" name="Дата решения"/>
    <x:tableColumn id="17" name="Версия"/>
    <x:tableColumn id="18" name="Изменить правило"/>
    <x:tableColumn id="19" name="Проверка в 1С"/>
  </x:tableColumns>
  <x:tableStyleInfo name="TableStyleMedium2" showRowStripes="1"/>
</x:table>
</file>

<file path=xl/theme/theme1.xml><?xml version="1.0" encoding="utf-8"?>
<a:theme xmlns:a="http://schemas.openxmlformats.org/drawingml/2006/main" name="OPIU Reconciliation">
  <a:themeElements>
    <a:clrScheme name="OPIU Reconciliation">
      <a:dk1>
        <a:srgbClr val="1F1F1F"/>
      </a:dk1>
      <a:lt1>
        <a:srgbClr val="FFFFFF"/>
      </a:lt1>
      <a:dk2>
        <a:srgbClr val="0E2841"/>
      </a:dk2>
      <a:lt2>
        <a:srgbClr val="F2F2F2"/>
      </a:lt2>
      <a:accent1>
        <a:srgbClr val="4472C4"/>
      </a:accent1>
      <a:accent2>
        <a:srgbClr val="ED7D31"/>
      </a:accent2>
      <a:accent3>
        <a:srgbClr val="70AD47"/>
      </a:accent3>
      <a:accent4>
        <a:srgbClr val="5B9BD5"/>
      </a:accent4>
      <a:accent5>
        <a:srgbClr val="A5A5A5"/>
      </a:accent5>
      <a:accent6>
        <a:srgbClr val="FFC000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PIU Reconciliation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9c7b4d637da842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d564a4ce27ee4e7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99d4a1808c7541e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7977d8e1bc94432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7d33b1c2a74b468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2712861474de462a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70" hidden="0" customWidth="1"/>
  </x:cols>
  <x:sheetData>
    <x:row r="1" ht="28" customHeight="1">
      <x:c r="A1" s="6" t="str">
        <x:v>Паспорт артефакта сверки ОПИУ</x:v>
      </x:c>
      <x:c r="B1" s="6"/>
      <x:c r="C1" s="6"/>
      <x:c r="D1" s="6"/>
      <x:c r="E1" s="6"/>
      <x:c r="F1" s="6"/>
      <x:c r="G1" s="6"/>
      <x:c r="H1" s="6"/>
    </x:row>
    <x:row r="2" ht="24" customHeight="1">
      <x:c r="A2" s="15" t="str">
        <x:v>Отчёт построен по структуре загруженного образца «опиу.xls».</x:v>
      </x:c>
      <x:c r="B2" s="15"/>
      <x:c r="C2" s="15"/>
      <x:c r="D2" s="15"/>
      <x:c r="E2" s="15"/>
      <x:c r="F2" s="15"/>
      <x:c r="G2" s="15"/>
      <x:c r="H2" s="15"/>
    </x:row>
    <x:row r="3" ht="28" customHeight="1">
      <x:c r="A3" s="23" t="str">
        <x:v>Пакет выпускается только после нулевой остаточной дельты, контроля ОСВ, дублей, знаков, ID и идемпотентности.</x:v>
      </x:c>
      <x:c r="B3" s="23"/>
      <x:c r="C3" s="23"/>
      <x:c r="D3" s="23"/>
      <x:c r="E3" s="23"/>
      <x:c r="F3" s="23"/>
      <x:c r="G3" s="23"/>
      <x:c r="H3" s="23"/>
    </x:row>
    <x:row r="5">
      <x:c r="A5" s="38" t="str">
        <x:v>Параметр</x:v>
      </x:c>
      <x:c r="B5" s="38" t="str">
        <x:v>Значение</x:v>
      </x:c>
      <x:c r="C5" s="38" t="str">
        <x:v>Статус/пояснение</x:v>
      </x:c>
    </x:row>
    <x:row r="6">
      <x:c r="A6" s="50" t="str">
        <x:v>Организация ERP</x:v>
      </x:c>
      <x:c r="B6" s="52" t="str">
        <x:v>[ОРГАНИЗАЦИЯ ERP]</x:v>
      </x:c>
      <x:c r="C6" s="50" t="str">
        <x:v>Точное русское наименование должно быть подтверждено справочником ERP.</x:v>
      </x:c>
    </x:row>
    <x:row r="7">
      <x:c r="A7" s="50" t="str">
        <x:v>Код организации</x:v>
      </x:c>
      <x:c r="B7" s="52" t="str">
        <x:v>[КОДОРГ]</x:v>
      </x:c>
      <x:c r="C7" s="50" t="str">
        <x:v>Используется в стабильном ID; placeholder запрещено оставлять в рабочем пакете.</x:v>
      </x:c>
    </x:row>
    <x:row r="8">
      <x:c r="A8" s="50" t="str">
        <x:v>Год</x:v>
      </x:c>
      <x:c r="B8" s="52" t="n">
        <x:v>2025</x:v>
      </x:c>
      <x:c r="C8" s="50" t="str">
        <x:v>Период отчёта.</x:v>
      </x:c>
    </x:row>
    <x:row r="9">
      <x:c r="A9" s="50" t="str">
        <x:v>calculation_mode</x:v>
      </x:c>
      <x:c r="B9" s="52" t="str">
        <x:v>DELTA</x:v>
      </x:c>
      <x:c r="C9" s="50" t="str">
        <x:v>DELTA или FULL_RECALCULATION; смешение режимов в одной версии запрещено.</x:v>
      </x:c>
    </x:row>
    <x:row r="10">
      <x:c r="A10" s="50" t="str">
        <x:v>Сценарий Инталев</x:v>
      </x:c>
      <x:c r="B10" s="52" t="str">
        <x:v>ФАКТ</x:v>
      </x:c>
      <x:c r="C10" s="50" t="str">
        <x:v>Фиксировано правилами проекта.</x:v>
      </x:c>
    </x:row>
    <x:row r="11">
      <x:c r="A11" s="50" t="str">
        <x:v>Сценарий ERP</x:v>
      </x:c>
      <x:c r="B11" s="52" t="str">
        <x:v>[СЦЕНАРИЙ ERP]</x:v>
      </x:c>
      <x:c r="C11" s="50" t="str">
        <x:v>Должен совпадать с выбранным сценарием загрузки.</x:v>
      </x:c>
    </x:row>
    <x:row r="12">
      <x:c r="A12" s="50" t="str">
        <x:v>Версия</x:v>
      </x:c>
      <x:c r="B12" s="52" t="str">
        <x:v>v01</x:v>
      </x:c>
      <x:c r="C12" s="50" t="str">
        <x:v>При изменении входных данных, правил или проводок создаётся новая версия.</x:v>
      </x:c>
    </x:row>
    <x:row r="13">
      <x:c r="A13" s="50" t="str">
        <x:v>Формула «Дельта текущая»</x:v>
      </x:c>
      <x:c r="B13" s="52" t="str">
        <x:v>Инталев эталон − ERP текущая</x:v>
      </x:c>
      <x:c r="C13" s="50" t="str">
        <x:v>Плюс означает, что ERP нужно увеличить; минус — уменьшить.</x:v>
      </x:c>
    </x:row>
    <x:row r="14">
      <x:c r="A14" s="50" t="str">
        <x:v>Формула «ERP после корректировки»</x:v>
      </x:c>
      <x:c r="B14" s="52" t="str">
        <x:v>ERP текущая + Корректировки</x:v>
      </x:c>
      <x:c r="C14" s="50" t="str">
        <x:v>Корректировки — подтверждённое влияние на строку ОПИУ, а не сумма родительских и дочерних строк.</x:v>
      </x:c>
    </x:row>
    <x:row r="15">
      <x:c r="A15" s="50" t="str">
        <x:v>Формула «Остаточная дельта»</x:v>
      </x:c>
      <x:c r="B15" s="52" t="str">
        <x:v>Инталев эталон − ERP после корректировки</x:v>
      </x:c>
      <x:c r="C15" s="50" t="str">
        <x:v>Допуск: 0,01.</x:v>
      </x:c>
    </x:row>
    <x:row r="16">
      <x:c r="A16" s="50" t="str">
        <x:v>ready_to_upload</x:v>
      </x:c>
      <x:c r="B16" s="52" t="str">
        <x:v>FALSE</x:v>
      </x:c>
      <x:c r="C16" s="50" t="str">
        <x:v>Становится TRUE только после всех контролей.</x:v>
      </x:c>
    </x:row>
    <x:row r="17">
      <x:c r="A17" s="50" t="str">
        <x:v>release_allowed</x:v>
      </x:c>
      <x:c r="B17" s="52" t="str">
        <x:v>FALSE</x:v>
      </x:c>
      <x:c r="C17" s="50" t="str">
        <x:v>Fail-closed: любой блокер запрещает выпуск.</x:v>
      </x:c>
    </x:row>
  </x:sheetData>
  <x:mergeCells>
    <x:mergeCell ref="A1:H1"/>
    <x:mergeCell ref="A2:H2"/>
    <x:mergeCell ref="A3:H3"/>
  </x:mergeCells>
  <x:dataValidations count="1">
    <x:dataValidation type="list" sqref="B9">
      <x:formula1>"DELTA,FULL_RECALCULATION"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8" hidden="0" customWidth="1"/>
    <x:col min="3" max="3" width="48" hidden="0" customWidth="1"/>
    <x:col min="4" max="4" width="16" hidden="0" customWidth="1"/>
    <x:col min="5" max="5" width="16" hidden="0" customWidth="1"/>
    <x:col min="6" max="6" width="16" hidden="0" customWidth="1"/>
    <x:col min="7" max="7" width="17" hidden="0" customWidth="1"/>
    <x:col min="8" max="8" width="18" hidden="0" customWidth="1"/>
    <x:col min="9" max="9" width="17" hidden="0" customWidth="1"/>
    <x:col min="10" max="10" width="20" hidden="0" customWidth="1"/>
    <x:col min="11" max="11" width="16" hidden="0" customWidth="1"/>
    <x:col min="12" max="12" width="16" hidden="0" customWidth="1"/>
    <x:col min="13" max="13" width="16" hidden="0" customWidth="1"/>
    <x:col min="14" max="14" width="17" hidden="0" customWidth="1"/>
    <x:col min="15" max="15" width="18" hidden="0" customWidth="1"/>
    <x:col min="16" max="16" width="17" hidden="0" customWidth="1"/>
    <x:col min="17" max="17" width="20" hidden="0" customWidth="1"/>
    <x:col min="18" max="18" width="16" hidden="0" customWidth="1"/>
    <x:col min="19" max="19" width="16" hidden="0" customWidth="1"/>
    <x:col min="20" max="20" width="16" hidden="0" customWidth="1"/>
    <x:col min="21" max="21" width="17" hidden="0" customWidth="1"/>
    <x:col min="22" max="22" width="18" hidden="0" customWidth="1"/>
    <x:col min="23" max="23" width="17" hidden="0" customWidth="1"/>
    <x:col min="24" max="24" width="20" hidden="0" customWidth="1"/>
    <x:col min="25" max="25" width="16" hidden="0" customWidth="1"/>
    <x:col min="26" max="26" width="16" hidden="0" customWidth="1"/>
    <x:col min="27" max="27" width="16" hidden="0" customWidth="1"/>
    <x:col min="28" max="28" width="17" hidden="0" customWidth="1"/>
    <x:col min="29" max="29" width="18" hidden="0" customWidth="1"/>
    <x:col min="30" max="30" width="17" hidden="0" customWidth="1"/>
    <x:col min="31" max="31" width="20" hidden="0" customWidth="1"/>
    <x:col min="32" max="32" width="16" hidden="0" customWidth="1"/>
    <x:col min="33" max="33" width="16" hidden="0" customWidth="1"/>
    <x:col min="34" max="34" width="16" hidden="0" customWidth="1"/>
    <x:col min="35" max="35" width="17" hidden="0" customWidth="1"/>
    <x:col min="36" max="36" width="18" hidden="0" customWidth="1"/>
    <x:col min="37" max="37" width="17" hidden="0" customWidth="1"/>
    <x:col min="38" max="38" width="20" hidden="0" customWidth="1"/>
    <x:col min="39" max="39" width="16" hidden="0" customWidth="1"/>
    <x:col min="40" max="40" width="16" hidden="0" customWidth="1"/>
    <x:col min="41" max="41" width="16" hidden="0" customWidth="1"/>
    <x:col min="42" max="42" width="17" hidden="0" customWidth="1"/>
    <x:col min="43" max="43" width="18" hidden="0" customWidth="1"/>
    <x:col min="44" max="44" width="17" hidden="0" customWidth="1"/>
    <x:col min="45" max="45" width="20" hidden="0" customWidth="1"/>
    <x:col min="46" max="46" width="16" hidden="0" customWidth="1"/>
    <x:col min="47" max="47" width="16" hidden="0" customWidth="1"/>
    <x:col min="48" max="48" width="16" hidden="0" customWidth="1"/>
    <x:col min="49" max="49" width="17" hidden="0" customWidth="1"/>
    <x:col min="50" max="50" width="18" hidden="0" customWidth="1"/>
    <x:col min="51" max="51" width="17" hidden="0" customWidth="1"/>
    <x:col min="52" max="52" width="20" hidden="0" customWidth="1"/>
    <x:col min="53" max="53" width="16" hidden="0" customWidth="1"/>
    <x:col min="54" max="54" width="16" hidden="0" customWidth="1"/>
    <x:col min="55" max="55" width="16" hidden="0" customWidth="1"/>
    <x:col min="56" max="56" width="17" hidden="0" customWidth="1"/>
    <x:col min="57" max="57" width="18" hidden="0" customWidth="1"/>
    <x:col min="58" max="58" width="17" hidden="0" customWidth="1"/>
    <x:col min="59" max="59" width="20" hidden="0" customWidth="1"/>
    <x:col min="60" max="60" width="16" hidden="0" customWidth="1"/>
    <x:col min="61" max="61" width="16" hidden="0" customWidth="1"/>
    <x:col min="62" max="62" width="16" hidden="0" customWidth="1"/>
    <x:col min="63" max="63" width="17" hidden="0" customWidth="1"/>
    <x:col min="64" max="64" width="18" hidden="0" customWidth="1"/>
    <x:col min="65" max="65" width="17" hidden="0" customWidth="1"/>
    <x:col min="66" max="66" width="20" hidden="0" customWidth="1"/>
    <x:col min="67" max="67" width="16" hidden="0" customWidth="1"/>
    <x:col min="68" max="68" width="16" hidden="0" customWidth="1"/>
    <x:col min="69" max="69" width="16" hidden="0" customWidth="1"/>
    <x:col min="70" max="70" width="17" hidden="0" customWidth="1"/>
    <x:col min="71" max="71" width="18" hidden="0" customWidth="1"/>
    <x:col min="72" max="72" width="17" hidden="0" customWidth="1"/>
    <x:col min="73" max="73" width="20" hidden="0" customWidth="1"/>
    <x:col min="74" max="74" width="16" hidden="0" customWidth="1"/>
    <x:col min="75" max="75" width="16" hidden="0" customWidth="1"/>
    <x:col min="76" max="76" width="16" hidden="0" customWidth="1"/>
    <x:col min="77" max="77" width="17" hidden="0" customWidth="1"/>
    <x:col min="78" max="78" width="18" hidden="0" customWidth="1"/>
    <x:col min="79" max="79" width="17" hidden="0" customWidth="1"/>
    <x:col min="80" max="80" width="20" hidden="0" customWidth="1"/>
    <x:col min="81" max="81" width="16" hidden="0" customWidth="1"/>
    <x:col min="82" max="82" width="16" hidden="0" customWidth="1"/>
    <x:col min="83" max="83" width="16" hidden="0" customWidth="1"/>
    <x:col min="84" max="84" width="17" hidden="0" customWidth="1"/>
    <x:col min="85" max="85" width="18" hidden="0" customWidth="1"/>
    <x:col min="86" max="86" width="17" hidden="0" customWidth="1"/>
    <x:col min="87" max="87" width="20" hidden="0" customWidth="1"/>
  </x:cols>
  <x:sheetData>
    <x:row r="1" ht="28" customHeight="1">
      <x:c r="A1" s="6" t="str">
        <x:v>Сверка ОПИУ — [ОРГАНИЗАЦИЯ ERP]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  <x:c r="AB1" s="6"/>
      <x:c r="AC1" s="6"/>
      <x:c r="AD1" s="6"/>
      <x:c r="AE1" s="6"/>
      <x:c r="AF1" s="6"/>
      <x:c r="AG1" s="6"/>
      <x:c r="AH1" s="6"/>
      <x:c r="AI1" s="6"/>
      <x:c r="AJ1" s="6"/>
      <x:c r="AK1" s="6"/>
      <x:c r="AL1" s="6"/>
      <x:c r="AM1" s="6"/>
      <x:c r="AN1" s="6"/>
      <x:c r="AO1" s="6"/>
      <x:c r="AP1" s="6"/>
      <x:c r="AQ1" s="6"/>
      <x:c r="AR1" s="6"/>
      <x:c r="AS1" s="6"/>
      <x:c r="AT1" s="6"/>
      <x:c r="AU1" s="6"/>
      <x:c r="AV1" s="6"/>
      <x:c r="AW1" s="6"/>
      <x:c r="AX1" s="6"/>
      <x:c r="AY1" s="6"/>
      <x:c r="AZ1" s="6"/>
      <x:c r="BA1" s="6"/>
      <x:c r="BB1" s="6"/>
      <x:c r="BC1" s="6"/>
      <x:c r="BD1" s="6"/>
      <x:c r="BE1" s="6"/>
      <x:c r="BF1" s="6"/>
      <x:c r="BG1" s="6"/>
      <x:c r="BH1" s="6"/>
      <x:c r="BI1" s="6"/>
      <x:c r="BJ1" s="6"/>
      <x:c r="BK1" s="6"/>
      <x:c r="BL1" s="6"/>
      <x:c r="BM1" s="6"/>
      <x:c r="BN1" s="6"/>
      <x:c r="BO1" s="6"/>
      <x:c r="BP1" s="6"/>
      <x:c r="BQ1" s="6"/>
      <x:c r="BR1" s="6"/>
      <x:c r="BS1" s="6"/>
      <x:c r="BT1" s="6"/>
      <x:c r="BU1" s="6"/>
      <x:c r="BV1" s="6"/>
      <x:c r="BW1" s="6"/>
      <x:c r="BX1" s="6"/>
      <x:c r="BY1" s="6"/>
      <x:c r="BZ1" s="6"/>
      <x:c r="CA1" s="6"/>
      <x:c r="CB1" s="6"/>
      <x:c r="CC1" s="6"/>
      <x:c r="CD1" s="6"/>
      <x:c r="CE1" s="6"/>
      <x:c r="CF1" s="6"/>
      <x:c r="CG1" s="6"/>
      <x:c r="CH1" s="6"/>
      <x:c r="CI1" s="6"/>
    </x:row>
    <x:row r="2" ht="24" customHeight="1">
      <x:c r="A2" s="15" t="str">
        <x:v>Структура строк сохранена по образцу «опиу.xls». Дельта = Инталев эталон − ERP текущая.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  <x:c r="AA2" s="15"/>
      <x:c r="AB2" s="15"/>
      <x:c r="AC2" s="15"/>
      <x:c r="AD2" s="15"/>
      <x:c r="AE2" s="15"/>
      <x:c r="AF2" s="15"/>
      <x:c r="AG2" s="15"/>
      <x:c r="AH2" s="15"/>
      <x:c r="AI2" s="15"/>
      <x:c r="AJ2" s="15"/>
      <x:c r="AK2" s="15"/>
      <x:c r="AL2" s="15"/>
      <x:c r="AM2" s="15"/>
      <x:c r="AN2" s="15"/>
      <x:c r="AO2" s="15"/>
      <x:c r="AP2" s="15"/>
      <x:c r="AQ2" s="15"/>
      <x:c r="AR2" s="15"/>
      <x:c r="AS2" s="15"/>
      <x:c r="AT2" s="15"/>
      <x:c r="AU2" s="15"/>
      <x:c r="AV2" s="15"/>
      <x:c r="AW2" s="15"/>
      <x:c r="AX2" s="15"/>
      <x:c r="AY2" s="15"/>
      <x:c r="AZ2" s="15"/>
      <x:c r="BA2" s="15"/>
      <x:c r="BB2" s="15"/>
      <x:c r="BC2" s="15"/>
      <x:c r="BD2" s="15"/>
      <x:c r="BE2" s="15"/>
      <x:c r="BF2" s="15"/>
      <x:c r="BG2" s="15"/>
      <x:c r="BH2" s="15"/>
      <x:c r="BI2" s="15"/>
      <x:c r="BJ2" s="15"/>
      <x:c r="BK2" s="15"/>
      <x:c r="BL2" s="15"/>
      <x:c r="BM2" s="15"/>
      <x:c r="BN2" s="15"/>
      <x:c r="BO2" s="15"/>
      <x:c r="BP2" s="15"/>
      <x:c r="BQ2" s="15"/>
      <x:c r="BR2" s="15"/>
      <x:c r="BS2" s="15"/>
      <x:c r="BT2" s="15"/>
      <x:c r="BU2" s="15"/>
      <x:c r="BV2" s="15"/>
      <x:c r="BW2" s="15"/>
      <x:c r="BX2" s="15"/>
      <x:c r="BY2" s="15"/>
      <x:c r="BZ2" s="15"/>
      <x:c r="CA2" s="15"/>
      <x:c r="CB2" s="15"/>
      <x:c r="CC2" s="15"/>
      <x:c r="CD2" s="15"/>
      <x:c r="CE2" s="15"/>
      <x:c r="CF2" s="15"/>
      <x:c r="CG2" s="15"/>
      <x:c r="CH2" s="15"/>
      <x:c r="CI2" s="15"/>
    </x:row>
    <x:row r="3" ht="28" customHeight="1">
      <x:c r="A3" s="23" t="str">
        <x:v>Не заполнять корректировки вручную в своде: они должны приходить из листа «04_Влияние_ОПИУ».</x:v>
      </x:c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  <x:c r="AA3" s="23"/>
      <x:c r="AB3" s="23"/>
      <x:c r="AC3" s="23"/>
      <x:c r="AD3" s="23"/>
      <x:c r="AE3" s="23"/>
      <x:c r="AF3" s="23"/>
      <x:c r="AG3" s="23"/>
      <x:c r="AH3" s="23"/>
      <x:c r="AI3" s="23"/>
      <x:c r="AJ3" s="23"/>
      <x:c r="AK3" s="23"/>
      <x:c r="AL3" s="23"/>
      <x:c r="AM3" s="23"/>
      <x:c r="AN3" s="23"/>
      <x:c r="AO3" s="23"/>
      <x:c r="AP3" s="23"/>
      <x:c r="AQ3" s="23"/>
      <x:c r="AR3" s="23"/>
      <x:c r="AS3" s="23"/>
      <x:c r="AT3" s="23"/>
      <x:c r="AU3" s="23"/>
      <x:c r="AV3" s="23"/>
      <x:c r="AW3" s="23"/>
      <x:c r="AX3" s="23"/>
      <x:c r="AY3" s="23"/>
      <x:c r="AZ3" s="23"/>
      <x:c r="BA3" s="23"/>
      <x:c r="BB3" s="23"/>
      <x:c r="BC3" s="23"/>
      <x:c r="BD3" s="23"/>
      <x:c r="BE3" s="23"/>
      <x:c r="BF3" s="23"/>
      <x:c r="BG3" s="23"/>
      <x:c r="BH3" s="23"/>
      <x:c r="BI3" s="23"/>
      <x:c r="BJ3" s="23"/>
      <x:c r="BK3" s="23"/>
      <x:c r="BL3" s="23"/>
      <x:c r="BM3" s="23"/>
      <x:c r="BN3" s="23"/>
      <x:c r="BO3" s="23"/>
      <x:c r="BP3" s="23"/>
      <x:c r="BQ3" s="23"/>
      <x:c r="BR3" s="23"/>
      <x:c r="BS3" s="23"/>
      <x:c r="BT3" s="23"/>
      <x:c r="BU3" s="23"/>
      <x:c r="BV3" s="23"/>
      <x:c r="BW3" s="23"/>
      <x:c r="BX3" s="23"/>
      <x:c r="BY3" s="23"/>
      <x:c r="BZ3" s="23"/>
      <x:c r="CA3" s="23"/>
      <x:c r="CB3" s="23"/>
      <x:c r="CC3" s="23"/>
      <x:c r="CD3" s="23"/>
      <x:c r="CE3" s="23"/>
      <x:c r="CF3" s="23"/>
      <x:c r="CG3" s="23"/>
      <x:c r="CH3" s="23"/>
      <x:c r="CI3" s="23"/>
    </x:row>
    <x:row r="4">
      <x:c r="A4" s="62" t="str">
        <x:v>Код строки</x:v>
      </x:c>
      <x:c r="B4" s="62" t="str">
        <x:v>Строка ОПИУ Инталев (эталон)</x:v>
      </x:c>
      <x:c r="C4" s="62" t="str">
        <x:v>Строка/статья ОПИУ ERP</x:v>
      </x:c>
      <x:c r="D4" s="38" t="str">
        <x:v>2025-01 — Январь 2025</x:v>
      </x:c>
      <x:c r="E4" s="38"/>
      <x:c r="F4" s="38"/>
      <x:c r="G4" s="38"/>
      <x:c r="H4" s="38"/>
      <x:c r="I4" s="38"/>
      <x:c r="J4" s="38"/>
      <x:c r="K4" s="38" t="str">
        <x:v>2025-02 — Февраль 2025</x:v>
      </x:c>
      <x:c r="L4" s="38"/>
      <x:c r="M4" s="38"/>
      <x:c r="N4" s="38"/>
      <x:c r="O4" s="38"/>
      <x:c r="P4" s="38"/>
      <x:c r="Q4" s="38"/>
      <x:c r="R4" s="38" t="str">
        <x:v>2025-03 — Март 2025</x:v>
      </x:c>
      <x:c r="S4" s="38"/>
      <x:c r="T4" s="38"/>
      <x:c r="U4" s="38"/>
      <x:c r="V4" s="38"/>
      <x:c r="W4" s="38"/>
      <x:c r="X4" s="38"/>
      <x:c r="Y4" s="38" t="str">
        <x:v>2025-04 — Апрель 2025</x:v>
      </x:c>
      <x:c r="Z4" s="38"/>
      <x:c r="AA4" s="38"/>
      <x:c r="AB4" s="38"/>
      <x:c r="AC4" s="38"/>
      <x:c r="AD4" s="38"/>
      <x:c r="AE4" s="38"/>
      <x:c r="AF4" s="38" t="str">
        <x:v>2025-05 — Май 2025</x:v>
      </x:c>
      <x:c r="AG4" s="38"/>
      <x:c r="AH4" s="38"/>
      <x:c r="AI4" s="38"/>
      <x:c r="AJ4" s="38"/>
      <x:c r="AK4" s="38"/>
      <x:c r="AL4" s="38"/>
      <x:c r="AM4" s="38" t="str">
        <x:v>2025-06 — Июнь 2025</x:v>
      </x:c>
      <x:c r="AN4" s="38"/>
      <x:c r="AO4" s="38"/>
      <x:c r="AP4" s="38"/>
      <x:c r="AQ4" s="38"/>
      <x:c r="AR4" s="38"/>
      <x:c r="AS4" s="38"/>
      <x:c r="AT4" s="38" t="str">
        <x:v>2025-07 — Июль 2025</x:v>
      </x:c>
      <x:c r="AU4" s="38"/>
      <x:c r="AV4" s="38"/>
      <x:c r="AW4" s="38"/>
      <x:c r="AX4" s="38"/>
      <x:c r="AY4" s="38"/>
      <x:c r="AZ4" s="38"/>
      <x:c r="BA4" s="38" t="str">
        <x:v>2025-08 — Август 2025</x:v>
      </x:c>
      <x:c r="BB4" s="38"/>
      <x:c r="BC4" s="38"/>
      <x:c r="BD4" s="38"/>
      <x:c r="BE4" s="38"/>
      <x:c r="BF4" s="38"/>
      <x:c r="BG4" s="38"/>
      <x:c r="BH4" s="38" t="str">
        <x:v>2025-09 — Сентябрь 2025</x:v>
      </x:c>
      <x:c r="BI4" s="38"/>
      <x:c r="BJ4" s="38"/>
      <x:c r="BK4" s="38"/>
      <x:c r="BL4" s="38"/>
      <x:c r="BM4" s="38"/>
      <x:c r="BN4" s="38"/>
      <x:c r="BO4" s="38" t="str">
        <x:v>2025-10 — Октябрь 2025</x:v>
      </x:c>
      <x:c r="BP4" s="38"/>
      <x:c r="BQ4" s="38"/>
      <x:c r="BR4" s="38"/>
      <x:c r="BS4" s="38"/>
      <x:c r="BT4" s="38"/>
      <x:c r="BU4" s="38"/>
      <x:c r="BV4" s="38" t="str">
        <x:v>2025-11 — Ноябрь 2025</x:v>
      </x:c>
      <x:c r="BW4" s="38"/>
      <x:c r="BX4" s="38"/>
      <x:c r="BY4" s="38"/>
      <x:c r="BZ4" s="38"/>
      <x:c r="CA4" s="38"/>
      <x:c r="CB4" s="38"/>
      <x:c r="CC4" s="38" t="str">
        <x:v>2025-12 — Декабрь 2025</x:v>
      </x:c>
      <x:c r="CD4" s="38"/>
      <x:c r="CE4" s="38"/>
      <x:c r="CF4" s="38"/>
      <x:c r="CG4" s="38"/>
      <x:c r="CH4" s="38"/>
      <x:c r="CI4" s="38"/>
    </x:row>
    <x:row r="5">
      <x:c r="A5" s="62"/>
      <x:c r="B5" s="62"/>
      <x:c r="C5" s="62"/>
      <x:c r="D5" s="74" t="str">
        <x:v>Инталев эталон</x:v>
      </x:c>
      <x:c r="E5" s="86" t="str">
        <x:v>ERP текущая</x:v>
      </x:c>
      <x:c r="F5" s="98" t="str">
        <x:v>Дельта текущая</x:v>
      </x:c>
      <x:c r="G5" s="110" t="str">
        <x:v>Корректировки</x:v>
      </x:c>
      <x:c r="H5" s="122" t="str">
        <x:v>ОПИУ ERP после корректировки</x:v>
      </x:c>
      <x:c r="I5" s="134" t="str">
        <x:v>Остаточная дельта</x:v>
      </x:c>
      <x:c r="J5" s="144" t="str">
        <x:v>Статус</x:v>
      </x:c>
      <x:c r="K5" s="74" t="str">
        <x:v>Инталев эталон</x:v>
      </x:c>
      <x:c r="L5" s="86" t="str">
        <x:v>ERP текущая</x:v>
      </x:c>
      <x:c r="M5" s="98" t="str">
        <x:v>Дельта текущая</x:v>
      </x:c>
      <x:c r="N5" s="110" t="str">
        <x:v>Корректировки</x:v>
      </x:c>
      <x:c r="O5" s="122" t="str">
        <x:v>ОПИУ ERP после корректировки</x:v>
      </x:c>
      <x:c r="P5" s="134" t="str">
        <x:v>Остаточная дельта</x:v>
      </x:c>
      <x:c r="Q5" s="144" t="str">
        <x:v>Статус</x:v>
      </x:c>
      <x:c r="R5" s="74" t="str">
        <x:v>Инталев эталон</x:v>
      </x:c>
      <x:c r="S5" s="86" t="str">
        <x:v>ERP текущая</x:v>
      </x:c>
      <x:c r="T5" s="98" t="str">
        <x:v>Дельта текущая</x:v>
      </x:c>
      <x:c r="U5" s="110" t="str">
        <x:v>Корректировки</x:v>
      </x:c>
      <x:c r="V5" s="122" t="str">
        <x:v>ОПИУ ERP после корректировки</x:v>
      </x:c>
      <x:c r="W5" s="134" t="str">
        <x:v>Остаточная дельта</x:v>
      </x:c>
      <x:c r="X5" s="144" t="str">
        <x:v>Статус</x:v>
      </x:c>
      <x:c r="Y5" s="74" t="str">
        <x:v>Инталев эталон</x:v>
      </x:c>
      <x:c r="Z5" s="86" t="str">
        <x:v>ERP текущая</x:v>
      </x:c>
      <x:c r="AA5" s="98" t="str">
        <x:v>Дельта текущая</x:v>
      </x:c>
      <x:c r="AB5" s="110" t="str">
        <x:v>Корректировки</x:v>
      </x:c>
      <x:c r="AC5" s="122" t="str">
        <x:v>ОПИУ ERP после корректировки</x:v>
      </x:c>
      <x:c r="AD5" s="134" t="str">
        <x:v>Остаточная дельта</x:v>
      </x:c>
      <x:c r="AE5" s="144" t="str">
        <x:v>Статус</x:v>
      </x:c>
      <x:c r="AF5" s="74" t="str">
        <x:v>Инталев эталон</x:v>
      </x:c>
      <x:c r="AG5" s="86" t="str">
        <x:v>ERP текущая</x:v>
      </x:c>
      <x:c r="AH5" s="98" t="str">
        <x:v>Дельта текущая</x:v>
      </x:c>
      <x:c r="AI5" s="110" t="str">
        <x:v>Корректировки</x:v>
      </x:c>
      <x:c r="AJ5" s="122" t="str">
        <x:v>ОПИУ ERP после корректировки</x:v>
      </x:c>
      <x:c r="AK5" s="134" t="str">
        <x:v>Остаточная дельта</x:v>
      </x:c>
      <x:c r="AL5" s="144" t="str">
        <x:v>Статус</x:v>
      </x:c>
      <x:c r="AM5" s="74" t="str">
        <x:v>Инталев эталон</x:v>
      </x:c>
      <x:c r="AN5" s="86" t="str">
        <x:v>ERP текущая</x:v>
      </x:c>
      <x:c r="AO5" s="98" t="str">
        <x:v>Дельта текущая</x:v>
      </x:c>
      <x:c r="AP5" s="110" t="str">
        <x:v>Корректировки</x:v>
      </x:c>
      <x:c r="AQ5" s="122" t="str">
        <x:v>ОПИУ ERP после корректировки</x:v>
      </x:c>
      <x:c r="AR5" s="134" t="str">
        <x:v>Остаточная дельта</x:v>
      </x:c>
      <x:c r="AS5" s="144" t="str">
        <x:v>Статус</x:v>
      </x:c>
      <x:c r="AT5" s="74" t="str">
        <x:v>Инталев эталон</x:v>
      </x:c>
      <x:c r="AU5" s="86" t="str">
        <x:v>ERP текущая</x:v>
      </x:c>
      <x:c r="AV5" s="98" t="str">
        <x:v>Дельта текущая</x:v>
      </x:c>
      <x:c r="AW5" s="110" t="str">
        <x:v>Корректировки</x:v>
      </x:c>
      <x:c r="AX5" s="122" t="str">
        <x:v>ОПИУ ERP после корректировки</x:v>
      </x:c>
      <x:c r="AY5" s="134" t="str">
        <x:v>Остаточная дельта</x:v>
      </x:c>
      <x:c r="AZ5" s="144" t="str">
        <x:v>Статус</x:v>
      </x:c>
      <x:c r="BA5" s="74" t="str">
        <x:v>Инталев эталон</x:v>
      </x:c>
      <x:c r="BB5" s="86" t="str">
        <x:v>ERP текущая</x:v>
      </x:c>
      <x:c r="BC5" s="98" t="str">
        <x:v>Дельта текущая</x:v>
      </x:c>
      <x:c r="BD5" s="110" t="str">
        <x:v>Корректировки</x:v>
      </x:c>
      <x:c r="BE5" s="122" t="str">
        <x:v>ОПИУ ERP после корректировки</x:v>
      </x:c>
      <x:c r="BF5" s="134" t="str">
        <x:v>Остаточная дельта</x:v>
      </x:c>
      <x:c r="BG5" s="144" t="str">
        <x:v>Статус</x:v>
      </x:c>
      <x:c r="BH5" s="74" t="str">
        <x:v>Инталев эталон</x:v>
      </x:c>
      <x:c r="BI5" s="86" t="str">
        <x:v>ERP текущая</x:v>
      </x:c>
      <x:c r="BJ5" s="98" t="str">
        <x:v>Дельта текущая</x:v>
      </x:c>
      <x:c r="BK5" s="110" t="str">
        <x:v>Корректировки</x:v>
      </x:c>
      <x:c r="BL5" s="122" t="str">
        <x:v>ОПИУ ERP после корректировки</x:v>
      </x:c>
      <x:c r="BM5" s="134" t="str">
        <x:v>Остаточная дельта</x:v>
      </x:c>
      <x:c r="BN5" s="144" t="str">
        <x:v>Статус</x:v>
      </x:c>
      <x:c r="BO5" s="74" t="str">
        <x:v>Инталев эталон</x:v>
      </x:c>
      <x:c r="BP5" s="86" t="str">
        <x:v>ERP текущая</x:v>
      </x:c>
      <x:c r="BQ5" s="98" t="str">
        <x:v>Дельта текущая</x:v>
      </x:c>
      <x:c r="BR5" s="110" t="str">
        <x:v>Корректировки</x:v>
      </x:c>
      <x:c r="BS5" s="122" t="str">
        <x:v>ОПИУ ERP после корректировки</x:v>
      </x:c>
      <x:c r="BT5" s="134" t="str">
        <x:v>Остаточная дельта</x:v>
      </x:c>
      <x:c r="BU5" s="144" t="str">
        <x:v>Статус</x:v>
      </x:c>
      <x:c r="BV5" s="74" t="str">
        <x:v>Инталев эталон</x:v>
      </x:c>
      <x:c r="BW5" s="86" t="str">
        <x:v>ERP текущая</x:v>
      </x:c>
      <x:c r="BX5" s="98" t="str">
        <x:v>Дельта текущая</x:v>
      </x:c>
      <x:c r="BY5" s="110" t="str">
        <x:v>Корректировки</x:v>
      </x:c>
      <x:c r="BZ5" s="122" t="str">
        <x:v>ОПИУ ERP после корректировки</x:v>
      </x:c>
      <x:c r="CA5" s="134" t="str">
        <x:v>Остаточная дельта</x:v>
      </x:c>
      <x:c r="CB5" s="144" t="str">
        <x:v>Статус</x:v>
      </x:c>
      <x:c r="CC5" s="74" t="str">
        <x:v>Инталев эталон</x:v>
      </x:c>
      <x:c r="CD5" s="86" t="str">
        <x:v>ERP текущая</x:v>
      </x:c>
      <x:c r="CE5" s="98" t="str">
        <x:v>Дельта текущая</x:v>
      </x:c>
      <x:c r="CF5" s="110" t="str">
        <x:v>Корректировки</x:v>
      </x:c>
      <x:c r="CG5" s="122" t="str">
        <x:v>ОПИУ ERP после корректировки</x:v>
      </x:c>
      <x:c r="CH5" s="134" t="str">
        <x:v>Остаточная дельта</x:v>
      </x:c>
      <x:c r="CI5" s="144" t="str">
        <x:v>Статус</x:v>
      </x:c>
    </x:row>
    <x:row r="6">
      <x:c r="A6" s="158" t="str">
        <x:v>R001</x:v>
      </x:c>
      <x:c r="B6" s="158" t="str">
        <x:v>  Административные расходы</x:v>
      </x:c>
      <x:c r="C6" s="162" t="str">
        <x:v>  1_Административные расходы</x:v>
      </x:c>
      <x:c r="D6" s="190"/>
      <x:c r="E6" s="202"/>
      <x:c r="F6" s="214" t="str">
        <x:f>IF(COUNTA(D6:E6)=0,"",N(D6)-N(E6))</x:f>
      </x:c>
      <x:c r="G6" s="226" t="str">
        <x:f>IF(COUNTA(D6:E6)=0,"",SUMIFS('04_Влияние_ОПИУ'!$F$2:$F$2000,'04_Влияние_ОПИУ'!$B$2:$B$2000,"2025-01",'04_Влияние_ОПИУ'!$C$2:$C$2000,$A6,'04_Влияние_ОПИУ'!$G$2:$G$2000,"Да"))</x:f>
      </x:c>
      <x:c r="H6" s="238" t="str">
        <x:f>IF(COUNTA(D6:E6)=0,"",N(E6)+N(G6))</x:f>
      </x:c>
      <x:c r="I6" s="252" t="str">
        <x:f>IF(COUNTA(D6:E6)=0,"",N(D6)-N(H6))</x:f>
      </x:c>
      <x:c r="J6" s="260" t="str">
        <x:f>IF(COUNTA(D6:E6)=0,"",IF(ABS(I6)&lt;=0.01,IF(ABS(G6)&gt;0.01,"СОШЛОСЬ ПОСЛЕ КОРР.","СОШЛОСЬ"),IF(ABS(G6)&gt;0.01,"ЧАСТИЧНО","НЕОПРЕДЕЛЕНО")))</x:f>
      </x:c>
      <x:c r="K6" s="190"/>
      <x:c r="L6" s="202"/>
      <x:c r="M6" s="214" t="str">
        <x:f>IF(COUNTA(K6:L6)=0,"",N(K6)-N(L6))</x:f>
      </x:c>
      <x:c r="N6" s="226" t="str">
        <x:f>IF(COUNTA(K6:L6)=0,"",SUMIFS('04_Влияние_ОПИУ'!$F$2:$F$2000,'04_Влияние_ОПИУ'!$B$2:$B$2000,"2025-02",'04_Влияние_ОПИУ'!$C$2:$C$2000,$A6,'04_Влияние_ОПИУ'!$G$2:$G$2000,"Да"))</x:f>
      </x:c>
      <x:c r="O6" s="238" t="str">
        <x:f>IF(COUNTA(K6:L6)=0,"",N(L6)+N(N6))</x:f>
      </x:c>
      <x:c r="P6" s="252" t="str">
        <x:f>IF(COUNTA(K6:L6)=0,"",N(K6)-N(O6))</x:f>
      </x:c>
      <x:c r="Q6" s="260" t="str">
        <x:f>IF(COUNTA(K6:L6)=0,"",IF(ABS(P6)&lt;=0.01,IF(ABS(N6)&gt;0.01,"СОШЛОСЬ ПОСЛЕ КОРР.","СОШЛОСЬ"),IF(ABS(N6)&gt;0.01,"ЧАСТИЧНО","НЕОПРЕДЕЛЕНО")))</x:f>
      </x:c>
      <x:c r="R6" s="190"/>
      <x:c r="S6" s="202"/>
      <x:c r="T6" s="214" t="str">
        <x:f>IF(COUNTA(R6:S6)=0,"",N(R6)-N(S6))</x:f>
      </x:c>
      <x:c r="U6" s="226" t="str">
        <x:f>IF(COUNTA(R6:S6)=0,"",SUMIFS('04_Влияние_ОПИУ'!$F$2:$F$2000,'04_Влияние_ОПИУ'!$B$2:$B$2000,"2025-03",'04_Влияние_ОПИУ'!$C$2:$C$2000,$A6,'04_Влияние_ОПИУ'!$G$2:$G$2000,"Да"))</x:f>
      </x:c>
      <x:c r="V6" s="238" t="str">
        <x:f>IF(COUNTA(R6:S6)=0,"",N(S6)+N(U6))</x:f>
      </x:c>
      <x:c r="W6" s="252" t="str">
        <x:f>IF(COUNTA(R6:S6)=0,"",N(R6)-N(V6))</x:f>
      </x:c>
      <x:c r="X6" s="260" t="str">
        <x:f>IF(COUNTA(R6:S6)=0,"",IF(ABS(W6)&lt;=0.01,IF(ABS(U6)&gt;0.01,"СОШЛОСЬ ПОСЛЕ КОРР.","СОШЛОСЬ"),IF(ABS(U6)&gt;0.01,"ЧАСТИЧНО","НЕОПРЕДЕЛЕНО")))</x:f>
      </x:c>
      <x:c r="Y6" s="190"/>
      <x:c r="Z6" s="202"/>
      <x:c r="AA6" s="214" t="str">
        <x:f>IF(COUNTA(Y6:Z6)=0,"",N(Y6)-N(Z6))</x:f>
      </x:c>
      <x:c r="AB6" s="226" t="str">
        <x:f>IF(COUNTA(Y6:Z6)=0,"",SUMIFS('04_Влияние_ОПИУ'!$F$2:$F$2000,'04_Влияние_ОПИУ'!$B$2:$B$2000,"2025-04",'04_Влияние_ОПИУ'!$C$2:$C$2000,$A6,'04_Влияние_ОПИУ'!$G$2:$G$2000,"Да"))</x:f>
      </x:c>
      <x:c r="AC6" s="238" t="str">
        <x:f>IF(COUNTA(Y6:Z6)=0,"",N(Z6)+N(AB6))</x:f>
      </x:c>
      <x:c r="AD6" s="252" t="str">
        <x:f>IF(COUNTA(Y6:Z6)=0,"",N(Y6)-N(AC6))</x:f>
      </x:c>
      <x:c r="AE6" s="260" t="str">
        <x:f>IF(COUNTA(Y6:Z6)=0,"",IF(ABS(AD6)&lt;=0.01,IF(ABS(AB6)&gt;0.01,"СОШЛОСЬ ПОСЛЕ КОРР.","СОШЛОСЬ"),IF(ABS(AB6)&gt;0.01,"ЧАСТИЧНО","НЕОПРЕДЕЛЕНО")))</x:f>
      </x:c>
      <x:c r="AF6" s="190"/>
      <x:c r="AG6" s="202"/>
      <x:c r="AH6" s="214" t="str">
        <x:f>IF(COUNTA(AF6:AG6)=0,"",N(AF6)-N(AG6))</x:f>
      </x:c>
      <x:c r="AI6" s="226" t="str">
        <x:f>IF(COUNTA(AF6:AG6)=0,"",SUMIFS('04_Влияние_ОПИУ'!$F$2:$F$2000,'04_Влияние_ОПИУ'!$B$2:$B$2000,"2025-05",'04_Влияние_ОПИУ'!$C$2:$C$2000,$A6,'04_Влияние_ОПИУ'!$G$2:$G$2000,"Да"))</x:f>
      </x:c>
      <x:c r="AJ6" s="238" t="str">
        <x:f>IF(COUNTA(AF6:AG6)=0,"",N(AG6)+N(AI6))</x:f>
      </x:c>
      <x:c r="AK6" s="252" t="str">
        <x:f>IF(COUNTA(AF6:AG6)=0,"",N(AF6)-N(AJ6))</x:f>
      </x:c>
      <x:c r="AL6" s="260" t="str">
        <x:f>IF(COUNTA(AF6:AG6)=0,"",IF(ABS(AK6)&lt;=0.01,IF(ABS(AI6)&gt;0.01,"СОШЛОСЬ ПОСЛЕ КОРР.","СОШЛОСЬ"),IF(ABS(AI6)&gt;0.01,"ЧАСТИЧНО","НЕОПРЕДЕЛЕНО")))</x:f>
      </x:c>
      <x:c r="AM6" s="190"/>
      <x:c r="AN6" s="202"/>
      <x:c r="AO6" s="214" t="str">
        <x:f>IF(COUNTA(AM6:AN6)=0,"",N(AM6)-N(AN6))</x:f>
      </x:c>
      <x:c r="AP6" s="226" t="str">
        <x:f>IF(COUNTA(AM6:AN6)=0,"",SUMIFS('04_Влияние_ОПИУ'!$F$2:$F$2000,'04_Влияние_ОПИУ'!$B$2:$B$2000,"2025-06",'04_Влияние_ОПИУ'!$C$2:$C$2000,$A6,'04_Влияние_ОПИУ'!$G$2:$G$2000,"Да"))</x:f>
      </x:c>
      <x:c r="AQ6" s="238" t="str">
        <x:f>IF(COUNTA(AM6:AN6)=0,"",N(AN6)+N(AP6))</x:f>
      </x:c>
      <x:c r="AR6" s="252" t="str">
        <x:f>IF(COUNTA(AM6:AN6)=0,"",N(AM6)-N(AQ6))</x:f>
      </x:c>
      <x:c r="AS6" s="260" t="str">
        <x:f>IF(COUNTA(AM6:AN6)=0,"",IF(ABS(AR6)&lt;=0.01,IF(ABS(AP6)&gt;0.01,"СОШЛОСЬ ПОСЛЕ КОРР.","СОШЛОСЬ"),IF(ABS(AP6)&gt;0.01,"ЧАСТИЧНО","НЕОПРЕДЕЛЕНО")))</x:f>
      </x:c>
      <x:c r="AT6" s="190"/>
      <x:c r="AU6" s="202"/>
      <x:c r="AV6" s="214" t="str">
        <x:f>IF(COUNTA(AT6:AU6)=0,"",N(AT6)-N(AU6))</x:f>
      </x:c>
      <x:c r="AW6" s="226" t="str">
        <x:f>IF(COUNTA(AT6:AU6)=0,"",SUMIFS('04_Влияние_ОПИУ'!$F$2:$F$2000,'04_Влияние_ОПИУ'!$B$2:$B$2000,"2025-07",'04_Влияние_ОПИУ'!$C$2:$C$2000,$A6,'04_Влияние_ОПИУ'!$G$2:$G$2000,"Да"))</x:f>
      </x:c>
      <x:c r="AX6" s="238" t="str">
        <x:f>IF(COUNTA(AT6:AU6)=0,"",N(AU6)+N(AW6))</x:f>
      </x:c>
      <x:c r="AY6" s="252" t="str">
        <x:f>IF(COUNTA(AT6:AU6)=0,"",N(AT6)-N(AX6))</x:f>
      </x:c>
      <x:c r="AZ6" s="260" t="str">
        <x:f>IF(COUNTA(AT6:AU6)=0,"",IF(ABS(AY6)&lt;=0.01,IF(ABS(AW6)&gt;0.01,"СОШЛОСЬ ПОСЛЕ КОРР.","СОШЛОСЬ"),IF(ABS(AW6)&gt;0.01,"ЧАСТИЧНО","НЕОПРЕДЕЛЕНО")))</x:f>
      </x:c>
      <x:c r="BA6" s="190"/>
      <x:c r="BB6" s="202"/>
      <x:c r="BC6" s="214" t="str">
        <x:f>IF(COUNTA(BA6:BB6)=0,"",N(BA6)-N(BB6))</x:f>
      </x:c>
      <x:c r="BD6" s="226" t="str">
        <x:f>IF(COUNTA(BA6:BB6)=0,"",SUMIFS('04_Влияние_ОПИУ'!$F$2:$F$2000,'04_Влияние_ОПИУ'!$B$2:$B$2000,"2025-08",'04_Влияние_ОПИУ'!$C$2:$C$2000,$A6,'04_Влияние_ОПИУ'!$G$2:$G$2000,"Да"))</x:f>
      </x:c>
      <x:c r="BE6" s="238" t="str">
        <x:f>IF(COUNTA(BA6:BB6)=0,"",N(BB6)+N(BD6))</x:f>
      </x:c>
      <x:c r="BF6" s="252" t="str">
        <x:f>IF(COUNTA(BA6:BB6)=0,"",N(BA6)-N(BE6))</x:f>
      </x:c>
      <x:c r="BG6" s="260" t="str">
        <x:f>IF(COUNTA(BA6:BB6)=0,"",IF(ABS(BF6)&lt;=0.01,IF(ABS(BD6)&gt;0.01,"СОШЛОСЬ ПОСЛЕ КОРР.","СОШЛОСЬ"),IF(ABS(BD6)&gt;0.01,"ЧАСТИЧНО","НЕОПРЕДЕЛЕНО")))</x:f>
      </x:c>
      <x:c r="BH6" s="190"/>
      <x:c r="BI6" s="202"/>
      <x:c r="BJ6" s="214" t="str">
        <x:f>IF(COUNTA(BH6:BI6)=0,"",N(BH6)-N(BI6))</x:f>
      </x:c>
      <x:c r="BK6" s="226" t="str">
        <x:f>IF(COUNTA(BH6:BI6)=0,"",SUMIFS('04_Влияние_ОПИУ'!$F$2:$F$2000,'04_Влияние_ОПИУ'!$B$2:$B$2000,"2025-09",'04_Влияние_ОПИУ'!$C$2:$C$2000,$A6,'04_Влияние_ОПИУ'!$G$2:$G$2000,"Да"))</x:f>
      </x:c>
      <x:c r="BL6" s="238" t="str">
        <x:f>IF(COUNTA(BH6:BI6)=0,"",N(BI6)+N(BK6))</x:f>
      </x:c>
      <x:c r="BM6" s="252" t="str">
        <x:f>IF(COUNTA(BH6:BI6)=0,"",N(BH6)-N(BL6))</x:f>
      </x:c>
      <x:c r="BN6" s="260" t="str">
        <x:f>IF(COUNTA(BH6:BI6)=0,"",IF(ABS(BM6)&lt;=0.01,IF(ABS(BK6)&gt;0.01,"СОШЛОСЬ ПОСЛЕ КОРР.","СОШЛОСЬ"),IF(ABS(BK6)&gt;0.01,"ЧАСТИЧНО","НЕОПРЕДЕЛЕНО")))</x:f>
      </x:c>
      <x:c r="BO6" s="190"/>
      <x:c r="BP6" s="202"/>
      <x:c r="BQ6" s="214" t="str">
        <x:f>IF(COUNTA(BO6:BP6)=0,"",N(BO6)-N(BP6))</x:f>
      </x:c>
      <x:c r="BR6" s="226" t="str">
        <x:f>IF(COUNTA(BO6:BP6)=0,"",SUMIFS('04_Влияние_ОПИУ'!$F$2:$F$2000,'04_Влияние_ОПИУ'!$B$2:$B$2000,"2025-10",'04_Влияние_ОПИУ'!$C$2:$C$2000,$A6,'04_Влияние_ОПИУ'!$G$2:$G$2000,"Да"))</x:f>
      </x:c>
      <x:c r="BS6" s="238" t="str">
        <x:f>IF(COUNTA(BO6:BP6)=0,"",N(BP6)+N(BR6))</x:f>
      </x:c>
      <x:c r="BT6" s="252" t="str">
        <x:f>IF(COUNTA(BO6:BP6)=0,"",N(BO6)-N(BS6))</x:f>
      </x:c>
      <x:c r="BU6" s="260" t="str">
        <x:f>IF(COUNTA(BO6:BP6)=0,"",IF(ABS(BT6)&lt;=0.01,IF(ABS(BR6)&gt;0.01,"СОШЛОСЬ ПОСЛЕ КОРР.","СОШЛОСЬ"),IF(ABS(BR6)&gt;0.01,"ЧАСТИЧНО","НЕОПРЕДЕЛЕНО")))</x:f>
      </x:c>
      <x:c r="BV6" s="190"/>
      <x:c r="BW6" s="202"/>
      <x:c r="BX6" s="214" t="str">
        <x:f>IF(COUNTA(BV6:BW6)=0,"",N(BV6)-N(BW6))</x:f>
      </x:c>
      <x:c r="BY6" s="226" t="str">
        <x:f>IF(COUNTA(BV6:BW6)=0,"",SUMIFS('04_Влияние_ОПИУ'!$F$2:$F$2000,'04_Влияние_ОПИУ'!$B$2:$B$2000,"2025-11",'04_Влияние_ОПИУ'!$C$2:$C$2000,$A6,'04_Влияние_ОПИУ'!$G$2:$G$2000,"Да"))</x:f>
      </x:c>
      <x:c r="BZ6" s="238" t="str">
        <x:f>IF(COUNTA(BV6:BW6)=0,"",N(BW6)+N(BY6))</x:f>
      </x:c>
      <x:c r="CA6" s="252" t="str">
        <x:f>IF(COUNTA(BV6:BW6)=0,"",N(BV6)-N(BZ6))</x:f>
      </x:c>
      <x:c r="CB6" s="260" t="str">
        <x:f>IF(COUNTA(BV6:BW6)=0,"",IF(ABS(CA6)&lt;=0.01,IF(ABS(BY6)&gt;0.01,"СОШЛОСЬ ПОСЛЕ КОРР.","СОШЛОСЬ"),IF(ABS(BY6)&gt;0.01,"ЧАСТИЧНО","НЕОПРЕДЕЛЕНО")))</x:f>
      </x:c>
      <x:c r="CC6" s="190"/>
      <x:c r="CD6" s="202"/>
      <x:c r="CE6" s="214" t="str">
        <x:f>IF(COUNTA(CC6:CD6)=0,"",N(CC6)-N(CD6))</x:f>
      </x:c>
      <x:c r="CF6" s="226" t="str">
        <x:f>IF(COUNTA(CC6:CD6)=0,"",SUMIFS('04_Влияние_ОПИУ'!$F$2:$F$2000,'04_Влияние_ОПИУ'!$B$2:$B$2000,"2025-12",'04_Влияние_ОПИУ'!$C$2:$C$2000,$A6,'04_Влияние_ОПИУ'!$G$2:$G$2000,"Да"))</x:f>
      </x:c>
      <x:c r="CG6" s="238" t="str">
        <x:f>IF(COUNTA(CC6:CD6)=0,"",N(CD6)+N(CF6))</x:f>
      </x:c>
      <x:c r="CH6" s="252" t="str">
        <x:f>IF(COUNTA(CC6:CD6)=0,"",N(CC6)-N(CG6))</x:f>
      </x:c>
      <x:c r="CI6" s="260" t="str">
        <x:f>IF(COUNTA(CC6:CD6)=0,"",IF(ABS(CH6)&lt;=0.01,IF(ABS(CF6)&gt;0.01,"СОШЛОСЬ ПОСЛЕ КОРР.","СОШЛОСЬ"),IF(ABS(CF6)&gt;0.01,"ЧАСТИЧНО","НЕОПРЕДЕЛЕНО")))</x:f>
      </x:c>
    </x:row>
    <x:row r="7">
      <x:c r="A7" s="166" t="str">
        <x:v>R002</x:v>
      </x:c>
      <x:c r="B7" s="166" t="str">
        <x:v>      Аренда и содержание офисных помещений</x:v>
      </x:c>
      <x:c r="C7" s="170" t="str">
        <x:v>      Аренда и содержание офисных помещений</x:v>
      </x:c>
      <x:c r="D7" s="190"/>
      <x:c r="E7" s="202"/>
      <x:c r="F7" s="214" t="str">
        <x:f>IF(COUNTA(D7:E7)=0,"",N(D7)-N(E7))</x:f>
      </x:c>
      <x:c r="G7" s="226" t="str">
        <x:f>IF(COUNTA(D7:E7)=0,"",SUMIFS('04_Влияние_ОПИУ'!$F$2:$F$2000,'04_Влияние_ОПИУ'!$B$2:$B$2000,"2025-01",'04_Влияние_ОПИУ'!$C$2:$C$2000,$A7,'04_Влияние_ОПИУ'!$G$2:$G$2000,"Да"))</x:f>
      </x:c>
      <x:c r="H7" s="238" t="str">
        <x:f>IF(COUNTA(D7:E7)=0,"",N(E7)+N(G7))</x:f>
      </x:c>
      <x:c r="I7" s="252" t="str">
        <x:f>IF(COUNTA(D7:E7)=0,"",N(D7)-N(H7))</x:f>
      </x:c>
      <x:c r="J7" s="260" t="str">
        <x:f>IF(COUNTA(D7:E7)=0,"",IF(ABS(I7)&lt;=0.01,IF(ABS(G7)&gt;0.01,"СОШЛОСЬ ПОСЛЕ КОРР.","СОШЛОСЬ"),IF(ABS(G7)&gt;0.01,"ЧАСТИЧНО","НЕОПРЕДЕЛЕНО")))</x:f>
      </x:c>
      <x:c r="K7" s="190"/>
      <x:c r="L7" s="202"/>
      <x:c r="M7" s="214" t="str">
        <x:f>IF(COUNTA(K7:L7)=0,"",N(K7)-N(L7))</x:f>
      </x:c>
      <x:c r="N7" s="226" t="str">
        <x:f>IF(COUNTA(K7:L7)=0,"",SUMIFS('04_Влияние_ОПИУ'!$F$2:$F$2000,'04_Влияние_ОПИУ'!$B$2:$B$2000,"2025-02",'04_Влияние_ОПИУ'!$C$2:$C$2000,$A7,'04_Влияние_ОПИУ'!$G$2:$G$2000,"Да"))</x:f>
      </x:c>
      <x:c r="O7" s="238" t="str">
        <x:f>IF(COUNTA(K7:L7)=0,"",N(L7)+N(N7))</x:f>
      </x:c>
      <x:c r="P7" s="252" t="str">
        <x:f>IF(COUNTA(K7:L7)=0,"",N(K7)-N(O7))</x:f>
      </x:c>
      <x:c r="Q7" s="260" t="str">
        <x:f>IF(COUNTA(K7:L7)=0,"",IF(ABS(P7)&lt;=0.01,IF(ABS(N7)&gt;0.01,"СОШЛОСЬ ПОСЛЕ КОРР.","СОШЛОСЬ"),IF(ABS(N7)&gt;0.01,"ЧАСТИЧНО","НЕОПРЕДЕЛЕНО")))</x:f>
      </x:c>
      <x:c r="R7" s="190"/>
      <x:c r="S7" s="202"/>
      <x:c r="T7" s="214" t="str">
        <x:f>IF(COUNTA(R7:S7)=0,"",N(R7)-N(S7))</x:f>
      </x:c>
      <x:c r="U7" s="226" t="str">
        <x:f>IF(COUNTA(R7:S7)=0,"",SUMIFS('04_Влияние_ОПИУ'!$F$2:$F$2000,'04_Влияние_ОПИУ'!$B$2:$B$2000,"2025-03",'04_Влияние_ОПИУ'!$C$2:$C$2000,$A7,'04_Влияние_ОПИУ'!$G$2:$G$2000,"Да"))</x:f>
      </x:c>
      <x:c r="V7" s="238" t="str">
        <x:f>IF(COUNTA(R7:S7)=0,"",N(S7)+N(U7))</x:f>
      </x:c>
      <x:c r="W7" s="252" t="str">
        <x:f>IF(COUNTA(R7:S7)=0,"",N(R7)-N(V7))</x:f>
      </x:c>
      <x:c r="X7" s="260" t="str">
        <x:f>IF(COUNTA(R7:S7)=0,"",IF(ABS(W7)&lt;=0.01,IF(ABS(U7)&gt;0.01,"СОШЛОСЬ ПОСЛЕ КОРР.","СОШЛОСЬ"),IF(ABS(U7)&gt;0.01,"ЧАСТИЧНО","НЕОПРЕДЕЛЕНО")))</x:f>
      </x:c>
      <x:c r="Y7" s="190"/>
      <x:c r="Z7" s="202"/>
      <x:c r="AA7" s="214" t="str">
        <x:f>IF(COUNTA(Y7:Z7)=0,"",N(Y7)-N(Z7))</x:f>
      </x:c>
      <x:c r="AB7" s="226" t="str">
        <x:f>IF(COUNTA(Y7:Z7)=0,"",SUMIFS('04_Влияние_ОПИУ'!$F$2:$F$2000,'04_Влияние_ОПИУ'!$B$2:$B$2000,"2025-04",'04_Влияние_ОПИУ'!$C$2:$C$2000,$A7,'04_Влияние_ОПИУ'!$G$2:$G$2000,"Да"))</x:f>
      </x:c>
      <x:c r="AC7" s="238" t="str">
        <x:f>IF(COUNTA(Y7:Z7)=0,"",N(Z7)+N(AB7))</x:f>
      </x:c>
      <x:c r="AD7" s="252" t="str">
        <x:f>IF(COUNTA(Y7:Z7)=0,"",N(Y7)-N(AC7))</x:f>
      </x:c>
      <x:c r="AE7" s="260" t="str">
        <x:f>IF(COUNTA(Y7:Z7)=0,"",IF(ABS(AD7)&lt;=0.01,IF(ABS(AB7)&gt;0.01,"СОШЛОСЬ ПОСЛЕ КОРР.","СОШЛОСЬ"),IF(ABS(AB7)&gt;0.01,"ЧАСТИЧНО","НЕОПРЕДЕЛЕНО")))</x:f>
      </x:c>
      <x:c r="AF7" s="190"/>
      <x:c r="AG7" s="202"/>
      <x:c r="AH7" s="214" t="str">
        <x:f>IF(COUNTA(AF7:AG7)=0,"",N(AF7)-N(AG7))</x:f>
      </x:c>
      <x:c r="AI7" s="226" t="str">
        <x:f>IF(COUNTA(AF7:AG7)=0,"",SUMIFS('04_Влияние_ОПИУ'!$F$2:$F$2000,'04_Влияние_ОПИУ'!$B$2:$B$2000,"2025-05",'04_Влияние_ОПИУ'!$C$2:$C$2000,$A7,'04_Влияние_ОПИУ'!$G$2:$G$2000,"Да"))</x:f>
      </x:c>
      <x:c r="AJ7" s="238" t="str">
        <x:f>IF(COUNTA(AF7:AG7)=0,"",N(AG7)+N(AI7))</x:f>
      </x:c>
      <x:c r="AK7" s="252" t="str">
        <x:f>IF(COUNTA(AF7:AG7)=0,"",N(AF7)-N(AJ7))</x:f>
      </x:c>
      <x:c r="AL7" s="260" t="str">
        <x:f>IF(COUNTA(AF7:AG7)=0,"",IF(ABS(AK7)&lt;=0.01,IF(ABS(AI7)&gt;0.01,"СОШЛОСЬ ПОСЛЕ КОРР.","СОШЛОСЬ"),IF(ABS(AI7)&gt;0.01,"ЧАСТИЧНО","НЕОПРЕДЕЛЕНО")))</x:f>
      </x:c>
      <x:c r="AM7" s="190"/>
      <x:c r="AN7" s="202"/>
      <x:c r="AO7" s="214" t="str">
        <x:f>IF(COUNTA(AM7:AN7)=0,"",N(AM7)-N(AN7))</x:f>
      </x:c>
      <x:c r="AP7" s="226" t="str">
        <x:f>IF(COUNTA(AM7:AN7)=0,"",SUMIFS('04_Влияние_ОПИУ'!$F$2:$F$2000,'04_Влияние_ОПИУ'!$B$2:$B$2000,"2025-06",'04_Влияние_ОПИУ'!$C$2:$C$2000,$A7,'04_Влияние_ОПИУ'!$G$2:$G$2000,"Да"))</x:f>
      </x:c>
      <x:c r="AQ7" s="238" t="str">
        <x:f>IF(COUNTA(AM7:AN7)=0,"",N(AN7)+N(AP7))</x:f>
      </x:c>
      <x:c r="AR7" s="252" t="str">
        <x:f>IF(COUNTA(AM7:AN7)=0,"",N(AM7)-N(AQ7))</x:f>
      </x:c>
      <x:c r="AS7" s="260" t="str">
        <x:f>IF(COUNTA(AM7:AN7)=0,"",IF(ABS(AR7)&lt;=0.01,IF(ABS(AP7)&gt;0.01,"СОШЛОСЬ ПОСЛЕ КОРР.","СОШЛОСЬ"),IF(ABS(AP7)&gt;0.01,"ЧАСТИЧНО","НЕОПРЕДЕЛЕНО")))</x:f>
      </x:c>
      <x:c r="AT7" s="190"/>
      <x:c r="AU7" s="202"/>
      <x:c r="AV7" s="214" t="str">
        <x:f>IF(COUNTA(AT7:AU7)=0,"",N(AT7)-N(AU7))</x:f>
      </x:c>
      <x:c r="AW7" s="226" t="str">
        <x:f>IF(COUNTA(AT7:AU7)=0,"",SUMIFS('04_Влияние_ОПИУ'!$F$2:$F$2000,'04_Влияние_ОПИУ'!$B$2:$B$2000,"2025-07",'04_Влияние_ОПИУ'!$C$2:$C$2000,$A7,'04_Влияние_ОПИУ'!$G$2:$G$2000,"Да"))</x:f>
      </x:c>
      <x:c r="AX7" s="238" t="str">
        <x:f>IF(COUNTA(AT7:AU7)=0,"",N(AU7)+N(AW7))</x:f>
      </x:c>
      <x:c r="AY7" s="252" t="str">
        <x:f>IF(COUNTA(AT7:AU7)=0,"",N(AT7)-N(AX7))</x:f>
      </x:c>
      <x:c r="AZ7" s="260" t="str">
        <x:f>IF(COUNTA(AT7:AU7)=0,"",IF(ABS(AY7)&lt;=0.01,IF(ABS(AW7)&gt;0.01,"СОШЛОСЬ ПОСЛЕ КОРР.","СОШЛОСЬ"),IF(ABS(AW7)&gt;0.01,"ЧАСТИЧНО","НЕОПРЕДЕЛЕНО")))</x:f>
      </x:c>
      <x:c r="BA7" s="190"/>
      <x:c r="BB7" s="202"/>
      <x:c r="BC7" s="214" t="str">
        <x:f>IF(COUNTA(BA7:BB7)=0,"",N(BA7)-N(BB7))</x:f>
      </x:c>
      <x:c r="BD7" s="226" t="str">
        <x:f>IF(COUNTA(BA7:BB7)=0,"",SUMIFS('04_Влияние_ОПИУ'!$F$2:$F$2000,'04_Влияние_ОПИУ'!$B$2:$B$2000,"2025-08",'04_Влияние_ОПИУ'!$C$2:$C$2000,$A7,'04_Влияние_ОПИУ'!$G$2:$G$2000,"Да"))</x:f>
      </x:c>
      <x:c r="BE7" s="238" t="str">
        <x:f>IF(COUNTA(BA7:BB7)=0,"",N(BB7)+N(BD7))</x:f>
      </x:c>
      <x:c r="BF7" s="252" t="str">
        <x:f>IF(COUNTA(BA7:BB7)=0,"",N(BA7)-N(BE7))</x:f>
      </x:c>
      <x:c r="BG7" s="260" t="str">
        <x:f>IF(COUNTA(BA7:BB7)=0,"",IF(ABS(BF7)&lt;=0.01,IF(ABS(BD7)&gt;0.01,"СОШЛОСЬ ПОСЛЕ КОРР.","СОШЛОСЬ"),IF(ABS(BD7)&gt;0.01,"ЧАСТИЧНО","НЕОПРЕДЕЛЕНО")))</x:f>
      </x:c>
      <x:c r="BH7" s="190"/>
      <x:c r="BI7" s="202"/>
      <x:c r="BJ7" s="214" t="str">
        <x:f>IF(COUNTA(BH7:BI7)=0,"",N(BH7)-N(BI7))</x:f>
      </x:c>
      <x:c r="BK7" s="226" t="str">
        <x:f>IF(COUNTA(BH7:BI7)=0,"",SUMIFS('04_Влияние_ОПИУ'!$F$2:$F$2000,'04_Влияние_ОПИУ'!$B$2:$B$2000,"2025-09",'04_Влияние_ОПИУ'!$C$2:$C$2000,$A7,'04_Влияние_ОПИУ'!$G$2:$G$2000,"Да"))</x:f>
      </x:c>
      <x:c r="BL7" s="238" t="str">
        <x:f>IF(COUNTA(BH7:BI7)=0,"",N(BI7)+N(BK7))</x:f>
      </x:c>
      <x:c r="BM7" s="252" t="str">
        <x:f>IF(COUNTA(BH7:BI7)=0,"",N(BH7)-N(BL7))</x:f>
      </x:c>
      <x:c r="BN7" s="260" t="str">
        <x:f>IF(COUNTA(BH7:BI7)=0,"",IF(ABS(BM7)&lt;=0.01,IF(ABS(BK7)&gt;0.01,"СОШЛОСЬ ПОСЛЕ КОРР.","СОШЛОСЬ"),IF(ABS(BK7)&gt;0.01,"ЧАСТИЧНО","НЕОПРЕДЕЛЕНО")))</x:f>
      </x:c>
      <x:c r="BO7" s="190"/>
      <x:c r="BP7" s="202"/>
      <x:c r="BQ7" s="214" t="str">
        <x:f>IF(COUNTA(BO7:BP7)=0,"",N(BO7)-N(BP7))</x:f>
      </x:c>
      <x:c r="BR7" s="226" t="str">
        <x:f>IF(COUNTA(BO7:BP7)=0,"",SUMIFS('04_Влияние_ОПИУ'!$F$2:$F$2000,'04_Влияние_ОПИУ'!$B$2:$B$2000,"2025-10",'04_Влияние_ОПИУ'!$C$2:$C$2000,$A7,'04_Влияние_ОПИУ'!$G$2:$G$2000,"Да"))</x:f>
      </x:c>
      <x:c r="BS7" s="238" t="str">
        <x:f>IF(COUNTA(BO7:BP7)=0,"",N(BP7)+N(BR7))</x:f>
      </x:c>
      <x:c r="BT7" s="252" t="str">
        <x:f>IF(COUNTA(BO7:BP7)=0,"",N(BO7)-N(BS7))</x:f>
      </x:c>
      <x:c r="BU7" s="260" t="str">
        <x:f>IF(COUNTA(BO7:BP7)=0,"",IF(ABS(BT7)&lt;=0.01,IF(ABS(BR7)&gt;0.01,"СОШЛОСЬ ПОСЛЕ КОРР.","СОШЛОСЬ"),IF(ABS(BR7)&gt;0.01,"ЧАСТИЧНО","НЕОПРЕДЕЛЕНО")))</x:f>
      </x:c>
      <x:c r="BV7" s="190"/>
      <x:c r="BW7" s="202"/>
      <x:c r="BX7" s="214" t="str">
        <x:f>IF(COUNTA(BV7:BW7)=0,"",N(BV7)-N(BW7))</x:f>
      </x:c>
      <x:c r="BY7" s="226" t="str">
        <x:f>IF(COUNTA(BV7:BW7)=0,"",SUMIFS('04_Влияние_ОПИУ'!$F$2:$F$2000,'04_Влияние_ОПИУ'!$B$2:$B$2000,"2025-11",'04_Влияние_ОПИУ'!$C$2:$C$2000,$A7,'04_Влияние_ОПИУ'!$G$2:$G$2000,"Да"))</x:f>
      </x:c>
      <x:c r="BZ7" s="238" t="str">
        <x:f>IF(COUNTA(BV7:BW7)=0,"",N(BW7)+N(BY7))</x:f>
      </x:c>
      <x:c r="CA7" s="252" t="str">
        <x:f>IF(COUNTA(BV7:BW7)=0,"",N(BV7)-N(BZ7))</x:f>
      </x:c>
      <x:c r="CB7" s="260" t="str">
        <x:f>IF(COUNTA(BV7:BW7)=0,"",IF(ABS(CA7)&lt;=0.01,IF(ABS(BY7)&gt;0.01,"СОШЛОСЬ ПОСЛЕ КОРР.","СОШЛОСЬ"),IF(ABS(BY7)&gt;0.01,"ЧАСТИЧНО","НЕОПРЕДЕЛЕНО")))</x:f>
      </x:c>
      <x:c r="CC7" s="190"/>
      <x:c r="CD7" s="202"/>
      <x:c r="CE7" s="214" t="str">
        <x:f>IF(COUNTA(CC7:CD7)=0,"",N(CC7)-N(CD7))</x:f>
      </x:c>
      <x:c r="CF7" s="226" t="str">
        <x:f>IF(COUNTA(CC7:CD7)=0,"",SUMIFS('04_Влияние_ОПИУ'!$F$2:$F$2000,'04_Влияние_ОПИУ'!$B$2:$B$2000,"2025-12",'04_Влияние_ОПИУ'!$C$2:$C$2000,$A7,'04_Влияние_ОПИУ'!$G$2:$G$2000,"Да"))</x:f>
      </x:c>
      <x:c r="CG7" s="238" t="str">
        <x:f>IF(COUNTA(CC7:CD7)=0,"",N(CD7)+N(CF7))</x:f>
      </x:c>
      <x:c r="CH7" s="252" t="str">
        <x:f>IF(COUNTA(CC7:CD7)=0,"",N(CC7)-N(CG7))</x:f>
      </x:c>
      <x:c r="CI7" s="260" t="str">
        <x:f>IF(COUNTA(CC7:CD7)=0,"",IF(ABS(CH7)&lt;=0.01,IF(ABS(CF7)&gt;0.01,"СОШЛОСЬ ПОСЛЕ КОРР.","СОШЛОСЬ"),IF(ABS(CF7)&gt;0.01,"ЧАСТИЧНО","НЕОПРЕДЕЛЕНО")))</x:f>
      </x:c>
    </x:row>
    <x:row r="8">
      <x:c r="A8" s="166" t="str">
        <x:v>R003</x:v>
      </x:c>
      <x:c r="B8" s="166" t="str">
        <x:v>        Аренда офиса внешняя</x:v>
      </x:c>
      <x:c r="C8" s="170" t="str">
        <x:v>        Аренда офиса внешняя</x:v>
      </x:c>
      <x:c r="D8" s="190"/>
      <x:c r="E8" s="202"/>
      <x:c r="F8" s="214" t="str">
        <x:f>IF(COUNTA(D8:E8)=0,"",N(D8)-N(E8))</x:f>
      </x:c>
      <x:c r="G8" s="226" t="str">
        <x:f>IF(COUNTA(D8:E8)=0,"",SUMIFS('04_Влияние_ОПИУ'!$F$2:$F$2000,'04_Влияние_ОПИУ'!$B$2:$B$2000,"2025-01",'04_Влияние_ОПИУ'!$C$2:$C$2000,$A8,'04_Влияние_ОПИУ'!$G$2:$G$2000,"Да"))</x:f>
      </x:c>
      <x:c r="H8" s="238" t="str">
        <x:f>IF(COUNTA(D8:E8)=0,"",N(E8)+N(G8))</x:f>
      </x:c>
      <x:c r="I8" s="252" t="str">
        <x:f>IF(COUNTA(D8:E8)=0,"",N(D8)-N(H8))</x:f>
      </x:c>
      <x:c r="J8" s="260" t="str">
        <x:f>IF(COUNTA(D8:E8)=0,"",IF(ABS(I8)&lt;=0.01,IF(ABS(G8)&gt;0.01,"СОШЛОСЬ ПОСЛЕ КОРР.","СОШЛОСЬ"),IF(ABS(G8)&gt;0.01,"ЧАСТИЧНО","НЕОПРЕДЕЛЕНО")))</x:f>
      </x:c>
      <x:c r="K8" s="190"/>
      <x:c r="L8" s="202"/>
      <x:c r="M8" s="214" t="str">
        <x:f>IF(COUNTA(K8:L8)=0,"",N(K8)-N(L8))</x:f>
      </x:c>
      <x:c r="N8" s="226" t="str">
        <x:f>IF(COUNTA(K8:L8)=0,"",SUMIFS('04_Влияние_ОПИУ'!$F$2:$F$2000,'04_Влияние_ОПИУ'!$B$2:$B$2000,"2025-02",'04_Влияние_ОПИУ'!$C$2:$C$2000,$A8,'04_Влияние_ОПИУ'!$G$2:$G$2000,"Да"))</x:f>
      </x:c>
      <x:c r="O8" s="238" t="str">
        <x:f>IF(COUNTA(K8:L8)=0,"",N(L8)+N(N8))</x:f>
      </x:c>
      <x:c r="P8" s="252" t="str">
        <x:f>IF(COUNTA(K8:L8)=0,"",N(K8)-N(O8))</x:f>
      </x:c>
      <x:c r="Q8" s="260" t="str">
        <x:f>IF(COUNTA(K8:L8)=0,"",IF(ABS(P8)&lt;=0.01,IF(ABS(N8)&gt;0.01,"СОШЛОСЬ ПОСЛЕ КОРР.","СОШЛОСЬ"),IF(ABS(N8)&gt;0.01,"ЧАСТИЧНО","НЕОПРЕДЕЛЕНО")))</x:f>
      </x:c>
      <x:c r="R8" s="190"/>
      <x:c r="S8" s="202"/>
      <x:c r="T8" s="214" t="str">
        <x:f>IF(COUNTA(R8:S8)=0,"",N(R8)-N(S8))</x:f>
      </x:c>
      <x:c r="U8" s="226" t="str">
        <x:f>IF(COUNTA(R8:S8)=0,"",SUMIFS('04_Влияние_ОПИУ'!$F$2:$F$2000,'04_Влияние_ОПИУ'!$B$2:$B$2000,"2025-03",'04_Влияние_ОПИУ'!$C$2:$C$2000,$A8,'04_Влияние_ОПИУ'!$G$2:$G$2000,"Да"))</x:f>
      </x:c>
      <x:c r="V8" s="238" t="str">
        <x:f>IF(COUNTA(R8:S8)=0,"",N(S8)+N(U8))</x:f>
      </x:c>
      <x:c r="W8" s="252" t="str">
        <x:f>IF(COUNTA(R8:S8)=0,"",N(R8)-N(V8))</x:f>
      </x:c>
      <x:c r="X8" s="260" t="str">
        <x:f>IF(COUNTA(R8:S8)=0,"",IF(ABS(W8)&lt;=0.01,IF(ABS(U8)&gt;0.01,"СОШЛОСЬ ПОСЛЕ КОРР.","СОШЛОСЬ"),IF(ABS(U8)&gt;0.01,"ЧАСТИЧНО","НЕОПРЕДЕЛЕНО")))</x:f>
      </x:c>
      <x:c r="Y8" s="190"/>
      <x:c r="Z8" s="202"/>
      <x:c r="AA8" s="214" t="str">
        <x:f>IF(COUNTA(Y8:Z8)=0,"",N(Y8)-N(Z8))</x:f>
      </x:c>
      <x:c r="AB8" s="226" t="str">
        <x:f>IF(COUNTA(Y8:Z8)=0,"",SUMIFS('04_Влияние_ОПИУ'!$F$2:$F$2000,'04_Влияние_ОПИУ'!$B$2:$B$2000,"2025-04",'04_Влияние_ОПИУ'!$C$2:$C$2000,$A8,'04_Влияние_ОПИУ'!$G$2:$G$2000,"Да"))</x:f>
      </x:c>
      <x:c r="AC8" s="238" t="str">
        <x:f>IF(COUNTA(Y8:Z8)=0,"",N(Z8)+N(AB8))</x:f>
      </x:c>
      <x:c r="AD8" s="252" t="str">
        <x:f>IF(COUNTA(Y8:Z8)=0,"",N(Y8)-N(AC8))</x:f>
      </x:c>
      <x:c r="AE8" s="260" t="str">
        <x:f>IF(COUNTA(Y8:Z8)=0,"",IF(ABS(AD8)&lt;=0.01,IF(ABS(AB8)&gt;0.01,"СОШЛОСЬ ПОСЛЕ КОРР.","СОШЛОСЬ"),IF(ABS(AB8)&gt;0.01,"ЧАСТИЧНО","НЕОПРЕДЕЛЕНО")))</x:f>
      </x:c>
      <x:c r="AF8" s="190"/>
      <x:c r="AG8" s="202"/>
      <x:c r="AH8" s="214" t="str">
        <x:f>IF(COUNTA(AF8:AG8)=0,"",N(AF8)-N(AG8))</x:f>
      </x:c>
      <x:c r="AI8" s="226" t="str">
        <x:f>IF(COUNTA(AF8:AG8)=0,"",SUMIFS('04_Влияние_ОПИУ'!$F$2:$F$2000,'04_Влияние_ОПИУ'!$B$2:$B$2000,"2025-05",'04_Влияние_ОПИУ'!$C$2:$C$2000,$A8,'04_Влияние_ОПИУ'!$G$2:$G$2000,"Да"))</x:f>
      </x:c>
      <x:c r="AJ8" s="238" t="str">
        <x:f>IF(COUNTA(AF8:AG8)=0,"",N(AG8)+N(AI8))</x:f>
      </x:c>
      <x:c r="AK8" s="252" t="str">
        <x:f>IF(COUNTA(AF8:AG8)=0,"",N(AF8)-N(AJ8))</x:f>
      </x:c>
      <x:c r="AL8" s="260" t="str">
        <x:f>IF(COUNTA(AF8:AG8)=0,"",IF(ABS(AK8)&lt;=0.01,IF(ABS(AI8)&gt;0.01,"СОШЛОСЬ ПОСЛЕ КОРР.","СОШЛОСЬ"),IF(ABS(AI8)&gt;0.01,"ЧАСТИЧНО","НЕОПРЕДЕЛЕНО")))</x:f>
      </x:c>
      <x:c r="AM8" s="190"/>
      <x:c r="AN8" s="202"/>
      <x:c r="AO8" s="214" t="str">
        <x:f>IF(COUNTA(AM8:AN8)=0,"",N(AM8)-N(AN8))</x:f>
      </x:c>
      <x:c r="AP8" s="226" t="str">
        <x:f>IF(COUNTA(AM8:AN8)=0,"",SUMIFS('04_Влияние_ОПИУ'!$F$2:$F$2000,'04_Влияние_ОПИУ'!$B$2:$B$2000,"2025-06",'04_Влияние_ОПИУ'!$C$2:$C$2000,$A8,'04_Влияние_ОПИУ'!$G$2:$G$2000,"Да"))</x:f>
      </x:c>
      <x:c r="AQ8" s="238" t="str">
        <x:f>IF(COUNTA(AM8:AN8)=0,"",N(AN8)+N(AP8))</x:f>
      </x:c>
      <x:c r="AR8" s="252" t="str">
        <x:f>IF(COUNTA(AM8:AN8)=0,"",N(AM8)-N(AQ8))</x:f>
      </x:c>
      <x:c r="AS8" s="260" t="str">
        <x:f>IF(COUNTA(AM8:AN8)=0,"",IF(ABS(AR8)&lt;=0.01,IF(ABS(AP8)&gt;0.01,"СОШЛОСЬ ПОСЛЕ КОРР.","СОШЛОСЬ"),IF(ABS(AP8)&gt;0.01,"ЧАСТИЧНО","НЕОПРЕДЕЛЕНО")))</x:f>
      </x:c>
      <x:c r="AT8" s="190"/>
      <x:c r="AU8" s="202"/>
      <x:c r="AV8" s="214" t="str">
        <x:f>IF(COUNTA(AT8:AU8)=0,"",N(AT8)-N(AU8))</x:f>
      </x:c>
      <x:c r="AW8" s="226" t="str">
        <x:f>IF(COUNTA(AT8:AU8)=0,"",SUMIFS('04_Влияние_ОПИУ'!$F$2:$F$2000,'04_Влияние_ОПИУ'!$B$2:$B$2000,"2025-07",'04_Влияние_ОПИУ'!$C$2:$C$2000,$A8,'04_Влияние_ОПИУ'!$G$2:$G$2000,"Да"))</x:f>
      </x:c>
      <x:c r="AX8" s="238" t="str">
        <x:f>IF(COUNTA(AT8:AU8)=0,"",N(AU8)+N(AW8))</x:f>
      </x:c>
      <x:c r="AY8" s="252" t="str">
        <x:f>IF(COUNTA(AT8:AU8)=0,"",N(AT8)-N(AX8))</x:f>
      </x:c>
      <x:c r="AZ8" s="260" t="str">
        <x:f>IF(COUNTA(AT8:AU8)=0,"",IF(ABS(AY8)&lt;=0.01,IF(ABS(AW8)&gt;0.01,"СОШЛОСЬ ПОСЛЕ КОРР.","СОШЛОСЬ"),IF(ABS(AW8)&gt;0.01,"ЧАСТИЧНО","НЕОПРЕДЕЛЕНО")))</x:f>
      </x:c>
      <x:c r="BA8" s="190"/>
      <x:c r="BB8" s="202"/>
      <x:c r="BC8" s="214" t="str">
        <x:f>IF(COUNTA(BA8:BB8)=0,"",N(BA8)-N(BB8))</x:f>
      </x:c>
      <x:c r="BD8" s="226" t="str">
        <x:f>IF(COUNTA(BA8:BB8)=0,"",SUMIFS('04_Влияние_ОПИУ'!$F$2:$F$2000,'04_Влияние_ОПИУ'!$B$2:$B$2000,"2025-08",'04_Влияние_ОПИУ'!$C$2:$C$2000,$A8,'04_Влияние_ОПИУ'!$G$2:$G$2000,"Да"))</x:f>
      </x:c>
      <x:c r="BE8" s="238" t="str">
        <x:f>IF(COUNTA(BA8:BB8)=0,"",N(BB8)+N(BD8))</x:f>
      </x:c>
      <x:c r="BF8" s="252" t="str">
        <x:f>IF(COUNTA(BA8:BB8)=0,"",N(BA8)-N(BE8))</x:f>
      </x:c>
      <x:c r="BG8" s="260" t="str">
        <x:f>IF(COUNTA(BA8:BB8)=0,"",IF(ABS(BF8)&lt;=0.01,IF(ABS(BD8)&gt;0.01,"СОШЛОСЬ ПОСЛЕ КОРР.","СОШЛОСЬ"),IF(ABS(BD8)&gt;0.01,"ЧАСТИЧНО","НЕОПРЕДЕЛЕНО")))</x:f>
      </x:c>
      <x:c r="BH8" s="190"/>
      <x:c r="BI8" s="202"/>
      <x:c r="BJ8" s="214" t="str">
        <x:f>IF(COUNTA(BH8:BI8)=0,"",N(BH8)-N(BI8))</x:f>
      </x:c>
      <x:c r="BK8" s="226" t="str">
        <x:f>IF(COUNTA(BH8:BI8)=0,"",SUMIFS('04_Влияние_ОПИУ'!$F$2:$F$2000,'04_Влияние_ОПИУ'!$B$2:$B$2000,"2025-09",'04_Влияние_ОПИУ'!$C$2:$C$2000,$A8,'04_Влияние_ОПИУ'!$G$2:$G$2000,"Да"))</x:f>
      </x:c>
      <x:c r="BL8" s="238" t="str">
        <x:f>IF(COUNTA(BH8:BI8)=0,"",N(BI8)+N(BK8))</x:f>
      </x:c>
      <x:c r="BM8" s="252" t="str">
        <x:f>IF(COUNTA(BH8:BI8)=0,"",N(BH8)-N(BL8))</x:f>
      </x:c>
      <x:c r="BN8" s="260" t="str">
        <x:f>IF(COUNTA(BH8:BI8)=0,"",IF(ABS(BM8)&lt;=0.01,IF(ABS(BK8)&gt;0.01,"СОШЛОСЬ ПОСЛЕ КОРР.","СОШЛОСЬ"),IF(ABS(BK8)&gt;0.01,"ЧАСТИЧНО","НЕОПРЕДЕЛЕНО")))</x:f>
      </x:c>
      <x:c r="BO8" s="190"/>
      <x:c r="BP8" s="202"/>
      <x:c r="BQ8" s="214" t="str">
        <x:f>IF(COUNTA(BO8:BP8)=0,"",N(BO8)-N(BP8))</x:f>
      </x:c>
      <x:c r="BR8" s="226" t="str">
        <x:f>IF(COUNTA(BO8:BP8)=0,"",SUMIFS('04_Влияние_ОПИУ'!$F$2:$F$2000,'04_Влияние_ОПИУ'!$B$2:$B$2000,"2025-10",'04_Влияние_ОПИУ'!$C$2:$C$2000,$A8,'04_Влияние_ОПИУ'!$G$2:$G$2000,"Да"))</x:f>
      </x:c>
      <x:c r="BS8" s="238" t="str">
        <x:f>IF(COUNTA(BO8:BP8)=0,"",N(BP8)+N(BR8))</x:f>
      </x:c>
      <x:c r="BT8" s="252" t="str">
        <x:f>IF(COUNTA(BO8:BP8)=0,"",N(BO8)-N(BS8))</x:f>
      </x:c>
      <x:c r="BU8" s="260" t="str">
        <x:f>IF(COUNTA(BO8:BP8)=0,"",IF(ABS(BT8)&lt;=0.01,IF(ABS(BR8)&gt;0.01,"СОШЛОСЬ ПОСЛЕ КОРР.","СОШЛОСЬ"),IF(ABS(BR8)&gt;0.01,"ЧАСТИЧНО","НЕОПРЕДЕЛЕНО")))</x:f>
      </x:c>
      <x:c r="BV8" s="190"/>
      <x:c r="BW8" s="202"/>
      <x:c r="BX8" s="214" t="str">
        <x:f>IF(COUNTA(BV8:BW8)=0,"",N(BV8)-N(BW8))</x:f>
      </x:c>
      <x:c r="BY8" s="226" t="str">
        <x:f>IF(COUNTA(BV8:BW8)=0,"",SUMIFS('04_Влияние_ОПИУ'!$F$2:$F$2000,'04_Влияние_ОПИУ'!$B$2:$B$2000,"2025-11",'04_Влияние_ОПИУ'!$C$2:$C$2000,$A8,'04_Влияние_ОПИУ'!$G$2:$G$2000,"Да"))</x:f>
      </x:c>
      <x:c r="BZ8" s="238" t="str">
        <x:f>IF(COUNTA(BV8:BW8)=0,"",N(BW8)+N(BY8))</x:f>
      </x:c>
      <x:c r="CA8" s="252" t="str">
        <x:f>IF(COUNTA(BV8:BW8)=0,"",N(BV8)-N(BZ8))</x:f>
      </x:c>
      <x:c r="CB8" s="260" t="str">
        <x:f>IF(COUNTA(BV8:BW8)=0,"",IF(ABS(CA8)&lt;=0.01,IF(ABS(BY8)&gt;0.01,"СОШЛОСЬ ПОСЛЕ КОРР.","СОШЛОСЬ"),IF(ABS(BY8)&gt;0.01,"ЧАСТИЧНО","НЕОПРЕДЕЛЕНО")))</x:f>
      </x:c>
      <x:c r="CC8" s="190"/>
      <x:c r="CD8" s="202"/>
      <x:c r="CE8" s="214" t="str">
        <x:f>IF(COUNTA(CC8:CD8)=0,"",N(CC8)-N(CD8))</x:f>
      </x:c>
      <x:c r="CF8" s="226" t="str">
        <x:f>IF(COUNTA(CC8:CD8)=0,"",SUMIFS('04_Влияние_ОПИУ'!$F$2:$F$2000,'04_Влияние_ОПИУ'!$B$2:$B$2000,"2025-12",'04_Влияние_ОПИУ'!$C$2:$C$2000,$A8,'04_Влияние_ОПИУ'!$G$2:$G$2000,"Да"))</x:f>
      </x:c>
      <x:c r="CG8" s="238" t="str">
        <x:f>IF(COUNTA(CC8:CD8)=0,"",N(CD8)+N(CF8))</x:f>
      </x:c>
      <x:c r="CH8" s="252" t="str">
        <x:f>IF(COUNTA(CC8:CD8)=0,"",N(CC8)-N(CG8))</x:f>
      </x:c>
      <x:c r="CI8" s="260" t="str">
        <x:f>IF(COUNTA(CC8:CD8)=0,"",IF(ABS(CH8)&lt;=0.01,IF(ABS(CF8)&gt;0.01,"СОШЛОСЬ ПОСЛЕ КОРР.","СОШЛОСЬ"),IF(ABS(CF8)&gt;0.01,"ЧАСТИЧНО","НЕОПРЕДЕЛЕНО")))</x:f>
      </x:c>
    </x:row>
    <x:row r="9">
      <x:c r="A9" s="166" t="str">
        <x:v>R004</x:v>
      </x:c>
      <x:c r="B9" s="166" t="str">
        <x:v>        Аренда офиса внутренняя</x:v>
      </x:c>
      <x:c r="C9" s="170" t="str">
        <x:v>        Аренда офиса внутренняя</x:v>
      </x:c>
      <x:c r="D9" s="190"/>
      <x:c r="E9" s="202"/>
      <x:c r="F9" s="214" t="str">
        <x:f>IF(COUNTA(D9:E9)=0,"",N(D9)-N(E9))</x:f>
      </x:c>
      <x:c r="G9" s="226" t="str">
        <x:f>IF(COUNTA(D9:E9)=0,"",SUMIFS('04_Влияние_ОПИУ'!$F$2:$F$2000,'04_Влияние_ОПИУ'!$B$2:$B$2000,"2025-01",'04_Влияние_ОПИУ'!$C$2:$C$2000,$A9,'04_Влияние_ОПИУ'!$G$2:$G$2000,"Да"))</x:f>
      </x:c>
      <x:c r="H9" s="238" t="str">
        <x:f>IF(COUNTA(D9:E9)=0,"",N(E9)+N(G9))</x:f>
      </x:c>
      <x:c r="I9" s="252" t="str">
        <x:f>IF(COUNTA(D9:E9)=0,"",N(D9)-N(H9))</x:f>
      </x:c>
      <x:c r="J9" s="260" t="str">
        <x:f>IF(COUNTA(D9:E9)=0,"",IF(ABS(I9)&lt;=0.01,IF(ABS(G9)&gt;0.01,"СОШЛОСЬ ПОСЛЕ КОРР.","СОШЛОСЬ"),IF(ABS(G9)&gt;0.01,"ЧАСТИЧНО","НЕОПРЕДЕЛЕНО")))</x:f>
      </x:c>
      <x:c r="K9" s="190"/>
      <x:c r="L9" s="202"/>
      <x:c r="M9" s="214" t="str">
        <x:f>IF(COUNTA(K9:L9)=0,"",N(K9)-N(L9))</x:f>
      </x:c>
      <x:c r="N9" s="226" t="str">
        <x:f>IF(COUNTA(K9:L9)=0,"",SUMIFS('04_Влияние_ОПИУ'!$F$2:$F$2000,'04_Влияние_ОПИУ'!$B$2:$B$2000,"2025-02",'04_Влияние_ОПИУ'!$C$2:$C$2000,$A9,'04_Влияние_ОПИУ'!$G$2:$G$2000,"Да"))</x:f>
      </x:c>
      <x:c r="O9" s="238" t="str">
        <x:f>IF(COUNTA(K9:L9)=0,"",N(L9)+N(N9))</x:f>
      </x:c>
      <x:c r="P9" s="252" t="str">
        <x:f>IF(COUNTA(K9:L9)=0,"",N(K9)-N(O9))</x:f>
      </x:c>
      <x:c r="Q9" s="260" t="str">
        <x:f>IF(COUNTA(K9:L9)=0,"",IF(ABS(P9)&lt;=0.01,IF(ABS(N9)&gt;0.01,"СОШЛОСЬ ПОСЛЕ КОРР.","СОШЛОСЬ"),IF(ABS(N9)&gt;0.01,"ЧАСТИЧНО","НЕОПРЕДЕЛЕНО")))</x:f>
      </x:c>
      <x:c r="R9" s="190"/>
      <x:c r="S9" s="202"/>
      <x:c r="T9" s="214" t="str">
        <x:f>IF(COUNTA(R9:S9)=0,"",N(R9)-N(S9))</x:f>
      </x:c>
      <x:c r="U9" s="226" t="str">
        <x:f>IF(COUNTA(R9:S9)=0,"",SUMIFS('04_Влияние_ОПИУ'!$F$2:$F$2000,'04_Влияние_ОПИУ'!$B$2:$B$2000,"2025-03",'04_Влияние_ОПИУ'!$C$2:$C$2000,$A9,'04_Влияние_ОПИУ'!$G$2:$G$2000,"Да"))</x:f>
      </x:c>
      <x:c r="V9" s="238" t="str">
        <x:f>IF(COUNTA(R9:S9)=0,"",N(S9)+N(U9))</x:f>
      </x:c>
      <x:c r="W9" s="252" t="str">
        <x:f>IF(COUNTA(R9:S9)=0,"",N(R9)-N(V9))</x:f>
      </x:c>
      <x:c r="X9" s="260" t="str">
        <x:f>IF(COUNTA(R9:S9)=0,"",IF(ABS(W9)&lt;=0.01,IF(ABS(U9)&gt;0.01,"СОШЛОСЬ ПОСЛЕ КОРР.","СОШЛОСЬ"),IF(ABS(U9)&gt;0.01,"ЧАСТИЧНО","НЕОПРЕДЕЛЕНО")))</x:f>
      </x:c>
      <x:c r="Y9" s="190"/>
      <x:c r="Z9" s="202"/>
      <x:c r="AA9" s="214" t="str">
        <x:f>IF(COUNTA(Y9:Z9)=0,"",N(Y9)-N(Z9))</x:f>
      </x:c>
      <x:c r="AB9" s="226" t="str">
        <x:f>IF(COUNTA(Y9:Z9)=0,"",SUMIFS('04_Влияние_ОПИУ'!$F$2:$F$2000,'04_Влияние_ОПИУ'!$B$2:$B$2000,"2025-04",'04_Влияние_ОПИУ'!$C$2:$C$2000,$A9,'04_Влияние_ОПИУ'!$G$2:$G$2000,"Да"))</x:f>
      </x:c>
      <x:c r="AC9" s="238" t="str">
        <x:f>IF(COUNTA(Y9:Z9)=0,"",N(Z9)+N(AB9))</x:f>
      </x:c>
      <x:c r="AD9" s="252" t="str">
        <x:f>IF(COUNTA(Y9:Z9)=0,"",N(Y9)-N(AC9))</x:f>
      </x:c>
      <x:c r="AE9" s="260" t="str">
        <x:f>IF(COUNTA(Y9:Z9)=0,"",IF(ABS(AD9)&lt;=0.01,IF(ABS(AB9)&gt;0.01,"СОШЛОСЬ ПОСЛЕ КОРР.","СОШЛОСЬ"),IF(ABS(AB9)&gt;0.01,"ЧАСТИЧНО","НЕОПРЕДЕЛЕНО")))</x:f>
      </x:c>
      <x:c r="AF9" s="190"/>
      <x:c r="AG9" s="202"/>
      <x:c r="AH9" s="214" t="str">
        <x:f>IF(COUNTA(AF9:AG9)=0,"",N(AF9)-N(AG9))</x:f>
      </x:c>
      <x:c r="AI9" s="226" t="str">
        <x:f>IF(COUNTA(AF9:AG9)=0,"",SUMIFS('04_Влияние_ОПИУ'!$F$2:$F$2000,'04_Влияние_ОПИУ'!$B$2:$B$2000,"2025-05",'04_Влияние_ОПИУ'!$C$2:$C$2000,$A9,'04_Влияние_ОПИУ'!$G$2:$G$2000,"Да"))</x:f>
      </x:c>
      <x:c r="AJ9" s="238" t="str">
        <x:f>IF(COUNTA(AF9:AG9)=0,"",N(AG9)+N(AI9))</x:f>
      </x:c>
      <x:c r="AK9" s="252" t="str">
        <x:f>IF(COUNTA(AF9:AG9)=0,"",N(AF9)-N(AJ9))</x:f>
      </x:c>
      <x:c r="AL9" s="260" t="str">
        <x:f>IF(COUNTA(AF9:AG9)=0,"",IF(ABS(AK9)&lt;=0.01,IF(ABS(AI9)&gt;0.01,"СОШЛОСЬ ПОСЛЕ КОРР.","СОШЛОСЬ"),IF(ABS(AI9)&gt;0.01,"ЧАСТИЧНО","НЕОПРЕДЕЛЕНО")))</x:f>
      </x:c>
      <x:c r="AM9" s="190"/>
      <x:c r="AN9" s="202"/>
      <x:c r="AO9" s="214" t="str">
        <x:f>IF(COUNTA(AM9:AN9)=0,"",N(AM9)-N(AN9))</x:f>
      </x:c>
      <x:c r="AP9" s="226" t="str">
        <x:f>IF(COUNTA(AM9:AN9)=0,"",SUMIFS('04_Влияние_ОПИУ'!$F$2:$F$2000,'04_Влияние_ОПИУ'!$B$2:$B$2000,"2025-06",'04_Влияние_ОПИУ'!$C$2:$C$2000,$A9,'04_Влияние_ОПИУ'!$G$2:$G$2000,"Да"))</x:f>
      </x:c>
      <x:c r="AQ9" s="238" t="str">
        <x:f>IF(COUNTA(AM9:AN9)=0,"",N(AN9)+N(AP9))</x:f>
      </x:c>
      <x:c r="AR9" s="252" t="str">
        <x:f>IF(COUNTA(AM9:AN9)=0,"",N(AM9)-N(AQ9))</x:f>
      </x:c>
      <x:c r="AS9" s="260" t="str">
        <x:f>IF(COUNTA(AM9:AN9)=0,"",IF(ABS(AR9)&lt;=0.01,IF(ABS(AP9)&gt;0.01,"СОШЛОСЬ ПОСЛЕ КОРР.","СОШЛОСЬ"),IF(ABS(AP9)&gt;0.01,"ЧАСТИЧНО","НЕОПРЕДЕЛЕНО")))</x:f>
      </x:c>
      <x:c r="AT9" s="190"/>
      <x:c r="AU9" s="202"/>
      <x:c r="AV9" s="214" t="str">
        <x:f>IF(COUNTA(AT9:AU9)=0,"",N(AT9)-N(AU9))</x:f>
      </x:c>
      <x:c r="AW9" s="226" t="str">
        <x:f>IF(COUNTA(AT9:AU9)=0,"",SUMIFS('04_Влияние_ОПИУ'!$F$2:$F$2000,'04_Влияние_ОПИУ'!$B$2:$B$2000,"2025-07",'04_Влияние_ОПИУ'!$C$2:$C$2000,$A9,'04_Влияние_ОПИУ'!$G$2:$G$2000,"Да"))</x:f>
      </x:c>
      <x:c r="AX9" s="238" t="str">
        <x:f>IF(COUNTA(AT9:AU9)=0,"",N(AU9)+N(AW9))</x:f>
      </x:c>
      <x:c r="AY9" s="252" t="str">
        <x:f>IF(COUNTA(AT9:AU9)=0,"",N(AT9)-N(AX9))</x:f>
      </x:c>
      <x:c r="AZ9" s="260" t="str">
        <x:f>IF(COUNTA(AT9:AU9)=0,"",IF(ABS(AY9)&lt;=0.01,IF(ABS(AW9)&gt;0.01,"СОШЛОСЬ ПОСЛЕ КОРР.","СОШЛОСЬ"),IF(ABS(AW9)&gt;0.01,"ЧАСТИЧНО","НЕОПРЕДЕЛЕНО")))</x:f>
      </x:c>
      <x:c r="BA9" s="190"/>
      <x:c r="BB9" s="202"/>
      <x:c r="BC9" s="214" t="str">
        <x:f>IF(COUNTA(BA9:BB9)=0,"",N(BA9)-N(BB9))</x:f>
      </x:c>
      <x:c r="BD9" s="226" t="str">
        <x:f>IF(COUNTA(BA9:BB9)=0,"",SUMIFS('04_Влияние_ОПИУ'!$F$2:$F$2000,'04_Влияние_ОПИУ'!$B$2:$B$2000,"2025-08",'04_Влияние_ОПИУ'!$C$2:$C$2000,$A9,'04_Влияние_ОПИУ'!$G$2:$G$2000,"Да"))</x:f>
      </x:c>
      <x:c r="BE9" s="238" t="str">
        <x:f>IF(COUNTA(BA9:BB9)=0,"",N(BB9)+N(BD9))</x:f>
      </x:c>
      <x:c r="BF9" s="252" t="str">
        <x:f>IF(COUNTA(BA9:BB9)=0,"",N(BA9)-N(BE9))</x:f>
      </x:c>
      <x:c r="BG9" s="260" t="str">
        <x:f>IF(COUNTA(BA9:BB9)=0,"",IF(ABS(BF9)&lt;=0.01,IF(ABS(BD9)&gt;0.01,"СОШЛОСЬ ПОСЛЕ КОРР.","СОШЛОСЬ"),IF(ABS(BD9)&gt;0.01,"ЧАСТИЧНО","НЕОПРЕДЕЛЕНО")))</x:f>
      </x:c>
      <x:c r="BH9" s="190"/>
      <x:c r="BI9" s="202"/>
      <x:c r="BJ9" s="214" t="str">
        <x:f>IF(COUNTA(BH9:BI9)=0,"",N(BH9)-N(BI9))</x:f>
      </x:c>
      <x:c r="BK9" s="226" t="str">
        <x:f>IF(COUNTA(BH9:BI9)=0,"",SUMIFS('04_Влияние_ОПИУ'!$F$2:$F$2000,'04_Влияние_ОПИУ'!$B$2:$B$2000,"2025-09",'04_Влияние_ОПИУ'!$C$2:$C$2000,$A9,'04_Влияние_ОПИУ'!$G$2:$G$2000,"Да"))</x:f>
      </x:c>
      <x:c r="BL9" s="238" t="str">
        <x:f>IF(COUNTA(BH9:BI9)=0,"",N(BI9)+N(BK9))</x:f>
      </x:c>
      <x:c r="BM9" s="252" t="str">
        <x:f>IF(COUNTA(BH9:BI9)=0,"",N(BH9)-N(BL9))</x:f>
      </x:c>
      <x:c r="BN9" s="260" t="str">
        <x:f>IF(COUNTA(BH9:BI9)=0,"",IF(ABS(BM9)&lt;=0.01,IF(ABS(BK9)&gt;0.01,"СОШЛОСЬ ПОСЛЕ КОРР.","СОШЛОСЬ"),IF(ABS(BK9)&gt;0.01,"ЧАСТИЧНО","НЕОПРЕДЕЛЕНО")))</x:f>
      </x:c>
      <x:c r="BO9" s="190"/>
      <x:c r="BP9" s="202"/>
      <x:c r="BQ9" s="214" t="str">
        <x:f>IF(COUNTA(BO9:BP9)=0,"",N(BO9)-N(BP9))</x:f>
      </x:c>
      <x:c r="BR9" s="226" t="str">
        <x:f>IF(COUNTA(BO9:BP9)=0,"",SUMIFS('04_Влияние_ОПИУ'!$F$2:$F$2000,'04_Влияние_ОПИУ'!$B$2:$B$2000,"2025-10",'04_Влияние_ОПИУ'!$C$2:$C$2000,$A9,'04_Влияние_ОПИУ'!$G$2:$G$2000,"Да"))</x:f>
      </x:c>
      <x:c r="BS9" s="238" t="str">
        <x:f>IF(COUNTA(BO9:BP9)=0,"",N(BP9)+N(BR9))</x:f>
      </x:c>
      <x:c r="BT9" s="252" t="str">
        <x:f>IF(COUNTA(BO9:BP9)=0,"",N(BO9)-N(BS9))</x:f>
      </x:c>
      <x:c r="BU9" s="260" t="str">
        <x:f>IF(COUNTA(BO9:BP9)=0,"",IF(ABS(BT9)&lt;=0.01,IF(ABS(BR9)&gt;0.01,"СОШЛОСЬ ПОСЛЕ КОРР.","СОШЛОСЬ"),IF(ABS(BR9)&gt;0.01,"ЧАСТИЧНО","НЕОПРЕДЕЛЕНО")))</x:f>
      </x:c>
      <x:c r="BV9" s="190"/>
      <x:c r="BW9" s="202"/>
      <x:c r="BX9" s="214" t="str">
        <x:f>IF(COUNTA(BV9:BW9)=0,"",N(BV9)-N(BW9))</x:f>
      </x:c>
      <x:c r="BY9" s="226" t="str">
        <x:f>IF(COUNTA(BV9:BW9)=0,"",SUMIFS('04_Влияние_ОПИУ'!$F$2:$F$2000,'04_Влияние_ОПИУ'!$B$2:$B$2000,"2025-11",'04_Влияние_ОПИУ'!$C$2:$C$2000,$A9,'04_Влияние_ОПИУ'!$G$2:$G$2000,"Да"))</x:f>
      </x:c>
      <x:c r="BZ9" s="238" t="str">
        <x:f>IF(COUNTA(BV9:BW9)=0,"",N(BW9)+N(BY9))</x:f>
      </x:c>
      <x:c r="CA9" s="252" t="str">
        <x:f>IF(COUNTA(BV9:BW9)=0,"",N(BV9)-N(BZ9))</x:f>
      </x:c>
      <x:c r="CB9" s="260" t="str">
        <x:f>IF(COUNTA(BV9:BW9)=0,"",IF(ABS(CA9)&lt;=0.01,IF(ABS(BY9)&gt;0.01,"СОШЛОСЬ ПОСЛЕ КОРР.","СОШЛОСЬ"),IF(ABS(BY9)&gt;0.01,"ЧАСТИЧНО","НЕОПРЕДЕЛЕНО")))</x:f>
      </x:c>
      <x:c r="CC9" s="190"/>
      <x:c r="CD9" s="202"/>
      <x:c r="CE9" s="214" t="str">
        <x:f>IF(COUNTA(CC9:CD9)=0,"",N(CC9)-N(CD9))</x:f>
      </x:c>
      <x:c r="CF9" s="226" t="str">
        <x:f>IF(COUNTA(CC9:CD9)=0,"",SUMIFS('04_Влияние_ОПИУ'!$F$2:$F$2000,'04_Влияние_ОПИУ'!$B$2:$B$2000,"2025-12",'04_Влияние_ОПИУ'!$C$2:$C$2000,$A9,'04_Влияние_ОПИУ'!$G$2:$G$2000,"Да"))</x:f>
      </x:c>
      <x:c r="CG9" s="238" t="str">
        <x:f>IF(COUNTA(CC9:CD9)=0,"",N(CD9)+N(CF9))</x:f>
      </x:c>
      <x:c r="CH9" s="252" t="str">
        <x:f>IF(COUNTA(CC9:CD9)=0,"",N(CC9)-N(CG9))</x:f>
      </x:c>
      <x:c r="CI9" s="260" t="str">
        <x:f>IF(COUNTA(CC9:CD9)=0,"",IF(ABS(CH9)&lt;=0.01,IF(ABS(CF9)&gt;0.01,"СОШЛОСЬ ПОСЛЕ КОРР.","СОШЛОСЬ"),IF(ABS(CF9)&gt;0.01,"ЧАСТИЧНО","НЕОПРЕДЕЛЕНО")))</x:f>
      </x:c>
    </x:row>
    <x:row r="10">
      <x:c r="A10" s="166" t="str">
        <x:v>R005</x:v>
      </x:c>
      <x:c r="B10" s="166" t="str">
        <x:v>        Коммунальные расходы</x:v>
      </x:c>
      <x:c r="C10" s="170" t="str">
        <x:v>        Коммунальные расходы</x:v>
      </x:c>
      <x:c r="D10" s="190"/>
      <x:c r="E10" s="202"/>
      <x:c r="F10" s="214" t="str">
        <x:f>IF(COUNTA(D10:E10)=0,"",N(D10)-N(E10))</x:f>
      </x:c>
      <x:c r="G10" s="226" t="str">
        <x:f>IF(COUNTA(D10:E10)=0,"",SUMIFS('04_Влияние_ОПИУ'!$F$2:$F$2000,'04_Влияние_ОПИУ'!$B$2:$B$2000,"2025-01",'04_Влияние_ОПИУ'!$C$2:$C$2000,$A10,'04_Влияние_ОПИУ'!$G$2:$G$2000,"Да"))</x:f>
      </x:c>
      <x:c r="H10" s="238" t="str">
        <x:f>IF(COUNTA(D10:E10)=0,"",N(E10)+N(G10))</x:f>
      </x:c>
      <x:c r="I10" s="252" t="str">
        <x:f>IF(COUNTA(D10:E10)=0,"",N(D10)-N(H10))</x:f>
      </x:c>
      <x:c r="J10" s="260" t="str">
        <x:f>IF(COUNTA(D10:E10)=0,"",IF(ABS(I10)&lt;=0.01,IF(ABS(G10)&gt;0.01,"СОШЛОСЬ ПОСЛЕ КОРР.","СОШЛОСЬ"),IF(ABS(G10)&gt;0.01,"ЧАСТИЧНО","НЕОПРЕДЕЛЕНО")))</x:f>
      </x:c>
      <x:c r="K10" s="190"/>
      <x:c r="L10" s="202"/>
      <x:c r="M10" s="214" t="str">
        <x:f>IF(COUNTA(K10:L10)=0,"",N(K10)-N(L10))</x:f>
      </x:c>
      <x:c r="N10" s="226" t="str">
        <x:f>IF(COUNTA(K10:L10)=0,"",SUMIFS('04_Влияние_ОПИУ'!$F$2:$F$2000,'04_Влияние_ОПИУ'!$B$2:$B$2000,"2025-02",'04_Влияние_ОПИУ'!$C$2:$C$2000,$A10,'04_Влияние_ОПИУ'!$G$2:$G$2000,"Да"))</x:f>
      </x:c>
      <x:c r="O10" s="238" t="str">
        <x:f>IF(COUNTA(K10:L10)=0,"",N(L10)+N(N10))</x:f>
      </x:c>
      <x:c r="P10" s="252" t="str">
        <x:f>IF(COUNTA(K10:L10)=0,"",N(K10)-N(O10))</x:f>
      </x:c>
      <x:c r="Q10" s="260" t="str">
        <x:f>IF(COUNTA(K10:L10)=0,"",IF(ABS(P10)&lt;=0.01,IF(ABS(N10)&gt;0.01,"СОШЛОСЬ ПОСЛЕ КОРР.","СОШЛОСЬ"),IF(ABS(N10)&gt;0.01,"ЧАСТИЧНО","НЕОПРЕДЕЛЕНО")))</x:f>
      </x:c>
      <x:c r="R10" s="190"/>
      <x:c r="S10" s="202"/>
      <x:c r="T10" s="214" t="str">
        <x:f>IF(COUNTA(R10:S10)=0,"",N(R10)-N(S10))</x:f>
      </x:c>
      <x:c r="U10" s="226" t="str">
        <x:f>IF(COUNTA(R10:S10)=0,"",SUMIFS('04_Влияние_ОПИУ'!$F$2:$F$2000,'04_Влияние_ОПИУ'!$B$2:$B$2000,"2025-03",'04_Влияние_ОПИУ'!$C$2:$C$2000,$A10,'04_Влияние_ОПИУ'!$G$2:$G$2000,"Да"))</x:f>
      </x:c>
      <x:c r="V10" s="238" t="str">
        <x:f>IF(COUNTA(R10:S10)=0,"",N(S10)+N(U10))</x:f>
      </x:c>
      <x:c r="W10" s="252" t="str">
        <x:f>IF(COUNTA(R10:S10)=0,"",N(R10)-N(V10))</x:f>
      </x:c>
      <x:c r="X10" s="260" t="str">
        <x:f>IF(COUNTA(R10:S10)=0,"",IF(ABS(W10)&lt;=0.01,IF(ABS(U10)&gt;0.01,"СОШЛОСЬ ПОСЛЕ КОРР.","СОШЛОСЬ"),IF(ABS(U10)&gt;0.01,"ЧАСТИЧНО","НЕОПРЕДЕЛЕНО")))</x:f>
      </x:c>
      <x:c r="Y10" s="190"/>
      <x:c r="Z10" s="202"/>
      <x:c r="AA10" s="214" t="str">
        <x:f>IF(COUNTA(Y10:Z10)=0,"",N(Y10)-N(Z10))</x:f>
      </x:c>
      <x:c r="AB10" s="226" t="str">
        <x:f>IF(COUNTA(Y10:Z10)=0,"",SUMIFS('04_Влияние_ОПИУ'!$F$2:$F$2000,'04_Влияние_ОПИУ'!$B$2:$B$2000,"2025-04",'04_Влияние_ОПИУ'!$C$2:$C$2000,$A10,'04_Влияние_ОПИУ'!$G$2:$G$2000,"Да"))</x:f>
      </x:c>
      <x:c r="AC10" s="238" t="str">
        <x:f>IF(COUNTA(Y10:Z10)=0,"",N(Z10)+N(AB10))</x:f>
      </x:c>
      <x:c r="AD10" s="252" t="str">
        <x:f>IF(COUNTA(Y10:Z10)=0,"",N(Y10)-N(AC10))</x:f>
      </x:c>
      <x:c r="AE10" s="260" t="str">
        <x:f>IF(COUNTA(Y10:Z10)=0,"",IF(ABS(AD10)&lt;=0.01,IF(ABS(AB10)&gt;0.01,"СОШЛОСЬ ПОСЛЕ КОРР.","СОШЛОСЬ"),IF(ABS(AB10)&gt;0.01,"ЧАСТИЧНО","НЕОПРЕДЕЛЕНО")))</x:f>
      </x:c>
      <x:c r="AF10" s="190"/>
      <x:c r="AG10" s="202"/>
      <x:c r="AH10" s="214" t="str">
        <x:f>IF(COUNTA(AF10:AG10)=0,"",N(AF10)-N(AG10))</x:f>
      </x:c>
      <x:c r="AI10" s="226" t="str">
        <x:f>IF(COUNTA(AF10:AG10)=0,"",SUMIFS('04_Влияние_ОПИУ'!$F$2:$F$2000,'04_Влияние_ОПИУ'!$B$2:$B$2000,"2025-05",'04_Влияние_ОПИУ'!$C$2:$C$2000,$A10,'04_Влияние_ОПИУ'!$G$2:$G$2000,"Да"))</x:f>
      </x:c>
      <x:c r="AJ10" s="238" t="str">
        <x:f>IF(COUNTA(AF10:AG10)=0,"",N(AG10)+N(AI10))</x:f>
      </x:c>
      <x:c r="AK10" s="252" t="str">
        <x:f>IF(COUNTA(AF10:AG10)=0,"",N(AF10)-N(AJ10))</x:f>
      </x:c>
      <x:c r="AL10" s="260" t="str">
        <x:f>IF(COUNTA(AF10:AG10)=0,"",IF(ABS(AK10)&lt;=0.01,IF(ABS(AI10)&gt;0.01,"СОШЛОСЬ ПОСЛЕ КОРР.","СОШЛОСЬ"),IF(ABS(AI10)&gt;0.01,"ЧАСТИЧНО","НЕОПРЕДЕЛЕНО")))</x:f>
      </x:c>
      <x:c r="AM10" s="190"/>
      <x:c r="AN10" s="202"/>
      <x:c r="AO10" s="214" t="str">
        <x:f>IF(COUNTA(AM10:AN10)=0,"",N(AM10)-N(AN10))</x:f>
      </x:c>
      <x:c r="AP10" s="226" t="str">
        <x:f>IF(COUNTA(AM10:AN10)=0,"",SUMIFS('04_Влияние_ОПИУ'!$F$2:$F$2000,'04_Влияние_ОПИУ'!$B$2:$B$2000,"2025-06",'04_Влияние_ОПИУ'!$C$2:$C$2000,$A10,'04_Влияние_ОПИУ'!$G$2:$G$2000,"Да"))</x:f>
      </x:c>
      <x:c r="AQ10" s="238" t="str">
        <x:f>IF(COUNTA(AM10:AN10)=0,"",N(AN10)+N(AP10))</x:f>
      </x:c>
      <x:c r="AR10" s="252" t="str">
        <x:f>IF(COUNTA(AM10:AN10)=0,"",N(AM10)-N(AQ10))</x:f>
      </x:c>
      <x:c r="AS10" s="260" t="str">
        <x:f>IF(COUNTA(AM10:AN10)=0,"",IF(ABS(AR10)&lt;=0.01,IF(ABS(AP10)&gt;0.01,"СОШЛОСЬ ПОСЛЕ КОРР.","СОШЛОСЬ"),IF(ABS(AP10)&gt;0.01,"ЧАСТИЧНО","НЕОПРЕДЕЛЕНО")))</x:f>
      </x:c>
      <x:c r="AT10" s="190"/>
      <x:c r="AU10" s="202"/>
      <x:c r="AV10" s="214" t="str">
        <x:f>IF(COUNTA(AT10:AU10)=0,"",N(AT10)-N(AU10))</x:f>
      </x:c>
      <x:c r="AW10" s="226" t="str">
        <x:f>IF(COUNTA(AT10:AU10)=0,"",SUMIFS('04_Влияние_ОПИУ'!$F$2:$F$2000,'04_Влияние_ОПИУ'!$B$2:$B$2000,"2025-07",'04_Влияние_ОПИУ'!$C$2:$C$2000,$A10,'04_Влияние_ОПИУ'!$G$2:$G$2000,"Да"))</x:f>
      </x:c>
      <x:c r="AX10" s="238" t="str">
        <x:f>IF(COUNTA(AT10:AU10)=0,"",N(AU10)+N(AW10))</x:f>
      </x:c>
      <x:c r="AY10" s="252" t="str">
        <x:f>IF(COUNTA(AT10:AU10)=0,"",N(AT10)-N(AX10))</x:f>
      </x:c>
      <x:c r="AZ10" s="260" t="str">
        <x:f>IF(COUNTA(AT10:AU10)=0,"",IF(ABS(AY10)&lt;=0.01,IF(ABS(AW10)&gt;0.01,"СОШЛОСЬ ПОСЛЕ КОРР.","СОШЛОСЬ"),IF(ABS(AW10)&gt;0.01,"ЧАСТИЧНО","НЕОПРЕДЕЛЕНО")))</x:f>
      </x:c>
      <x:c r="BA10" s="190"/>
      <x:c r="BB10" s="202"/>
      <x:c r="BC10" s="214" t="str">
        <x:f>IF(COUNTA(BA10:BB10)=0,"",N(BA10)-N(BB10))</x:f>
      </x:c>
      <x:c r="BD10" s="226" t="str">
        <x:f>IF(COUNTA(BA10:BB10)=0,"",SUMIFS('04_Влияние_ОПИУ'!$F$2:$F$2000,'04_Влияние_ОПИУ'!$B$2:$B$2000,"2025-08",'04_Влияние_ОПИУ'!$C$2:$C$2000,$A10,'04_Влияние_ОПИУ'!$G$2:$G$2000,"Да"))</x:f>
      </x:c>
      <x:c r="BE10" s="238" t="str">
        <x:f>IF(COUNTA(BA10:BB10)=0,"",N(BB10)+N(BD10))</x:f>
      </x:c>
      <x:c r="BF10" s="252" t="str">
        <x:f>IF(COUNTA(BA10:BB10)=0,"",N(BA10)-N(BE10))</x:f>
      </x:c>
      <x:c r="BG10" s="260" t="str">
        <x:f>IF(COUNTA(BA10:BB10)=0,"",IF(ABS(BF10)&lt;=0.01,IF(ABS(BD10)&gt;0.01,"СОШЛОСЬ ПОСЛЕ КОРР.","СОШЛОСЬ"),IF(ABS(BD10)&gt;0.01,"ЧАСТИЧНО","НЕОПРЕДЕЛЕНО")))</x:f>
      </x:c>
      <x:c r="BH10" s="190"/>
      <x:c r="BI10" s="202"/>
      <x:c r="BJ10" s="214" t="str">
        <x:f>IF(COUNTA(BH10:BI10)=0,"",N(BH10)-N(BI10))</x:f>
      </x:c>
      <x:c r="BK10" s="226" t="str">
        <x:f>IF(COUNTA(BH10:BI10)=0,"",SUMIFS('04_Влияние_ОПИУ'!$F$2:$F$2000,'04_Влияние_ОПИУ'!$B$2:$B$2000,"2025-09",'04_Влияние_ОПИУ'!$C$2:$C$2000,$A10,'04_Влияние_ОПИУ'!$G$2:$G$2000,"Да"))</x:f>
      </x:c>
      <x:c r="BL10" s="238" t="str">
        <x:f>IF(COUNTA(BH10:BI10)=0,"",N(BI10)+N(BK10))</x:f>
      </x:c>
      <x:c r="BM10" s="252" t="str">
        <x:f>IF(COUNTA(BH10:BI10)=0,"",N(BH10)-N(BL10))</x:f>
      </x:c>
      <x:c r="BN10" s="260" t="str">
        <x:f>IF(COUNTA(BH10:BI10)=0,"",IF(ABS(BM10)&lt;=0.01,IF(ABS(BK10)&gt;0.01,"СОШЛОСЬ ПОСЛЕ КОРР.","СОШЛОСЬ"),IF(ABS(BK10)&gt;0.01,"ЧАСТИЧНО","НЕОПРЕДЕЛЕНО")))</x:f>
      </x:c>
      <x:c r="BO10" s="190"/>
      <x:c r="BP10" s="202"/>
      <x:c r="BQ10" s="214" t="str">
        <x:f>IF(COUNTA(BO10:BP10)=0,"",N(BO10)-N(BP10))</x:f>
      </x:c>
      <x:c r="BR10" s="226" t="str">
        <x:f>IF(COUNTA(BO10:BP10)=0,"",SUMIFS('04_Влияние_ОПИУ'!$F$2:$F$2000,'04_Влияние_ОПИУ'!$B$2:$B$2000,"2025-10",'04_Влияние_ОПИУ'!$C$2:$C$2000,$A10,'04_Влияние_ОПИУ'!$G$2:$G$2000,"Да"))</x:f>
      </x:c>
      <x:c r="BS10" s="238" t="str">
        <x:f>IF(COUNTA(BO10:BP10)=0,"",N(BP10)+N(BR10))</x:f>
      </x:c>
      <x:c r="BT10" s="252" t="str">
        <x:f>IF(COUNTA(BO10:BP10)=0,"",N(BO10)-N(BS10))</x:f>
      </x:c>
      <x:c r="BU10" s="260" t="str">
        <x:f>IF(COUNTA(BO10:BP10)=0,"",IF(ABS(BT10)&lt;=0.01,IF(ABS(BR10)&gt;0.01,"СОШЛОСЬ ПОСЛЕ КОРР.","СОШЛОСЬ"),IF(ABS(BR10)&gt;0.01,"ЧАСТИЧНО","НЕОПРЕДЕЛЕНО")))</x:f>
      </x:c>
      <x:c r="BV10" s="190"/>
      <x:c r="BW10" s="202"/>
      <x:c r="BX10" s="214" t="str">
        <x:f>IF(COUNTA(BV10:BW10)=0,"",N(BV10)-N(BW10))</x:f>
      </x:c>
      <x:c r="BY10" s="226" t="str">
        <x:f>IF(COUNTA(BV10:BW10)=0,"",SUMIFS('04_Влияние_ОПИУ'!$F$2:$F$2000,'04_Влияние_ОПИУ'!$B$2:$B$2000,"2025-11",'04_Влияние_ОПИУ'!$C$2:$C$2000,$A10,'04_Влияние_ОПИУ'!$G$2:$G$2000,"Да"))</x:f>
      </x:c>
      <x:c r="BZ10" s="238" t="str">
        <x:f>IF(COUNTA(BV10:BW10)=0,"",N(BW10)+N(BY10))</x:f>
      </x:c>
      <x:c r="CA10" s="252" t="str">
        <x:f>IF(COUNTA(BV10:BW10)=0,"",N(BV10)-N(BZ10))</x:f>
      </x:c>
      <x:c r="CB10" s="260" t="str">
        <x:f>IF(COUNTA(BV10:BW10)=0,"",IF(ABS(CA10)&lt;=0.01,IF(ABS(BY10)&gt;0.01,"СОШЛОСЬ ПОСЛЕ КОРР.","СОШЛОСЬ"),IF(ABS(BY10)&gt;0.01,"ЧАСТИЧНО","НЕОПРЕДЕЛЕНО")))</x:f>
      </x:c>
      <x:c r="CC10" s="190"/>
      <x:c r="CD10" s="202"/>
      <x:c r="CE10" s="214" t="str">
        <x:f>IF(COUNTA(CC10:CD10)=0,"",N(CC10)-N(CD10))</x:f>
      </x:c>
      <x:c r="CF10" s="226" t="str">
        <x:f>IF(COUNTA(CC10:CD10)=0,"",SUMIFS('04_Влияние_ОПИУ'!$F$2:$F$2000,'04_Влияние_ОПИУ'!$B$2:$B$2000,"2025-12",'04_Влияние_ОПИУ'!$C$2:$C$2000,$A10,'04_Влияние_ОПИУ'!$G$2:$G$2000,"Да"))</x:f>
      </x:c>
      <x:c r="CG10" s="238" t="str">
        <x:f>IF(COUNTA(CC10:CD10)=0,"",N(CD10)+N(CF10))</x:f>
      </x:c>
      <x:c r="CH10" s="252" t="str">
        <x:f>IF(COUNTA(CC10:CD10)=0,"",N(CC10)-N(CG10))</x:f>
      </x:c>
      <x:c r="CI10" s="260" t="str">
        <x:f>IF(COUNTA(CC10:CD10)=0,"",IF(ABS(CH10)&lt;=0.01,IF(ABS(CF10)&gt;0.01,"СОШЛОСЬ ПОСЛЕ КОРР.","СОШЛОСЬ"),IF(ABS(CF10)&gt;0.01,"ЧАСТИЧНО","НЕОПРЕДЕЛЕНО")))</x:f>
      </x:c>
    </x:row>
    <x:row r="11">
      <x:c r="A11" s="166" t="str">
        <x:v>R006</x:v>
      </x:c>
      <x:c r="B11" s="166" t="str">
        <x:v>        Охрана</x:v>
      </x:c>
      <x:c r="C11" s="170" t="str">
        <x:v>        Охрана</x:v>
      </x:c>
      <x:c r="D11" s="190"/>
      <x:c r="E11" s="202"/>
      <x:c r="F11" s="214" t="str">
        <x:f>IF(COUNTA(D11:E11)=0,"",N(D11)-N(E11))</x:f>
      </x:c>
      <x:c r="G11" s="226" t="str">
        <x:f>IF(COUNTA(D11:E11)=0,"",SUMIFS('04_Влияние_ОПИУ'!$F$2:$F$2000,'04_Влияние_ОПИУ'!$B$2:$B$2000,"2025-01",'04_Влияние_ОПИУ'!$C$2:$C$2000,$A11,'04_Влияние_ОПИУ'!$G$2:$G$2000,"Да"))</x:f>
      </x:c>
      <x:c r="H11" s="238" t="str">
        <x:f>IF(COUNTA(D11:E11)=0,"",N(E11)+N(G11))</x:f>
      </x:c>
      <x:c r="I11" s="252" t="str">
        <x:f>IF(COUNTA(D11:E11)=0,"",N(D11)-N(H11))</x:f>
      </x:c>
      <x:c r="J11" s="260" t="str">
        <x:f>IF(COUNTA(D11:E11)=0,"",IF(ABS(I11)&lt;=0.01,IF(ABS(G11)&gt;0.01,"СОШЛОСЬ ПОСЛЕ КОРР.","СОШЛОСЬ"),IF(ABS(G11)&gt;0.01,"ЧАСТИЧНО","НЕОПРЕДЕЛЕНО")))</x:f>
      </x:c>
      <x:c r="K11" s="190"/>
      <x:c r="L11" s="202"/>
      <x:c r="M11" s="214" t="str">
        <x:f>IF(COUNTA(K11:L11)=0,"",N(K11)-N(L11))</x:f>
      </x:c>
      <x:c r="N11" s="226" t="str">
        <x:f>IF(COUNTA(K11:L11)=0,"",SUMIFS('04_Влияние_ОПИУ'!$F$2:$F$2000,'04_Влияние_ОПИУ'!$B$2:$B$2000,"2025-02",'04_Влияние_ОПИУ'!$C$2:$C$2000,$A11,'04_Влияние_ОПИУ'!$G$2:$G$2000,"Да"))</x:f>
      </x:c>
      <x:c r="O11" s="238" t="str">
        <x:f>IF(COUNTA(K11:L11)=0,"",N(L11)+N(N11))</x:f>
      </x:c>
      <x:c r="P11" s="252" t="str">
        <x:f>IF(COUNTA(K11:L11)=0,"",N(K11)-N(O11))</x:f>
      </x:c>
      <x:c r="Q11" s="260" t="str">
        <x:f>IF(COUNTA(K11:L11)=0,"",IF(ABS(P11)&lt;=0.01,IF(ABS(N11)&gt;0.01,"СОШЛОСЬ ПОСЛЕ КОРР.","СОШЛОСЬ"),IF(ABS(N11)&gt;0.01,"ЧАСТИЧНО","НЕОПРЕДЕЛЕНО")))</x:f>
      </x:c>
      <x:c r="R11" s="190"/>
      <x:c r="S11" s="202"/>
      <x:c r="T11" s="214" t="str">
        <x:f>IF(COUNTA(R11:S11)=0,"",N(R11)-N(S11))</x:f>
      </x:c>
      <x:c r="U11" s="226" t="str">
        <x:f>IF(COUNTA(R11:S11)=0,"",SUMIFS('04_Влияние_ОПИУ'!$F$2:$F$2000,'04_Влияние_ОПИУ'!$B$2:$B$2000,"2025-03",'04_Влияние_ОПИУ'!$C$2:$C$2000,$A11,'04_Влияние_ОПИУ'!$G$2:$G$2000,"Да"))</x:f>
      </x:c>
      <x:c r="V11" s="238" t="str">
        <x:f>IF(COUNTA(R11:S11)=0,"",N(S11)+N(U11))</x:f>
      </x:c>
      <x:c r="W11" s="252" t="str">
        <x:f>IF(COUNTA(R11:S11)=0,"",N(R11)-N(V11))</x:f>
      </x:c>
      <x:c r="X11" s="260" t="str">
        <x:f>IF(COUNTA(R11:S11)=0,"",IF(ABS(W11)&lt;=0.01,IF(ABS(U11)&gt;0.01,"СОШЛОСЬ ПОСЛЕ КОРР.","СОШЛОСЬ"),IF(ABS(U11)&gt;0.01,"ЧАСТИЧНО","НЕОПРЕДЕЛЕНО")))</x:f>
      </x:c>
      <x:c r="Y11" s="190"/>
      <x:c r="Z11" s="202"/>
      <x:c r="AA11" s="214" t="str">
        <x:f>IF(COUNTA(Y11:Z11)=0,"",N(Y11)-N(Z11))</x:f>
      </x:c>
      <x:c r="AB11" s="226" t="str">
        <x:f>IF(COUNTA(Y11:Z11)=0,"",SUMIFS('04_Влияние_ОПИУ'!$F$2:$F$2000,'04_Влияние_ОПИУ'!$B$2:$B$2000,"2025-04",'04_Влияние_ОПИУ'!$C$2:$C$2000,$A11,'04_Влияние_ОПИУ'!$G$2:$G$2000,"Да"))</x:f>
      </x:c>
      <x:c r="AC11" s="238" t="str">
        <x:f>IF(COUNTA(Y11:Z11)=0,"",N(Z11)+N(AB11))</x:f>
      </x:c>
      <x:c r="AD11" s="252" t="str">
        <x:f>IF(COUNTA(Y11:Z11)=0,"",N(Y11)-N(AC11))</x:f>
      </x:c>
      <x:c r="AE11" s="260" t="str">
        <x:f>IF(COUNTA(Y11:Z11)=0,"",IF(ABS(AD11)&lt;=0.01,IF(ABS(AB11)&gt;0.01,"СОШЛОСЬ ПОСЛЕ КОРР.","СОШЛОСЬ"),IF(ABS(AB11)&gt;0.01,"ЧАСТИЧНО","НЕОПРЕДЕЛЕНО")))</x:f>
      </x:c>
      <x:c r="AF11" s="190"/>
      <x:c r="AG11" s="202"/>
      <x:c r="AH11" s="214" t="str">
        <x:f>IF(COUNTA(AF11:AG11)=0,"",N(AF11)-N(AG11))</x:f>
      </x:c>
      <x:c r="AI11" s="226" t="str">
        <x:f>IF(COUNTA(AF11:AG11)=0,"",SUMIFS('04_Влияние_ОПИУ'!$F$2:$F$2000,'04_Влияние_ОПИУ'!$B$2:$B$2000,"2025-05",'04_Влияние_ОПИУ'!$C$2:$C$2000,$A11,'04_Влияние_ОПИУ'!$G$2:$G$2000,"Да"))</x:f>
      </x:c>
      <x:c r="AJ11" s="238" t="str">
        <x:f>IF(COUNTA(AF11:AG11)=0,"",N(AG11)+N(AI11))</x:f>
      </x:c>
      <x:c r="AK11" s="252" t="str">
        <x:f>IF(COUNTA(AF11:AG11)=0,"",N(AF11)-N(AJ11))</x:f>
      </x:c>
      <x:c r="AL11" s="260" t="str">
        <x:f>IF(COUNTA(AF11:AG11)=0,"",IF(ABS(AK11)&lt;=0.01,IF(ABS(AI11)&gt;0.01,"СОШЛОСЬ ПОСЛЕ КОРР.","СОШЛОСЬ"),IF(ABS(AI11)&gt;0.01,"ЧАСТИЧНО","НЕОПРЕДЕЛЕНО")))</x:f>
      </x:c>
      <x:c r="AM11" s="190"/>
      <x:c r="AN11" s="202"/>
      <x:c r="AO11" s="214" t="str">
        <x:f>IF(COUNTA(AM11:AN11)=0,"",N(AM11)-N(AN11))</x:f>
      </x:c>
      <x:c r="AP11" s="226" t="str">
        <x:f>IF(COUNTA(AM11:AN11)=0,"",SUMIFS('04_Влияние_ОПИУ'!$F$2:$F$2000,'04_Влияние_ОПИУ'!$B$2:$B$2000,"2025-06",'04_Влияние_ОПИУ'!$C$2:$C$2000,$A11,'04_Влияние_ОПИУ'!$G$2:$G$2000,"Да"))</x:f>
      </x:c>
      <x:c r="AQ11" s="238" t="str">
        <x:f>IF(COUNTA(AM11:AN11)=0,"",N(AN11)+N(AP11))</x:f>
      </x:c>
      <x:c r="AR11" s="252" t="str">
        <x:f>IF(COUNTA(AM11:AN11)=0,"",N(AM11)-N(AQ11))</x:f>
      </x:c>
      <x:c r="AS11" s="260" t="str">
        <x:f>IF(COUNTA(AM11:AN11)=0,"",IF(ABS(AR11)&lt;=0.01,IF(ABS(AP11)&gt;0.01,"СОШЛОСЬ ПОСЛЕ КОРР.","СОШЛОСЬ"),IF(ABS(AP11)&gt;0.01,"ЧАСТИЧНО","НЕОПРЕДЕЛЕНО")))</x:f>
      </x:c>
      <x:c r="AT11" s="190"/>
      <x:c r="AU11" s="202"/>
      <x:c r="AV11" s="214" t="str">
        <x:f>IF(COUNTA(AT11:AU11)=0,"",N(AT11)-N(AU11))</x:f>
      </x:c>
      <x:c r="AW11" s="226" t="str">
        <x:f>IF(COUNTA(AT11:AU11)=0,"",SUMIFS('04_Влияние_ОПИУ'!$F$2:$F$2000,'04_Влияние_ОПИУ'!$B$2:$B$2000,"2025-07",'04_Влияние_ОПИУ'!$C$2:$C$2000,$A11,'04_Влияние_ОПИУ'!$G$2:$G$2000,"Да"))</x:f>
      </x:c>
      <x:c r="AX11" s="238" t="str">
        <x:f>IF(COUNTA(AT11:AU11)=0,"",N(AU11)+N(AW11))</x:f>
      </x:c>
      <x:c r="AY11" s="252" t="str">
        <x:f>IF(COUNTA(AT11:AU11)=0,"",N(AT11)-N(AX11))</x:f>
      </x:c>
      <x:c r="AZ11" s="260" t="str">
        <x:f>IF(COUNTA(AT11:AU11)=0,"",IF(ABS(AY11)&lt;=0.01,IF(ABS(AW11)&gt;0.01,"СОШЛОСЬ ПОСЛЕ КОРР.","СОШЛОСЬ"),IF(ABS(AW11)&gt;0.01,"ЧАСТИЧНО","НЕОПРЕДЕЛЕНО")))</x:f>
      </x:c>
      <x:c r="BA11" s="190"/>
      <x:c r="BB11" s="202"/>
      <x:c r="BC11" s="214" t="str">
        <x:f>IF(COUNTA(BA11:BB11)=0,"",N(BA11)-N(BB11))</x:f>
      </x:c>
      <x:c r="BD11" s="226" t="str">
        <x:f>IF(COUNTA(BA11:BB11)=0,"",SUMIFS('04_Влияние_ОПИУ'!$F$2:$F$2000,'04_Влияние_ОПИУ'!$B$2:$B$2000,"2025-08",'04_Влияние_ОПИУ'!$C$2:$C$2000,$A11,'04_Влияние_ОПИУ'!$G$2:$G$2000,"Да"))</x:f>
      </x:c>
      <x:c r="BE11" s="238" t="str">
        <x:f>IF(COUNTA(BA11:BB11)=0,"",N(BB11)+N(BD11))</x:f>
      </x:c>
      <x:c r="BF11" s="252" t="str">
        <x:f>IF(COUNTA(BA11:BB11)=0,"",N(BA11)-N(BE11))</x:f>
      </x:c>
      <x:c r="BG11" s="260" t="str">
        <x:f>IF(COUNTA(BA11:BB11)=0,"",IF(ABS(BF11)&lt;=0.01,IF(ABS(BD11)&gt;0.01,"СОШЛОСЬ ПОСЛЕ КОРР.","СОШЛОСЬ"),IF(ABS(BD11)&gt;0.01,"ЧАСТИЧНО","НЕОПРЕДЕЛЕНО")))</x:f>
      </x:c>
      <x:c r="BH11" s="190"/>
      <x:c r="BI11" s="202"/>
      <x:c r="BJ11" s="214" t="str">
        <x:f>IF(COUNTA(BH11:BI11)=0,"",N(BH11)-N(BI11))</x:f>
      </x:c>
      <x:c r="BK11" s="226" t="str">
        <x:f>IF(COUNTA(BH11:BI11)=0,"",SUMIFS('04_Влияние_ОПИУ'!$F$2:$F$2000,'04_Влияние_ОПИУ'!$B$2:$B$2000,"2025-09",'04_Влияние_ОПИУ'!$C$2:$C$2000,$A11,'04_Влияние_ОПИУ'!$G$2:$G$2000,"Да"))</x:f>
      </x:c>
      <x:c r="BL11" s="238" t="str">
        <x:f>IF(COUNTA(BH11:BI11)=0,"",N(BI11)+N(BK11))</x:f>
      </x:c>
      <x:c r="BM11" s="252" t="str">
        <x:f>IF(COUNTA(BH11:BI11)=0,"",N(BH11)-N(BL11))</x:f>
      </x:c>
      <x:c r="BN11" s="260" t="str">
        <x:f>IF(COUNTA(BH11:BI11)=0,"",IF(ABS(BM11)&lt;=0.01,IF(ABS(BK11)&gt;0.01,"СОШЛОСЬ ПОСЛЕ КОРР.","СОШЛОСЬ"),IF(ABS(BK11)&gt;0.01,"ЧАСТИЧНО","НЕОПРЕДЕЛЕНО")))</x:f>
      </x:c>
      <x:c r="BO11" s="190"/>
      <x:c r="BP11" s="202"/>
      <x:c r="BQ11" s="214" t="str">
        <x:f>IF(COUNTA(BO11:BP11)=0,"",N(BO11)-N(BP11))</x:f>
      </x:c>
      <x:c r="BR11" s="226" t="str">
        <x:f>IF(COUNTA(BO11:BP11)=0,"",SUMIFS('04_Влияние_ОПИУ'!$F$2:$F$2000,'04_Влияние_ОПИУ'!$B$2:$B$2000,"2025-10",'04_Влияние_ОПИУ'!$C$2:$C$2000,$A11,'04_Влияние_ОПИУ'!$G$2:$G$2000,"Да"))</x:f>
      </x:c>
      <x:c r="BS11" s="238" t="str">
        <x:f>IF(COUNTA(BO11:BP11)=0,"",N(BP11)+N(BR11))</x:f>
      </x:c>
      <x:c r="BT11" s="252" t="str">
        <x:f>IF(COUNTA(BO11:BP11)=0,"",N(BO11)-N(BS11))</x:f>
      </x:c>
      <x:c r="BU11" s="260" t="str">
        <x:f>IF(COUNTA(BO11:BP11)=0,"",IF(ABS(BT11)&lt;=0.01,IF(ABS(BR11)&gt;0.01,"СОШЛОСЬ ПОСЛЕ КОРР.","СОШЛОСЬ"),IF(ABS(BR11)&gt;0.01,"ЧАСТИЧНО","НЕОПРЕДЕЛЕНО")))</x:f>
      </x:c>
      <x:c r="BV11" s="190"/>
      <x:c r="BW11" s="202"/>
      <x:c r="BX11" s="214" t="str">
        <x:f>IF(COUNTA(BV11:BW11)=0,"",N(BV11)-N(BW11))</x:f>
      </x:c>
      <x:c r="BY11" s="226" t="str">
        <x:f>IF(COUNTA(BV11:BW11)=0,"",SUMIFS('04_Влияние_ОПИУ'!$F$2:$F$2000,'04_Влияние_ОПИУ'!$B$2:$B$2000,"2025-11",'04_Влияние_ОПИУ'!$C$2:$C$2000,$A11,'04_Влияние_ОПИУ'!$G$2:$G$2000,"Да"))</x:f>
      </x:c>
      <x:c r="BZ11" s="238" t="str">
        <x:f>IF(COUNTA(BV11:BW11)=0,"",N(BW11)+N(BY11))</x:f>
      </x:c>
      <x:c r="CA11" s="252" t="str">
        <x:f>IF(COUNTA(BV11:BW11)=0,"",N(BV11)-N(BZ11))</x:f>
      </x:c>
      <x:c r="CB11" s="260" t="str">
        <x:f>IF(COUNTA(BV11:BW11)=0,"",IF(ABS(CA11)&lt;=0.01,IF(ABS(BY11)&gt;0.01,"СОШЛОСЬ ПОСЛЕ КОРР.","СОШЛОСЬ"),IF(ABS(BY11)&gt;0.01,"ЧАСТИЧНО","НЕОПРЕДЕЛЕНО")))</x:f>
      </x:c>
      <x:c r="CC11" s="190"/>
      <x:c r="CD11" s="202"/>
      <x:c r="CE11" s="214" t="str">
        <x:f>IF(COUNTA(CC11:CD11)=0,"",N(CC11)-N(CD11))</x:f>
      </x:c>
      <x:c r="CF11" s="226" t="str">
        <x:f>IF(COUNTA(CC11:CD11)=0,"",SUMIFS('04_Влияние_ОПИУ'!$F$2:$F$2000,'04_Влияние_ОПИУ'!$B$2:$B$2000,"2025-12",'04_Влияние_ОПИУ'!$C$2:$C$2000,$A11,'04_Влияние_ОПИУ'!$G$2:$G$2000,"Да"))</x:f>
      </x:c>
      <x:c r="CG11" s="238" t="str">
        <x:f>IF(COUNTA(CC11:CD11)=0,"",N(CD11)+N(CF11))</x:f>
      </x:c>
      <x:c r="CH11" s="252" t="str">
        <x:f>IF(COUNTA(CC11:CD11)=0,"",N(CC11)-N(CG11))</x:f>
      </x:c>
      <x:c r="CI11" s="260" t="str">
        <x:f>IF(COUNTA(CC11:CD11)=0,"",IF(ABS(CH11)&lt;=0.01,IF(ABS(CF11)&gt;0.01,"СОШЛОСЬ ПОСЛЕ КОРР.","СОШЛОСЬ"),IF(ABS(CF11)&gt;0.01,"ЧАСТИЧНО","НЕОПРЕДЕЛЕНО")))</x:f>
      </x:c>
    </x:row>
    <x:row r="12">
      <x:c r="A12" s="166" t="str">
        <x:v>R007</x:v>
      </x:c>
      <x:c r="B12" s="166" t="str">
        <x:v>        Текущий ремонт</x:v>
      </x:c>
      <x:c r="C12" s="170" t="str">
        <x:v>        Текущий ремонт</x:v>
      </x:c>
      <x:c r="D12" s="190"/>
      <x:c r="E12" s="202"/>
      <x:c r="F12" s="214" t="str">
        <x:f>IF(COUNTA(D12:E12)=0,"",N(D12)-N(E12))</x:f>
      </x:c>
      <x:c r="G12" s="226" t="str">
        <x:f>IF(COUNTA(D12:E12)=0,"",SUMIFS('04_Влияние_ОПИУ'!$F$2:$F$2000,'04_Влияние_ОПИУ'!$B$2:$B$2000,"2025-01",'04_Влияние_ОПИУ'!$C$2:$C$2000,$A12,'04_Влияние_ОПИУ'!$G$2:$G$2000,"Да"))</x:f>
      </x:c>
      <x:c r="H12" s="238" t="str">
        <x:f>IF(COUNTA(D12:E12)=0,"",N(E12)+N(G12))</x:f>
      </x:c>
      <x:c r="I12" s="252" t="str">
        <x:f>IF(COUNTA(D12:E12)=0,"",N(D12)-N(H12))</x:f>
      </x:c>
      <x:c r="J12" s="260" t="str">
        <x:f>IF(COUNTA(D12:E12)=0,"",IF(ABS(I12)&lt;=0.01,IF(ABS(G12)&gt;0.01,"СОШЛОСЬ ПОСЛЕ КОРР.","СОШЛОСЬ"),IF(ABS(G12)&gt;0.01,"ЧАСТИЧНО","НЕОПРЕДЕЛЕНО")))</x:f>
      </x:c>
      <x:c r="K12" s="190"/>
      <x:c r="L12" s="202"/>
      <x:c r="M12" s="214" t="str">
        <x:f>IF(COUNTA(K12:L12)=0,"",N(K12)-N(L12))</x:f>
      </x:c>
      <x:c r="N12" s="226" t="str">
        <x:f>IF(COUNTA(K12:L12)=0,"",SUMIFS('04_Влияние_ОПИУ'!$F$2:$F$2000,'04_Влияние_ОПИУ'!$B$2:$B$2000,"2025-02",'04_Влияние_ОПИУ'!$C$2:$C$2000,$A12,'04_Влияние_ОПИУ'!$G$2:$G$2000,"Да"))</x:f>
      </x:c>
      <x:c r="O12" s="238" t="str">
        <x:f>IF(COUNTA(K12:L12)=0,"",N(L12)+N(N12))</x:f>
      </x:c>
      <x:c r="P12" s="252" t="str">
        <x:f>IF(COUNTA(K12:L12)=0,"",N(K12)-N(O12))</x:f>
      </x:c>
      <x:c r="Q12" s="260" t="str">
        <x:f>IF(COUNTA(K12:L12)=0,"",IF(ABS(P12)&lt;=0.01,IF(ABS(N12)&gt;0.01,"СОШЛОСЬ ПОСЛЕ КОРР.","СОШЛОСЬ"),IF(ABS(N12)&gt;0.01,"ЧАСТИЧНО","НЕОПРЕДЕЛЕНО")))</x:f>
      </x:c>
      <x:c r="R12" s="190"/>
      <x:c r="S12" s="202"/>
      <x:c r="T12" s="214" t="str">
        <x:f>IF(COUNTA(R12:S12)=0,"",N(R12)-N(S12))</x:f>
      </x:c>
      <x:c r="U12" s="226" t="str">
        <x:f>IF(COUNTA(R12:S12)=0,"",SUMIFS('04_Влияние_ОПИУ'!$F$2:$F$2000,'04_Влияние_ОПИУ'!$B$2:$B$2000,"2025-03",'04_Влияние_ОПИУ'!$C$2:$C$2000,$A12,'04_Влияние_ОПИУ'!$G$2:$G$2000,"Да"))</x:f>
      </x:c>
      <x:c r="V12" s="238" t="str">
        <x:f>IF(COUNTA(R12:S12)=0,"",N(S12)+N(U12))</x:f>
      </x:c>
      <x:c r="W12" s="252" t="str">
        <x:f>IF(COUNTA(R12:S12)=0,"",N(R12)-N(V12))</x:f>
      </x:c>
      <x:c r="X12" s="260" t="str">
        <x:f>IF(COUNTA(R12:S12)=0,"",IF(ABS(W12)&lt;=0.01,IF(ABS(U12)&gt;0.01,"СОШЛОСЬ ПОСЛЕ КОРР.","СОШЛОСЬ"),IF(ABS(U12)&gt;0.01,"ЧАСТИЧНО","НЕОПРЕДЕЛЕНО")))</x:f>
      </x:c>
      <x:c r="Y12" s="190"/>
      <x:c r="Z12" s="202"/>
      <x:c r="AA12" s="214" t="str">
        <x:f>IF(COUNTA(Y12:Z12)=0,"",N(Y12)-N(Z12))</x:f>
      </x:c>
      <x:c r="AB12" s="226" t="str">
        <x:f>IF(COUNTA(Y12:Z12)=0,"",SUMIFS('04_Влияние_ОПИУ'!$F$2:$F$2000,'04_Влияние_ОПИУ'!$B$2:$B$2000,"2025-04",'04_Влияние_ОПИУ'!$C$2:$C$2000,$A12,'04_Влияние_ОПИУ'!$G$2:$G$2000,"Да"))</x:f>
      </x:c>
      <x:c r="AC12" s="238" t="str">
        <x:f>IF(COUNTA(Y12:Z12)=0,"",N(Z12)+N(AB12))</x:f>
      </x:c>
      <x:c r="AD12" s="252" t="str">
        <x:f>IF(COUNTA(Y12:Z12)=0,"",N(Y12)-N(AC12))</x:f>
      </x:c>
      <x:c r="AE12" s="260" t="str">
        <x:f>IF(COUNTA(Y12:Z12)=0,"",IF(ABS(AD12)&lt;=0.01,IF(ABS(AB12)&gt;0.01,"СОШЛОСЬ ПОСЛЕ КОРР.","СОШЛОСЬ"),IF(ABS(AB12)&gt;0.01,"ЧАСТИЧНО","НЕОПРЕДЕЛЕНО")))</x:f>
      </x:c>
      <x:c r="AF12" s="190"/>
      <x:c r="AG12" s="202"/>
      <x:c r="AH12" s="214" t="str">
        <x:f>IF(COUNTA(AF12:AG12)=0,"",N(AF12)-N(AG12))</x:f>
      </x:c>
      <x:c r="AI12" s="226" t="str">
        <x:f>IF(COUNTA(AF12:AG12)=0,"",SUMIFS('04_Влияние_ОПИУ'!$F$2:$F$2000,'04_Влияние_ОПИУ'!$B$2:$B$2000,"2025-05",'04_Влияние_ОПИУ'!$C$2:$C$2000,$A12,'04_Влияние_ОПИУ'!$G$2:$G$2000,"Да"))</x:f>
      </x:c>
      <x:c r="AJ12" s="238" t="str">
        <x:f>IF(COUNTA(AF12:AG12)=0,"",N(AG12)+N(AI12))</x:f>
      </x:c>
      <x:c r="AK12" s="252" t="str">
        <x:f>IF(COUNTA(AF12:AG12)=0,"",N(AF12)-N(AJ12))</x:f>
      </x:c>
      <x:c r="AL12" s="260" t="str">
        <x:f>IF(COUNTA(AF12:AG12)=0,"",IF(ABS(AK12)&lt;=0.01,IF(ABS(AI12)&gt;0.01,"СОШЛОСЬ ПОСЛЕ КОРР.","СОШЛОСЬ"),IF(ABS(AI12)&gt;0.01,"ЧАСТИЧНО","НЕОПРЕДЕЛЕНО")))</x:f>
      </x:c>
      <x:c r="AM12" s="190"/>
      <x:c r="AN12" s="202"/>
      <x:c r="AO12" s="214" t="str">
        <x:f>IF(COUNTA(AM12:AN12)=0,"",N(AM12)-N(AN12))</x:f>
      </x:c>
      <x:c r="AP12" s="226" t="str">
        <x:f>IF(COUNTA(AM12:AN12)=0,"",SUMIFS('04_Влияние_ОПИУ'!$F$2:$F$2000,'04_Влияние_ОПИУ'!$B$2:$B$2000,"2025-06",'04_Влияние_ОПИУ'!$C$2:$C$2000,$A12,'04_Влияние_ОПИУ'!$G$2:$G$2000,"Да"))</x:f>
      </x:c>
      <x:c r="AQ12" s="238" t="str">
        <x:f>IF(COUNTA(AM12:AN12)=0,"",N(AN12)+N(AP12))</x:f>
      </x:c>
      <x:c r="AR12" s="252" t="str">
        <x:f>IF(COUNTA(AM12:AN12)=0,"",N(AM12)-N(AQ12))</x:f>
      </x:c>
      <x:c r="AS12" s="260" t="str">
        <x:f>IF(COUNTA(AM12:AN12)=0,"",IF(ABS(AR12)&lt;=0.01,IF(ABS(AP12)&gt;0.01,"СОШЛОСЬ ПОСЛЕ КОРР.","СОШЛОСЬ"),IF(ABS(AP12)&gt;0.01,"ЧАСТИЧНО","НЕОПРЕДЕЛЕНО")))</x:f>
      </x:c>
      <x:c r="AT12" s="190"/>
      <x:c r="AU12" s="202"/>
      <x:c r="AV12" s="214" t="str">
        <x:f>IF(COUNTA(AT12:AU12)=0,"",N(AT12)-N(AU12))</x:f>
      </x:c>
      <x:c r="AW12" s="226" t="str">
        <x:f>IF(COUNTA(AT12:AU12)=0,"",SUMIFS('04_Влияние_ОПИУ'!$F$2:$F$2000,'04_Влияние_ОПИУ'!$B$2:$B$2000,"2025-07",'04_Влияние_ОПИУ'!$C$2:$C$2000,$A12,'04_Влияние_ОПИУ'!$G$2:$G$2000,"Да"))</x:f>
      </x:c>
      <x:c r="AX12" s="238" t="str">
        <x:f>IF(COUNTA(AT12:AU12)=0,"",N(AU12)+N(AW12))</x:f>
      </x:c>
      <x:c r="AY12" s="252" t="str">
        <x:f>IF(COUNTA(AT12:AU12)=0,"",N(AT12)-N(AX12))</x:f>
      </x:c>
      <x:c r="AZ12" s="260" t="str">
        <x:f>IF(COUNTA(AT12:AU12)=0,"",IF(ABS(AY12)&lt;=0.01,IF(ABS(AW12)&gt;0.01,"СОШЛОСЬ ПОСЛЕ КОРР.","СОШЛОСЬ"),IF(ABS(AW12)&gt;0.01,"ЧАСТИЧНО","НЕОПРЕДЕЛЕНО")))</x:f>
      </x:c>
      <x:c r="BA12" s="190"/>
      <x:c r="BB12" s="202"/>
      <x:c r="BC12" s="214" t="str">
        <x:f>IF(COUNTA(BA12:BB12)=0,"",N(BA12)-N(BB12))</x:f>
      </x:c>
      <x:c r="BD12" s="226" t="str">
        <x:f>IF(COUNTA(BA12:BB12)=0,"",SUMIFS('04_Влияние_ОПИУ'!$F$2:$F$2000,'04_Влияние_ОПИУ'!$B$2:$B$2000,"2025-08",'04_Влияние_ОПИУ'!$C$2:$C$2000,$A12,'04_Влияние_ОПИУ'!$G$2:$G$2000,"Да"))</x:f>
      </x:c>
      <x:c r="BE12" s="238" t="str">
        <x:f>IF(COUNTA(BA12:BB12)=0,"",N(BB12)+N(BD12))</x:f>
      </x:c>
      <x:c r="BF12" s="252" t="str">
        <x:f>IF(COUNTA(BA12:BB12)=0,"",N(BA12)-N(BE12))</x:f>
      </x:c>
      <x:c r="BG12" s="260" t="str">
        <x:f>IF(COUNTA(BA12:BB12)=0,"",IF(ABS(BF12)&lt;=0.01,IF(ABS(BD12)&gt;0.01,"СОШЛОСЬ ПОСЛЕ КОРР.","СОШЛОСЬ"),IF(ABS(BD12)&gt;0.01,"ЧАСТИЧНО","НЕОПРЕДЕЛЕНО")))</x:f>
      </x:c>
      <x:c r="BH12" s="190"/>
      <x:c r="BI12" s="202"/>
      <x:c r="BJ12" s="214" t="str">
        <x:f>IF(COUNTA(BH12:BI12)=0,"",N(BH12)-N(BI12))</x:f>
      </x:c>
      <x:c r="BK12" s="226" t="str">
        <x:f>IF(COUNTA(BH12:BI12)=0,"",SUMIFS('04_Влияние_ОПИУ'!$F$2:$F$2000,'04_Влияние_ОПИУ'!$B$2:$B$2000,"2025-09",'04_Влияние_ОПИУ'!$C$2:$C$2000,$A12,'04_Влияние_ОПИУ'!$G$2:$G$2000,"Да"))</x:f>
      </x:c>
      <x:c r="BL12" s="238" t="str">
        <x:f>IF(COUNTA(BH12:BI12)=0,"",N(BI12)+N(BK12))</x:f>
      </x:c>
      <x:c r="BM12" s="252" t="str">
        <x:f>IF(COUNTA(BH12:BI12)=0,"",N(BH12)-N(BL12))</x:f>
      </x:c>
      <x:c r="BN12" s="260" t="str">
        <x:f>IF(COUNTA(BH12:BI12)=0,"",IF(ABS(BM12)&lt;=0.01,IF(ABS(BK12)&gt;0.01,"СОШЛОСЬ ПОСЛЕ КОРР.","СОШЛОСЬ"),IF(ABS(BK12)&gt;0.01,"ЧАСТИЧНО","НЕОПРЕДЕЛЕНО")))</x:f>
      </x:c>
      <x:c r="BO12" s="190"/>
      <x:c r="BP12" s="202"/>
      <x:c r="BQ12" s="214" t="str">
        <x:f>IF(COUNTA(BO12:BP12)=0,"",N(BO12)-N(BP12))</x:f>
      </x:c>
      <x:c r="BR12" s="226" t="str">
        <x:f>IF(COUNTA(BO12:BP12)=0,"",SUMIFS('04_Влияние_ОПИУ'!$F$2:$F$2000,'04_Влияние_ОПИУ'!$B$2:$B$2000,"2025-10",'04_Влияние_ОПИУ'!$C$2:$C$2000,$A12,'04_Влияние_ОПИУ'!$G$2:$G$2000,"Да"))</x:f>
      </x:c>
      <x:c r="BS12" s="238" t="str">
        <x:f>IF(COUNTA(BO12:BP12)=0,"",N(BP12)+N(BR12))</x:f>
      </x:c>
      <x:c r="BT12" s="252" t="str">
        <x:f>IF(COUNTA(BO12:BP12)=0,"",N(BO12)-N(BS12))</x:f>
      </x:c>
      <x:c r="BU12" s="260" t="str">
        <x:f>IF(COUNTA(BO12:BP12)=0,"",IF(ABS(BT12)&lt;=0.01,IF(ABS(BR12)&gt;0.01,"СОШЛОСЬ ПОСЛЕ КОРР.","СОШЛОСЬ"),IF(ABS(BR12)&gt;0.01,"ЧАСТИЧНО","НЕОПРЕДЕЛЕНО")))</x:f>
      </x:c>
      <x:c r="BV12" s="190"/>
      <x:c r="BW12" s="202"/>
      <x:c r="BX12" s="214" t="str">
        <x:f>IF(COUNTA(BV12:BW12)=0,"",N(BV12)-N(BW12))</x:f>
      </x:c>
      <x:c r="BY12" s="226" t="str">
        <x:f>IF(COUNTA(BV12:BW12)=0,"",SUMIFS('04_Влияние_ОПИУ'!$F$2:$F$2000,'04_Влияние_ОПИУ'!$B$2:$B$2000,"2025-11",'04_Влияние_ОПИУ'!$C$2:$C$2000,$A12,'04_Влияние_ОПИУ'!$G$2:$G$2000,"Да"))</x:f>
      </x:c>
      <x:c r="BZ12" s="238" t="str">
        <x:f>IF(COUNTA(BV12:BW12)=0,"",N(BW12)+N(BY12))</x:f>
      </x:c>
      <x:c r="CA12" s="252" t="str">
        <x:f>IF(COUNTA(BV12:BW12)=0,"",N(BV12)-N(BZ12))</x:f>
      </x:c>
      <x:c r="CB12" s="260" t="str">
        <x:f>IF(COUNTA(BV12:BW12)=0,"",IF(ABS(CA12)&lt;=0.01,IF(ABS(BY12)&gt;0.01,"СОШЛОСЬ ПОСЛЕ КОРР.","СОШЛОСЬ"),IF(ABS(BY12)&gt;0.01,"ЧАСТИЧНО","НЕОПРЕДЕЛЕНО")))</x:f>
      </x:c>
      <x:c r="CC12" s="190"/>
      <x:c r="CD12" s="202"/>
      <x:c r="CE12" s="214" t="str">
        <x:f>IF(COUNTA(CC12:CD12)=0,"",N(CC12)-N(CD12))</x:f>
      </x:c>
      <x:c r="CF12" s="226" t="str">
        <x:f>IF(COUNTA(CC12:CD12)=0,"",SUMIFS('04_Влияние_ОПИУ'!$F$2:$F$2000,'04_Влияние_ОПИУ'!$B$2:$B$2000,"2025-12",'04_Влияние_ОПИУ'!$C$2:$C$2000,$A12,'04_Влияние_ОПИУ'!$G$2:$G$2000,"Да"))</x:f>
      </x:c>
      <x:c r="CG12" s="238" t="str">
        <x:f>IF(COUNTA(CC12:CD12)=0,"",N(CD12)+N(CF12))</x:f>
      </x:c>
      <x:c r="CH12" s="252" t="str">
        <x:f>IF(COUNTA(CC12:CD12)=0,"",N(CC12)-N(CG12))</x:f>
      </x:c>
      <x:c r="CI12" s="260" t="str">
        <x:f>IF(COUNTA(CC12:CD12)=0,"",IF(ABS(CH12)&lt;=0.01,IF(ABS(CF12)&gt;0.01,"СОШЛОСЬ ПОСЛЕ КОРР.","СОШЛОСЬ"),IF(ABS(CF12)&gt;0.01,"ЧАСТИЧНО","НЕОПРЕДЕЛЕНО")))</x:f>
      </x:c>
    </x:row>
    <x:row r="13">
      <x:c r="A13" s="166" t="str">
        <x:v>R008</x:v>
      </x:c>
      <x:c r="B13" s="166" t="str">
        <x:v>        Уборка и прочее содержание</x:v>
      </x:c>
      <x:c r="C13" s="170" t="str">
        <x:v>        Уборка и прочее содержание</x:v>
      </x:c>
      <x:c r="D13" s="190"/>
      <x:c r="E13" s="202"/>
      <x:c r="F13" s="214" t="str">
        <x:f>IF(COUNTA(D13:E13)=0,"",N(D13)-N(E13))</x:f>
      </x:c>
      <x:c r="G13" s="226" t="str">
        <x:f>IF(COUNTA(D13:E13)=0,"",SUMIFS('04_Влияние_ОПИУ'!$F$2:$F$2000,'04_Влияние_ОПИУ'!$B$2:$B$2000,"2025-01",'04_Влияние_ОПИУ'!$C$2:$C$2000,$A13,'04_Влияние_ОПИУ'!$G$2:$G$2000,"Да"))</x:f>
      </x:c>
      <x:c r="H13" s="238" t="str">
        <x:f>IF(COUNTA(D13:E13)=0,"",N(E13)+N(G13))</x:f>
      </x:c>
      <x:c r="I13" s="252" t="str">
        <x:f>IF(COUNTA(D13:E13)=0,"",N(D13)-N(H13))</x:f>
      </x:c>
      <x:c r="J13" s="260" t="str">
        <x:f>IF(COUNTA(D13:E13)=0,"",IF(ABS(I13)&lt;=0.01,IF(ABS(G13)&gt;0.01,"СОШЛОСЬ ПОСЛЕ КОРР.","СОШЛОСЬ"),IF(ABS(G13)&gt;0.01,"ЧАСТИЧНО","НЕОПРЕДЕЛЕНО")))</x:f>
      </x:c>
      <x:c r="K13" s="190"/>
      <x:c r="L13" s="202"/>
      <x:c r="M13" s="214" t="str">
        <x:f>IF(COUNTA(K13:L13)=0,"",N(K13)-N(L13))</x:f>
      </x:c>
      <x:c r="N13" s="226" t="str">
        <x:f>IF(COUNTA(K13:L13)=0,"",SUMIFS('04_Влияние_ОПИУ'!$F$2:$F$2000,'04_Влияние_ОПИУ'!$B$2:$B$2000,"2025-02",'04_Влияние_ОПИУ'!$C$2:$C$2000,$A13,'04_Влияние_ОПИУ'!$G$2:$G$2000,"Да"))</x:f>
      </x:c>
      <x:c r="O13" s="238" t="str">
        <x:f>IF(COUNTA(K13:L13)=0,"",N(L13)+N(N13))</x:f>
      </x:c>
      <x:c r="P13" s="252" t="str">
        <x:f>IF(COUNTA(K13:L13)=0,"",N(K13)-N(O13))</x:f>
      </x:c>
      <x:c r="Q13" s="260" t="str">
        <x:f>IF(COUNTA(K13:L13)=0,"",IF(ABS(P13)&lt;=0.01,IF(ABS(N13)&gt;0.01,"СОШЛОСЬ ПОСЛЕ КОРР.","СОШЛОСЬ"),IF(ABS(N13)&gt;0.01,"ЧАСТИЧНО","НЕОПРЕДЕЛЕНО")))</x:f>
      </x:c>
      <x:c r="R13" s="190"/>
      <x:c r="S13" s="202"/>
      <x:c r="T13" s="214" t="str">
        <x:f>IF(COUNTA(R13:S13)=0,"",N(R13)-N(S13))</x:f>
      </x:c>
      <x:c r="U13" s="226" t="str">
        <x:f>IF(COUNTA(R13:S13)=0,"",SUMIFS('04_Влияние_ОПИУ'!$F$2:$F$2000,'04_Влияние_ОПИУ'!$B$2:$B$2000,"2025-03",'04_Влияние_ОПИУ'!$C$2:$C$2000,$A13,'04_Влияние_ОПИУ'!$G$2:$G$2000,"Да"))</x:f>
      </x:c>
      <x:c r="V13" s="238" t="str">
        <x:f>IF(COUNTA(R13:S13)=0,"",N(S13)+N(U13))</x:f>
      </x:c>
      <x:c r="W13" s="252" t="str">
        <x:f>IF(COUNTA(R13:S13)=0,"",N(R13)-N(V13))</x:f>
      </x:c>
      <x:c r="X13" s="260" t="str">
        <x:f>IF(COUNTA(R13:S13)=0,"",IF(ABS(W13)&lt;=0.01,IF(ABS(U13)&gt;0.01,"СОШЛОСЬ ПОСЛЕ КОРР.","СОШЛОСЬ"),IF(ABS(U13)&gt;0.01,"ЧАСТИЧНО","НЕОПРЕДЕЛЕНО")))</x:f>
      </x:c>
      <x:c r="Y13" s="190"/>
      <x:c r="Z13" s="202"/>
      <x:c r="AA13" s="214" t="str">
        <x:f>IF(COUNTA(Y13:Z13)=0,"",N(Y13)-N(Z13))</x:f>
      </x:c>
      <x:c r="AB13" s="226" t="str">
        <x:f>IF(COUNTA(Y13:Z13)=0,"",SUMIFS('04_Влияние_ОПИУ'!$F$2:$F$2000,'04_Влияние_ОПИУ'!$B$2:$B$2000,"2025-04",'04_Влияние_ОПИУ'!$C$2:$C$2000,$A13,'04_Влияние_ОПИУ'!$G$2:$G$2000,"Да"))</x:f>
      </x:c>
      <x:c r="AC13" s="238" t="str">
        <x:f>IF(COUNTA(Y13:Z13)=0,"",N(Z13)+N(AB13))</x:f>
      </x:c>
      <x:c r="AD13" s="252" t="str">
        <x:f>IF(COUNTA(Y13:Z13)=0,"",N(Y13)-N(AC13))</x:f>
      </x:c>
      <x:c r="AE13" s="260" t="str">
        <x:f>IF(COUNTA(Y13:Z13)=0,"",IF(ABS(AD13)&lt;=0.01,IF(ABS(AB13)&gt;0.01,"СОШЛОСЬ ПОСЛЕ КОРР.","СОШЛОСЬ"),IF(ABS(AB13)&gt;0.01,"ЧАСТИЧНО","НЕОПРЕДЕЛЕНО")))</x:f>
      </x:c>
      <x:c r="AF13" s="190"/>
      <x:c r="AG13" s="202"/>
      <x:c r="AH13" s="214" t="str">
        <x:f>IF(COUNTA(AF13:AG13)=0,"",N(AF13)-N(AG13))</x:f>
      </x:c>
      <x:c r="AI13" s="226" t="str">
        <x:f>IF(COUNTA(AF13:AG13)=0,"",SUMIFS('04_Влияние_ОПИУ'!$F$2:$F$2000,'04_Влияние_ОПИУ'!$B$2:$B$2000,"2025-05",'04_Влияние_ОПИУ'!$C$2:$C$2000,$A13,'04_Влияние_ОПИУ'!$G$2:$G$2000,"Да"))</x:f>
      </x:c>
      <x:c r="AJ13" s="238" t="str">
        <x:f>IF(COUNTA(AF13:AG13)=0,"",N(AG13)+N(AI13))</x:f>
      </x:c>
      <x:c r="AK13" s="252" t="str">
        <x:f>IF(COUNTA(AF13:AG13)=0,"",N(AF13)-N(AJ13))</x:f>
      </x:c>
      <x:c r="AL13" s="260" t="str">
        <x:f>IF(COUNTA(AF13:AG13)=0,"",IF(ABS(AK13)&lt;=0.01,IF(ABS(AI13)&gt;0.01,"СОШЛОСЬ ПОСЛЕ КОРР.","СОШЛОСЬ"),IF(ABS(AI13)&gt;0.01,"ЧАСТИЧНО","НЕОПРЕДЕЛЕНО")))</x:f>
      </x:c>
      <x:c r="AM13" s="190"/>
      <x:c r="AN13" s="202"/>
      <x:c r="AO13" s="214" t="str">
        <x:f>IF(COUNTA(AM13:AN13)=0,"",N(AM13)-N(AN13))</x:f>
      </x:c>
      <x:c r="AP13" s="226" t="str">
        <x:f>IF(COUNTA(AM13:AN13)=0,"",SUMIFS('04_Влияние_ОПИУ'!$F$2:$F$2000,'04_Влияние_ОПИУ'!$B$2:$B$2000,"2025-06",'04_Влияние_ОПИУ'!$C$2:$C$2000,$A13,'04_Влияние_ОПИУ'!$G$2:$G$2000,"Да"))</x:f>
      </x:c>
      <x:c r="AQ13" s="238" t="str">
        <x:f>IF(COUNTA(AM13:AN13)=0,"",N(AN13)+N(AP13))</x:f>
      </x:c>
      <x:c r="AR13" s="252" t="str">
        <x:f>IF(COUNTA(AM13:AN13)=0,"",N(AM13)-N(AQ13))</x:f>
      </x:c>
      <x:c r="AS13" s="260" t="str">
        <x:f>IF(COUNTA(AM13:AN13)=0,"",IF(ABS(AR13)&lt;=0.01,IF(ABS(AP13)&gt;0.01,"СОШЛОСЬ ПОСЛЕ КОРР.","СОШЛОСЬ"),IF(ABS(AP13)&gt;0.01,"ЧАСТИЧНО","НЕОПРЕДЕЛЕНО")))</x:f>
      </x:c>
      <x:c r="AT13" s="190"/>
      <x:c r="AU13" s="202"/>
      <x:c r="AV13" s="214" t="str">
        <x:f>IF(COUNTA(AT13:AU13)=0,"",N(AT13)-N(AU13))</x:f>
      </x:c>
      <x:c r="AW13" s="226" t="str">
        <x:f>IF(COUNTA(AT13:AU13)=0,"",SUMIFS('04_Влияние_ОПИУ'!$F$2:$F$2000,'04_Влияние_ОПИУ'!$B$2:$B$2000,"2025-07",'04_Влияние_ОПИУ'!$C$2:$C$2000,$A13,'04_Влияние_ОПИУ'!$G$2:$G$2000,"Да"))</x:f>
      </x:c>
      <x:c r="AX13" s="238" t="str">
        <x:f>IF(COUNTA(AT13:AU13)=0,"",N(AU13)+N(AW13))</x:f>
      </x:c>
      <x:c r="AY13" s="252" t="str">
        <x:f>IF(COUNTA(AT13:AU13)=0,"",N(AT13)-N(AX13))</x:f>
      </x:c>
      <x:c r="AZ13" s="260" t="str">
        <x:f>IF(COUNTA(AT13:AU13)=0,"",IF(ABS(AY13)&lt;=0.01,IF(ABS(AW13)&gt;0.01,"СОШЛОСЬ ПОСЛЕ КОРР.","СОШЛОСЬ"),IF(ABS(AW13)&gt;0.01,"ЧАСТИЧНО","НЕОПРЕДЕЛЕНО")))</x:f>
      </x:c>
      <x:c r="BA13" s="190"/>
      <x:c r="BB13" s="202"/>
      <x:c r="BC13" s="214" t="str">
        <x:f>IF(COUNTA(BA13:BB13)=0,"",N(BA13)-N(BB13))</x:f>
      </x:c>
      <x:c r="BD13" s="226" t="str">
        <x:f>IF(COUNTA(BA13:BB13)=0,"",SUMIFS('04_Влияние_ОПИУ'!$F$2:$F$2000,'04_Влияние_ОПИУ'!$B$2:$B$2000,"2025-08",'04_Влияние_ОПИУ'!$C$2:$C$2000,$A13,'04_Влияние_ОПИУ'!$G$2:$G$2000,"Да"))</x:f>
      </x:c>
      <x:c r="BE13" s="238" t="str">
        <x:f>IF(COUNTA(BA13:BB13)=0,"",N(BB13)+N(BD13))</x:f>
      </x:c>
      <x:c r="BF13" s="252" t="str">
        <x:f>IF(COUNTA(BA13:BB13)=0,"",N(BA13)-N(BE13))</x:f>
      </x:c>
      <x:c r="BG13" s="260" t="str">
        <x:f>IF(COUNTA(BA13:BB13)=0,"",IF(ABS(BF13)&lt;=0.01,IF(ABS(BD13)&gt;0.01,"СОШЛОСЬ ПОСЛЕ КОРР.","СОШЛОСЬ"),IF(ABS(BD13)&gt;0.01,"ЧАСТИЧНО","НЕОПРЕДЕЛЕНО")))</x:f>
      </x:c>
      <x:c r="BH13" s="190"/>
      <x:c r="BI13" s="202"/>
      <x:c r="BJ13" s="214" t="str">
        <x:f>IF(COUNTA(BH13:BI13)=0,"",N(BH13)-N(BI13))</x:f>
      </x:c>
      <x:c r="BK13" s="226" t="str">
        <x:f>IF(COUNTA(BH13:BI13)=0,"",SUMIFS('04_Влияние_ОПИУ'!$F$2:$F$2000,'04_Влияние_ОПИУ'!$B$2:$B$2000,"2025-09",'04_Влияние_ОПИУ'!$C$2:$C$2000,$A13,'04_Влияние_ОПИУ'!$G$2:$G$2000,"Да"))</x:f>
      </x:c>
      <x:c r="BL13" s="238" t="str">
        <x:f>IF(COUNTA(BH13:BI13)=0,"",N(BI13)+N(BK13))</x:f>
      </x:c>
      <x:c r="BM13" s="252" t="str">
        <x:f>IF(COUNTA(BH13:BI13)=0,"",N(BH13)-N(BL13))</x:f>
      </x:c>
      <x:c r="BN13" s="260" t="str">
        <x:f>IF(COUNTA(BH13:BI13)=0,"",IF(ABS(BM13)&lt;=0.01,IF(ABS(BK13)&gt;0.01,"СОШЛОСЬ ПОСЛЕ КОРР.","СОШЛОСЬ"),IF(ABS(BK13)&gt;0.01,"ЧАСТИЧНО","НЕОПРЕДЕЛЕНО")))</x:f>
      </x:c>
      <x:c r="BO13" s="190"/>
      <x:c r="BP13" s="202"/>
      <x:c r="BQ13" s="214" t="str">
        <x:f>IF(COUNTA(BO13:BP13)=0,"",N(BO13)-N(BP13))</x:f>
      </x:c>
      <x:c r="BR13" s="226" t="str">
        <x:f>IF(COUNTA(BO13:BP13)=0,"",SUMIFS('04_Влияние_ОПИУ'!$F$2:$F$2000,'04_Влияние_ОПИУ'!$B$2:$B$2000,"2025-10",'04_Влияние_ОПИУ'!$C$2:$C$2000,$A13,'04_Влияние_ОПИУ'!$G$2:$G$2000,"Да"))</x:f>
      </x:c>
      <x:c r="BS13" s="238" t="str">
        <x:f>IF(COUNTA(BO13:BP13)=0,"",N(BP13)+N(BR13))</x:f>
      </x:c>
      <x:c r="BT13" s="252" t="str">
        <x:f>IF(COUNTA(BO13:BP13)=0,"",N(BO13)-N(BS13))</x:f>
      </x:c>
      <x:c r="BU13" s="260" t="str">
        <x:f>IF(COUNTA(BO13:BP13)=0,"",IF(ABS(BT13)&lt;=0.01,IF(ABS(BR13)&gt;0.01,"СОШЛОСЬ ПОСЛЕ КОРР.","СОШЛОСЬ"),IF(ABS(BR13)&gt;0.01,"ЧАСТИЧНО","НЕОПРЕДЕЛЕНО")))</x:f>
      </x:c>
      <x:c r="BV13" s="190"/>
      <x:c r="BW13" s="202"/>
      <x:c r="BX13" s="214" t="str">
        <x:f>IF(COUNTA(BV13:BW13)=0,"",N(BV13)-N(BW13))</x:f>
      </x:c>
      <x:c r="BY13" s="226" t="str">
        <x:f>IF(COUNTA(BV13:BW13)=0,"",SUMIFS('04_Влияние_ОПИУ'!$F$2:$F$2000,'04_Влияние_ОПИУ'!$B$2:$B$2000,"2025-11",'04_Влияние_ОПИУ'!$C$2:$C$2000,$A13,'04_Влияние_ОПИУ'!$G$2:$G$2000,"Да"))</x:f>
      </x:c>
      <x:c r="BZ13" s="238" t="str">
        <x:f>IF(COUNTA(BV13:BW13)=0,"",N(BW13)+N(BY13))</x:f>
      </x:c>
      <x:c r="CA13" s="252" t="str">
        <x:f>IF(COUNTA(BV13:BW13)=0,"",N(BV13)-N(BZ13))</x:f>
      </x:c>
      <x:c r="CB13" s="260" t="str">
        <x:f>IF(COUNTA(BV13:BW13)=0,"",IF(ABS(CA13)&lt;=0.01,IF(ABS(BY13)&gt;0.01,"СОШЛОСЬ ПОСЛЕ КОРР.","СОШЛОСЬ"),IF(ABS(BY13)&gt;0.01,"ЧАСТИЧНО","НЕОПРЕДЕЛЕНО")))</x:f>
      </x:c>
      <x:c r="CC13" s="190"/>
      <x:c r="CD13" s="202"/>
      <x:c r="CE13" s="214" t="str">
        <x:f>IF(COUNTA(CC13:CD13)=0,"",N(CC13)-N(CD13))</x:f>
      </x:c>
      <x:c r="CF13" s="226" t="str">
        <x:f>IF(COUNTA(CC13:CD13)=0,"",SUMIFS('04_Влияние_ОПИУ'!$F$2:$F$2000,'04_Влияние_ОПИУ'!$B$2:$B$2000,"2025-12",'04_Влияние_ОПИУ'!$C$2:$C$2000,$A13,'04_Влияние_ОПИУ'!$G$2:$G$2000,"Да"))</x:f>
      </x:c>
      <x:c r="CG13" s="238" t="str">
        <x:f>IF(COUNTA(CC13:CD13)=0,"",N(CD13)+N(CF13))</x:f>
      </x:c>
      <x:c r="CH13" s="252" t="str">
        <x:f>IF(COUNTA(CC13:CD13)=0,"",N(CC13)-N(CG13))</x:f>
      </x:c>
      <x:c r="CI13" s="260" t="str">
        <x:f>IF(COUNTA(CC13:CD13)=0,"",IF(ABS(CH13)&lt;=0.01,IF(ABS(CF13)&gt;0.01,"СОШЛОСЬ ПОСЛЕ КОРР.","СОШЛОСЬ"),IF(ABS(CF13)&gt;0.01,"ЧАСТИЧНО","НЕОПРЕДЕЛЕНО")))</x:f>
      </x:c>
    </x:row>
    <x:row r="14">
      <x:c r="A14" s="166" t="str">
        <x:v>R009</x:v>
      </x:c>
      <x:c r="B14" s="166" t="str">
        <x:v>        Электроэнергия</x:v>
      </x:c>
      <x:c r="C14" s="170" t="str">
        <x:v>        Электроэнергия</x:v>
      </x:c>
      <x:c r="D14" s="190"/>
      <x:c r="E14" s="202"/>
      <x:c r="F14" s="214" t="str">
        <x:f>IF(COUNTA(D14:E14)=0,"",N(D14)-N(E14))</x:f>
      </x:c>
      <x:c r="G14" s="226" t="str">
        <x:f>IF(COUNTA(D14:E14)=0,"",SUMIFS('04_Влияние_ОПИУ'!$F$2:$F$2000,'04_Влияние_ОПИУ'!$B$2:$B$2000,"2025-01",'04_Влияние_ОПИУ'!$C$2:$C$2000,$A14,'04_Влияние_ОПИУ'!$G$2:$G$2000,"Да"))</x:f>
      </x:c>
      <x:c r="H14" s="238" t="str">
        <x:f>IF(COUNTA(D14:E14)=0,"",N(E14)+N(G14))</x:f>
      </x:c>
      <x:c r="I14" s="252" t="str">
        <x:f>IF(COUNTA(D14:E14)=0,"",N(D14)-N(H14))</x:f>
      </x:c>
      <x:c r="J14" s="260" t="str">
        <x:f>IF(COUNTA(D14:E14)=0,"",IF(ABS(I14)&lt;=0.01,IF(ABS(G14)&gt;0.01,"СОШЛОСЬ ПОСЛЕ КОРР.","СОШЛОСЬ"),IF(ABS(G14)&gt;0.01,"ЧАСТИЧНО","НЕОПРЕДЕЛЕНО")))</x:f>
      </x:c>
      <x:c r="K14" s="190"/>
      <x:c r="L14" s="202"/>
      <x:c r="M14" s="214" t="str">
        <x:f>IF(COUNTA(K14:L14)=0,"",N(K14)-N(L14))</x:f>
      </x:c>
      <x:c r="N14" s="226" t="str">
        <x:f>IF(COUNTA(K14:L14)=0,"",SUMIFS('04_Влияние_ОПИУ'!$F$2:$F$2000,'04_Влияние_ОПИУ'!$B$2:$B$2000,"2025-02",'04_Влияние_ОПИУ'!$C$2:$C$2000,$A14,'04_Влияние_ОПИУ'!$G$2:$G$2000,"Да"))</x:f>
      </x:c>
      <x:c r="O14" s="238" t="str">
        <x:f>IF(COUNTA(K14:L14)=0,"",N(L14)+N(N14))</x:f>
      </x:c>
      <x:c r="P14" s="252" t="str">
        <x:f>IF(COUNTA(K14:L14)=0,"",N(K14)-N(O14))</x:f>
      </x:c>
      <x:c r="Q14" s="260" t="str">
        <x:f>IF(COUNTA(K14:L14)=0,"",IF(ABS(P14)&lt;=0.01,IF(ABS(N14)&gt;0.01,"СОШЛОСЬ ПОСЛЕ КОРР.","СОШЛОСЬ"),IF(ABS(N14)&gt;0.01,"ЧАСТИЧНО","НЕОПРЕДЕЛЕНО")))</x:f>
      </x:c>
      <x:c r="R14" s="190"/>
      <x:c r="S14" s="202"/>
      <x:c r="T14" s="214" t="str">
        <x:f>IF(COUNTA(R14:S14)=0,"",N(R14)-N(S14))</x:f>
      </x:c>
      <x:c r="U14" s="226" t="str">
        <x:f>IF(COUNTA(R14:S14)=0,"",SUMIFS('04_Влияние_ОПИУ'!$F$2:$F$2000,'04_Влияние_ОПИУ'!$B$2:$B$2000,"2025-03",'04_Влияние_ОПИУ'!$C$2:$C$2000,$A14,'04_Влияние_ОПИУ'!$G$2:$G$2000,"Да"))</x:f>
      </x:c>
      <x:c r="V14" s="238" t="str">
        <x:f>IF(COUNTA(R14:S14)=0,"",N(S14)+N(U14))</x:f>
      </x:c>
      <x:c r="W14" s="252" t="str">
        <x:f>IF(COUNTA(R14:S14)=0,"",N(R14)-N(V14))</x:f>
      </x:c>
      <x:c r="X14" s="260" t="str">
        <x:f>IF(COUNTA(R14:S14)=0,"",IF(ABS(W14)&lt;=0.01,IF(ABS(U14)&gt;0.01,"СОШЛОСЬ ПОСЛЕ КОРР.","СОШЛОСЬ"),IF(ABS(U14)&gt;0.01,"ЧАСТИЧНО","НЕОПРЕДЕЛЕНО")))</x:f>
      </x:c>
      <x:c r="Y14" s="190"/>
      <x:c r="Z14" s="202"/>
      <x:c r="AA14" s="214" t="str">
        <x:f>IF(COUNTA(Y14:Z14)=0,"",N(Y14)-N(Z14))</x:f>
      </x:c>
      <x:c r="AB14" s="226" t="str">
        <x:f>IF(COUNTA(Y14:Z14)=0,"",SUMIFS('04_Влияние_ОПИУ'!$F$2:$F$2000,'04_Влияние_ОПИУ'!$B$2:$B$2000,"2025-04",'04_Влияние_ОПИУ'!$C$2:$C$2000,$A14,'04_Влияние_ОПИУ'!$G$2:$G$2000,"Да"))</x:f>
      </x:c>
      <x:c r="AC14" s="238" t="str">
        <x:f>IF(COUNTA(Y14:Z14)=0,"",N(Z14)+N(AB14))</x:f>
      </x:c>
      <x:c r="AD14" s="252" t="str">
        <x:f>IF(COUNTA(Y14:Z14)=0,"",N(Y14)-N(AC14))</x:f>
      </x:c>
      <x:c r="AE14" s="260" t="str">
        <x:f>IF(COUNTA(Y14:Z14)=0,"",IF(ABS(AD14)&lt;=0.01,IF(ABS(AB14)&gt;0.01,"СОШЛОСЬ ПОСЛЕ КОРР.","СОШЛОСЬ"),IF(ABS(AB14)&gt;0.01,"ЧАСТИЧНО","НЕОПРЕДЕЛЕНО")))</x:f>
      </x:c>
      <x:c r="AF14" s="190"/>
      <x:c r="AG14" s="202"/>
      <x:c r="AH14" s="214" t="str">
        <x:f>IF(COUNTA(AF14:AG14)=0,"",N(AF14)-N(AG14))</x:f>
      </x:c>
      <x:c r="AI14" s="226" t="str">
        <x:f>IF(COUNTA(AF14:AG14)=0,"",SUMIFS('04_Влияние_ОПИУ'!$F$2:$F$2000,'04_Влияние_ОПИУ'!$B$2:$B$2000,"2025-05",'04_Влияние_ОПИУ'!$C$2:$C$2000,$A14,'04_Влияние_ОПИУ'!$G$2:$G$2000,"Да"))</x:f>
      </x:c>
      <x:c r="AJ14" s="238" t="str">
        <x:f>IF(COUNTA(AF14:AG14)=0,"",N(AG14)+N(AI14))</x:f>
      </x:c>
      <x:c r="AK14" s="252" t="str">
        <x:f>IF(COUNTA(AF14:AG14)=0,"",N(AF14)-N(AJ14))</x:f>
      </x:c>
      <x:c r="AL14" s="260" t="str">
        <x:f>IF(COUNTA(AF14:AG14)=0,"",IF(ABS(AK14)&lt;=0.01,IF(ABS(AI14)&gt;0.01,"СОШЛОСЬ ПОСЛЕ КОРР.","СОШЛОСЬ"),IF(ABS(AI14)&gt;0.01,"ЧАСТИЧНО","НЕОПРЕДЕЛЕНО")))</x:f>
      </x:c>
      <x:c r="AM14" s="190"/>
      <x:c r="AN14" s="202"/>
      <x:c r="AO14" s="214" t="str">
        <x:f>IF(COUNTA(AM14:AN14)=0,"",N(AM14)-N(AN14))</x:f>
      </x:c>
      <x:c r="AP14" s="226" t="str">
        <x:f>IF(COUNTA(AM14:AN14)=0,"",SUMIFS('04_Влияние_ОПИУ'!$F$2:$F$2000,'04_Влияние_ОПИУ'!$B$2:$B$2000,"2025-06",'04_Влияние_ОПИУ'!$C$2:$C$2000,$A14,'04_Влияние_ОПИУ'!$G$2:$G$2000,"Да"))</x:f>
      </x:c>
      <x:c r="AQ14" s="238" t="str">
        <x:f>IF(COUNTA(AM14:AN14)=0,"",N(AN14)+N(AP14))</x:f>
      </x:c>
      <x:c r="AR14" s="252" t="str">
        <x:f>IF(COUNTA(AM14:AN14)=0,"",N(AM14)-N(AQ14))</x:f>
      </x:c>
      <x:c r="AS14" s="260" t="str">
        <x:f>IF(COUNTA(AM14:AN14)=0,"",IF(ABS(AR14)&lt;=0.01,IF(ABS(AP14)&gt;0.01,"СОШЛОСЬ ПОСЛЕ КОРР.","СОШЛОСЬ"),IF(ABS(AP14)&gt;0.01,"ЧАСТИЧНО","НЕОПРЕДЕЛЕНО")))</x:f>
      </x:c>
      <x:c r="AT14" s="190"/>
      <x:c r="AU14" s="202"/>
      <x:c r="AV14" s="214" t="str">
        <x:f>IF(COUNTA(AT14:AU14)=0,"",N(AT14)-N(AU14))</x:f>
      </x:c>
      <x:c r="AW14" s="226" t="str">
        <x:f>IF(COUNTA(AT14:AU14)=0,"",SUMIFS('04_Влияние_ОПИУ'!$F$2:$F$2000,'04_Влияние_ОПИУ'!$B$2:$B$2000,"2025-07",'04_Влияние_ОПИУ'!$C$2:$C$2000,$A14,'04_Влияние_ОПИУ'!$G$2:$G$2000,"Да"))</x:f>
      </x:c>
      <x:c r="AX14" s="238" t="str">
        <x:f>IF(COUNTA(AT14:AU14)=0,"",N(AU14)+N(AW14))</x:f>
      </x:c>
      <x:c r="AY14" s="252" t="str">
        <x:f>IF(COUNTA(AT14:AU14)=0,"",N(AT14)-N(AX14))</x:f>
      </x:c>
      <x:c r="AZ14" s="260" t="str">
        <x:f>IF(COUNTA(AT14:AU14)=0,"",IF(ABS(AY14)&lt;=0.01,IF(ABS(AW14)&gt;0.01,"СОШЛОСЬ ПОСЛЕ КОРР.","СОШЛОСЬ"),IF(ABS(AW14)&gt;0.01,"ЧАСТИЧНО","НЕОПРЕДЕЛЕНО")))</x:f>
      </x:c>
      <x:c r="BA14" s="190"/>
      <x:c r="BB14" s="202"/>
      <x:c r="BC14" s="214" t="str">
        <x:f>IF(COUNTA(BA14:BB14)=0,"",N(BA14)-N(BB14))</x:f>
      </x:c>
      <x:c r="BD14" s="226" t="str">
        <x:f>IF(COUNTA(BA14:BB14)=0,"",SUMIFS('04_Влияние_ОПИУ'!$F$2:$F$2000,'04_Влияние_ОПИУ'!$B$2:$B$2000,"2025-08",'04_Влияние_ОПИУ'!$C$2:$C$2000,$A14,'04_Влияние_ОПИУ'!$G$2:$G$2000,"Да"))</x:f>
      </x:c>
      <x:c r="BE14" s="238" t="str">
        <x:f>IF(COUNTA(BA14:BB14)=0,"",N(BB14)+N(BD14))</x:f>
      </x:c>
      <x:c r="BF14" s="252" t="str">
        <x:f>IF(COUNTA(BA14:BB14)=0,"",N(BA14)-N(BE14))</x:f>
      </x:c>
      <x:c r="BG14" s="260" t="str">
        <x:f>IF(COUNTA(BA14:BB14)=0,"",IF(ABS(BF14)&lt;=0.01,IF(ABS(BD14)&gt;0.01,"СОШЛОСЬ ПОСЛЕ КОРР.","СОШЛОСЬ"),IF(ABS(BD14)&gt;0.01,"ЧАСТИЧНО","НЕОПРЕДЕЛЕНО")))</x:f>
      </x:c>
      <x:c r="BH14" s="190"/>
      <x:c r="BI14" s="202"/>
      <x:c r="BJ14" s="214" t="str">
        <x:f>IF(COUNTA(BH14:BI14)=0,"",N(BH14)-N(BI14))</x:f>
      </x:c>
      <x:c r="BK14" s="226" t="str">
        <x:f>IF(COUNTA(BH14:BI14)=0,"",SUMIFS('04_Влияние_ОПИУ'!$F$2:$F$2000,'04_Влияние_ОПИУ'!$B$2:$B$2000,"2025-09",'04_Влияние_ОПИУ'!$C$2:$C$2000,$A14,'04_Влияние_ОПИУ'!$G$2:$G$2000,"Да"))</x:f>
      </x:c>
      <x:c r="BL14" s="238" t="str">
        <x:f>IF(COUNTA(BH14:BI14)=0,"",N(BI14)+N(BK14))</x:f>
      </x:c>
      <x:c r="BM14" s="252" t="str">
        <x:f>IF(COUNTA(BH14:BI14)=0,"",N(BH14)-N(BL14))</x:f>
      </x:c>
      <x:c r="BN14" s="260" t="str">
        <x:f>IF(COUNTA(BH14:BI14)=0,"",IF(ABS(BM14)&lt;=0.01,IF(ABS(BK14)&gt;0.01,"СОШЛОСЬ ПОСЛЕ КОРР.","СОШЛОСЬ"),IF(ABS(BK14)&gt;0.01,"ЧАСТИЧНО","НЕОПРЕДЕЛЕНО")))</x:f>
      </x:c>
      <x:c r="BO14" s="190"/>
      <x:c r="BP14" s="202"/>
      <x:c r="BQ14" s="214" t="str">
        <x:f>IF(COUNTA(BO14:BP14)=0,"",N(BO14)-N(BP14))</x:f>
      </x:c>
      <x:c r="BR14" s="226" t="str">
        <x:f>IF(COUNTA(BO14:BP14)=0,"",SUMIFS('04_Влияние_ОПИУ'!$F$2:$F$2000,'04_Влияние_ОПИУ'!$B$2:$B$2000,"2025-10",'04_Влияние_ОПИУ'!$C$2:$C$2000,$A14,'04_Влияние_ОПИУ'!$G$2:$G$2000,"Да"))</x:f>
      </x:c>
      <x:c r="BS14" s="238" t="str">
        <x:f>IF(COUNTA(BO14:BP14)=0,"",N(BP14)+N(BR14))</x:f>
      </x:c>
      <x:c r="BT14" s="252" t="str">
        <x:f>IF(COUNTA(BO14:BP14)=0,"",N(BO14)-N(BS14))</x:f>
      </x:c>
      <x:c r="BU14" s="260" t="str">
        <x:f>IF(COUNTA(BO14:BP14)=0,"",IF(ABS(BT14)&lt;=0.01,IF(ABS(BR14)&gt;0.01,"СОШЛОСЬ ПОСЛЕ КОРР.","СОШЛОСЬ"),IF(ABS(BR14)&gt;0.01,"ЧАСТИЧНО","НЕОПРЕДЕЛЕНО")))</x:f>
      </x:c>
      <x:c r="BV14" s="190"/>
      <x:c r="BW14" s="202"/>
      <x:c r="BX14" s="214" t="str">
        <x:f>IF(COUNTA(BV14:BW14)=0,"",N(BV14)-N(BW14))</x:f>
      </x:c>
      <x:c r="BY14" s="226" t="str">
        <x:f>IF(COUNTA(BV14:BW14)=0,"",SUMIFS('04_Влияние_ОПИУ'!$F$2:$F$2000,'04_Влияние_ОПИУ'!$B$2:$B$2000,"2025-11",'04_Влияние_ОПИУ'!$C$2:$C$2000,$A14,'04_Влияние_ОПИУ'!$G$2:$G$2000,"Да"))</x:f>
      </x:c>
      <x:c r="BZ14" s="238" t="str">
        <x:f>IF(COUNTA(BV14:BW14)=0,"",N(BW14)+N(BY14))</x:f>
      </x:c>
      <x:c r="CA14" s="252" t="str">
        <x:f>IF(COUNTA(BV14:BW14)=0,"",N(BV14)-N(BZ14))</x:f>
      </x:c>
      <x:c r="CB14" s="260" t="str">
        <x:f>IF(COUNTA(BV14:BW14)=0,"",IF(ABS(CA14)&lt;=0.01,IF(ABS(BY14)&gt;0.01,"СОШЛОСЬ ПОСЛЕ КОРР.","СОШЛОСЬ"),IF(ABS(BY14)&gt;0.01,"ЧАСТИЧНО","НЕОПРЕДЕЛЕНО")))</x:f>
      </x:c>
      <x:c r="CC14" s="190"/>
      <x:c r="CD14" s="202"/>
      <x:c r="CE14" s="214" t="str">
        <x:f>IF(COUNTA(CC14:CD14)=0,"",N(CC14)-N(CD14))</x:f>
      </x:c>
      <x:c r="CF14" s="226" t="str">
        <x:f>IF(COUNTA(CC14:CD14)=0,"",SUMIFS('04_Влияние_ОПИУ'!$F$2:$F$2000,'04_Влияние_ОПИУ'!$B$2:$B$2000,"2025-12",'04_Влияние_ОПИУ'!$C$2:$C$2000,$A14,'04_Влияние_ОПИУ'!$G$2:$G$2000,"Да"))</x:f>
      </x:c>
      <x:c r="CG14" s="238" t="str">
        <x:f>IF(COUNTA(CC14:CD14)=0,"",N(CD14)+N(CF14))</x:f>
      </x:c>
      <x:c r="CH14" s="252" t="str">
        <x:f>IF(COUNTA(CC14:CD14)=0,"",N(CC14)-N(CG14))</x:f>
      </x:c>
      <x:c r="CI14" s="260" t="str">
        <x:f>IF(COUNTA(CC14:CD14)=0,"",IF(ABS(CH14)&lt;=0.01,IF(ABS(CF14)&gt;0.01,"СОШЛОСЬ ПОСЛЕ КОРР.","СОШЛОСЬ"),IF(ABS(CF14)&gt;0.01,"ЧАСТИЧНО","НЕОПРЕДЕЛЕНО")))</x:f>
      </x:c>
    </x:row>
    <x:row r="15">
      <x:c r="A15" s="166" t="str">
        <x:v>R010</x:v>
      </x:c>
      <x:c r="B15" s="166" t="str">
        <x:v>      Командировочные</x:v>
      </x:c>
      <x:c r="C15" s="170" t="str">
        <x:v>      Командировочные</x:v>
      </x:c>
      <x:c r="D15" s="190"/>
      <x:c r="E15" s="202"/>
      <x:c r="F15" s="214" t="str">
        <x:f>IF(COUNTA(D15:E15)=0,"",N(D15)-N(E15))</x:f>
      </x:c>
      <x:c r="G15" s="226" t="str">
        <x:f>IF(COUNTA(D15:E15)=0,"",SUMIFS('04_Влияние_ОПИУ'!$F$2:$F$2000,'04_Влияние_ОПИУ'!$B$2:$B$2000,"2025-01",'04_Влияние_ОПИУ'!$C$2:$C$2000,$A15,'04_Влияние_ОПИУ'!$G$2:$G$2000,"Да"))</x:f>
      </x:c>
      <x:c r="H15" s="238" t="str">
        <x:f>IF(COUNTA(D15:E15)=0,"",N(E15)+N(G15))</x:f>
      </x:c>
      <x:c r="I15" s="252" t="str">
        <x:f>IF(COUNTA(D15:E15)=0,"",N(D15)-N(H15))</x:f>
      </x:c>
      <x:c r="J15" s="260" t="str">
        <x:f>IF(COUNTA(D15:E15)=0,"",IF(ABS(I15)&lt;=0.01,IF(ABS(G15)&gt;0.01,"СОШЛОСЬ ПОСЛЕ КОРР.","СОШЛОСЬ"),IF(ABS(G15)&gt;0.01,"ЧАСТИЧНО","НЕОПРЕДЕЛЕНО")))</x:f>
      </x:c>
      <x:c r="K15" s="190"/>
      <x:c r="L15" s="202"/>
      <x:c r="M15" s="214" t="str">
        <x:f>IF(COUNTA(K15:L15)=0,"",N(K15)-N(L15))</x:f>
      </x:c>
      <x:c r="N15" s="226" t="str">
        <x:f>IF(COUNTA(K15:L15)=0,"",SUMIFS('04_Влияние_ОПИУ'!$F$2:$F$2000,'04_Влияние_ОПИУ'!$B$2:$B$2000,"2025-02",'04_Влияние_ОПИУ'!$C$2:$C$2000,$A15,'04_Влияние_ОПИУ'!$G$2:$G$2000,"Да"))</x:f>
      </x:c>
      <x:c r="O15" s="238" t="str">
        <x:f>IF(COUNTA(K15:L15)=0,"",N(L15)+N(N15))</x:f>
      </x:c>
      <x:c r="P15" s="252" t="str">
        <x:f>IF(COUNTA(K15:L15)=0,"",N(K15)-N(O15))</x:f>
      </x:c>
      <x:c r="Q15" s="260" t="str">
        <x:f>IF(COUNTA(K15:L15)=0,"",IF(ABS(P15)&lt;=0.01,IF(ABS(N15)&gt;0.01,"СОШЛОСЬ ПОСЛЕ КОРР.","СОШЛОСЬ"),IF(ABS(N15)&gt;0.01,"ЧАСТИЧНО","НЕОПРЕДЕЛЕНО")))</x:f>
      </x:c>
      <x:c r="R15" s="190"/>
      <x:c r="S15" s="202"/>
      <x:c r="T15" s="214" t="str">
        <x:f>IF(COUNTA(R15:S15)=0,"",N(R15)-N(S15))</x:f>
      </x:c>
      <x:c r="U15" s="226" t="str">
        <x:f>IF(COUNTA(R15:S15)=0,"",SUMIFS('04_Влияние_ОПИУ'!$F$2:$F$2000,'04_Влияние_ОПИУ'!$B$2:$B$2000,"2025-03",'04_Влияние_ОПИУ'!$C$2:$C$2000,$A15,'04_Влияние_ОПИУ'!$G$2:$G$2000,"Да"))</x:f>
      </x:c>
      <x:c r="V15" s="238" t="str">
        <x:f>IF(COUNTA(R15:S15)=0,"",N(S15)+N(U15))</x:f>
      </x:c>
      <x:c r="W15" s="252" t="str">
        <x:f>IF(COUNTA(R15:S15)=0,"",N(R15)-N(V15))</x:f>
      </x:c>
      <x:c r="X15" s="260" t="str">
        <x:f>IF(COUNTA(R15:S15)=0,"",IF(ABS(W15)&lt;=0.01,IF(ABS(U15)&gt;0.01,"СОШЛОСЬ ПОСЛЕ КОРР.","СОШЛОСЬ"),IF(ABS(U15)&gt;0.01,"ЧАСТИЧНО","НЕОПРЕДЕЛЕНО")))</x:f>
      </x:c>
      <x:c r="Y15" s="190"/>
      <x:c r="Z15" s="202"/>
      <x:c r="AA15" s="214" t="str">
        <x:f>IF(COUNTA(Y15:Z15)=0,"",N(Y15)-N(Z15))</x:f>
      </x:c>
      <x:c r="AB15" s="226" t="str">
        <x:f>IF(COUNTA(Y15:Z15)=0,"",SUMIFS('04_Влияние_ОПИУ'!$F$2:$F$2000,'04_Влияние_ОПИУ'!$B$2:$B$2000,"2025-04",'04_Влияние_ОПИУ'!$C$2:$C$2000,$A15,'04_Влияние_ОПИУ'!$G$2:$G$2000,"Да"))</x:f>
      </x:c>
      <x:c r="AC15" s="238" t="str">
        <x:f>IF(COUNTA(Y15:Z15)=0,"",N(Z15)+N(AB15))</x:f>
      </x:c>
      <x:c r="AD15" s="252" t="str">
        <x:f>IF(COUNTA(Y15:Z15)=0,"",N(Y15)-N(AC15))</x:f>
      </x:c>
      <x:c r="AE15" s="260" t="str">
        <x:f>IF(COUNTA(Y15:Z15)=0,"",IF(ABS(AD15)&lt;=0.01,IF(ABS(AB15)&gt;0.01,"СОШЛОСЬ ПОСЛЕ КОРР.","СОШЛОСЬ"),IF(ABS(AB15)&gt;0.01,"ЧАСТИЧНО","НЕОПРЕДЕЛЕНО")))</x:f>
      </x:c>
      <x:c r="AF15" s="190"/>
      <x:c r="AG15" s="202"/>
      <x:c r="AH15" s="214" t="str">
        <x:f>IF(COUNTA(AF15:AG15)=0,"",N(AF15)-N(AG15))</x:f>
      </x:c>
      <x:c r="AI15" s="226" t="str">
        <x:f>IF(COUNTA(AF15:AG15)=0,"",SUMIFS('04_Влияние_ОПИУ'!$F$2:$F$2000,'04_Влияние_ОПИУ'!$B$2:$B$2000,"2025-05",'04_Влияние_ОПИУ'!$C$2:$C$2000,$A15,'04_Влияние_ОПИУ'!$G$2:$G$2000,"Да"))</x:f>
      </x:c>
      <x:c r="AJ15" s="238" t="str">
        <x:f>IF(COUNTA(AF15:AG15)=0,"",N(AG15)+N(AI15))</x:f>
      </x:c>
      <x:c r="AK15" s="252" t="str">
        <x:f>IF(COUNTA(AF15:AG15)=0,"",N(AF15)-N(AJ15))</x:f>
      </x:c>
      <x:c r="AL15" s="260" t="str">
        <x:f>IF(COUNTA(AF15:AG15)=0,"",IF(ABS(AK15)&lt;=0.01,IF(ABS(AI15)&gt;0.01,"СОШЛОСЬ ПОСЛЕ КОРР.","СОШЛОСЬ"),IF(ABS(AI15)&gt;0.01,"ЧАСТИЧНО","НЕОПРЕДЕЛЕНО")))</x:f>
      </x:c>
      <x:c r="AM15" s="190"/>
      <x:c r="AN15" s="202"/>
      <x:c r="AO15" s="214" t="str">
        <x:f>IF(COUNTA(AM15:AN15)=0,"",N(AM15)-N(AN15))</x:f>
      </x:c>
      <x:c r="AP15" s="226" t="str">
        <x:f>IF(COUNTA(AM15:AN15)=0,"",SUMIFS('04_Влияние_ОПИУ'!$F$2:$F$2000,'04_Влияние_ОПИУ'!$B$2:$B$2000,"2025-06",'04_Влияние_ОПИУ'!$C$2:$C$2000,$A15,'04_Влияние_ОПИУ'!$G$2:$G$2000,"Да"))</x:f>
      </x:c>
      <x:c r="AQ15" s="238" t="str">
        <x:f>IF(COUNTA(AM15:AN15)=0,"",N(AN15)+N(AP15))</x:f>
      </x:c>
      <x:c r="AR15" s="252" t="str">
        <x:f>IF(COUNTA(AM15:AN15)=0,"",N(AM15)-N(AQ15))</x:f>
      </x:c>
      <x:c r="AS15" s="260" t="str">
        <x:f>IF(COUNTA(AM15:AN15)=0,"",IF(ABS(AR15)&lt;=0.01,IF(ABS(AP15)&gt;0.01,"СОШЛОСЬ ПОСЛЕ КОРР.","СОШЛОСЬ"),IF(ABS(AP15)&gt;0.01,"ЧАСТИЧНО","НЕОПРЕДЕЛЕНО")))</x:f>
      </x:c>
      <x:c r="AT15" s="190"/>
      <x:c r="AU15" s="202"/>
      <x:c r="AV15" s="214" t="str">
        <x:f>IF(COUNTA(AT15:AU15)=0,"",N(AT15)-N(AU15))</x:f>
      </x:c>
      <x:c r="AW15" s="226" t="str">
        <x:f>IF(COUNTA(AT15:AU15)=0,"",SUMIFS('04_Влияние_ОПИУ'!$F$2:$F$2000,'04_Влияние_ОПИУ'!$B$2:$B$2000,"2025-07",'04_Влияние_ОПИУ'!$C$2:$C$2000,$A15,'04_Влияние_ОПИУ'!$G$2:$G$2000,"Да"))</x:f>
      </x:c>
      <x:c r="AX15" s="238" t="str">
        <x:f>IF(COUNTA(AT15:AU15)=0,"",N(AU15)+N(AW15))</x:f>
      </x:c>
      <x:c r="AY15" s="252" t="str">
        <x:f>IF(COUNTA(AT15:AU15)=0,"",N(AT15)-N(AX15))</x:f>
      </x:c>
      <x:c r="AZ15" s="260" t="str">
        <x:f>IF(COUNTA(AT15:AU15)=0,"",IF(ABS(AY15)&lt;=0.01,IF(ABS(AW15)&gt;0.01,"СОШЛОСЬ ПОСЛЕ КОРР.","СОШЛОСЬ"),IF(ABS(AW15)&gt;0.01,"ЧАСТИЧНО","НЕОПРЕДЕЛЕНО")))</x:f>
      </x:c>
      <x:c r="BA15" s="190"/>
      <x:c r="BB15" s="202"/>
      <x:c r="BC15" s="214" t="str">
        <x:f>IF(COUNTA(BA15:BB15)=0,"",N(BA15)-N(BB15))</x:f>
      </x:c>
      <x:c r="BD15" s="226" t="str">
        <x:f>IF(COUNTA(BA15:BB15)=0,"",SUMIFS('04_Влияние_ОПИУ'!$F$2:$F$2000,'04_Влияние_ОПИУ'!$B$2:$B$2000,"2025-08",'04_Влияние_ОПИУ'!$C$2:$C$2000,$A15,'04_Влияние_ОПИУ'!$G$2:$G$2000,"Да"))</x:f>
      </x:c>
      <x:c r="BE15" s="238" t="str">
        <x:f>IF(COUNTA(BA15:BB15)=0,"",N(BB15)+N(BD15))</x:f>
      </x:c>
      <x:c r="BF15" s="252" t="str">
        <x:f>IF(COUNTA(BA15:BB15)=0,"",N(BA15)-N(BE15))</x:f>
      </x:c>
      <x:c r="BG15" s="260" t="str">
        <x:f>IF(COUNTA(BA15:BB15)=0,"",IF(ABS(BF15)&lt;=0.01,IF(ABS(BD15)&gt;0.01,"СОШЛОСЬ ПОСЛЕ КОРР.","СОШЛОСЬ"),IF(ABS(BD15)&gt;0.01,"ЧАСТИЧНО","НЕОПРЕДЕЛЕНО")))</x:f>
      </x:c>
      <x:c r="BH15" s="190"/>
      <x:c r="BI15" s="202"/>
      <x:c r="BJ15" s="214" t="str">
        <x:f>IF(COUNTA(BH15:BI15)=0,"",N(BH15)-N(BI15))</x:f>
      </x:c>
      <x:c r="BK15" s="226" t="str">
        <x:f>IF(COUNTA(BH15:BI15)=0,"",SUMIFS('04_Влияние_ОПИУ'!$F$2:$F$2000,'04_Влияние_ОПИУ'!$B$2:$B$2000,"2025-09",'04_Влияние_ОПИУ'!$C$2:$C$2000,$A15,'04_Влияние_ОПИУ'!$G$2:$G$2000,"Да"))</x:f>
      </x:c>
      <x:c r="BL15" s="238" t="str">
        <x:f>IF(COUNTA(BH15:BI15)=0,"",N(BI15)+N(BK15))</x:f>
      </x:c>
      <x:c r="BM15" s="252" t="str">
        <x:f>IF(COUNTA(BH15:BI15)=0,"",N(BH15)-N(BL15))</x:f>
      </x:c>
      <x:c r="BN15" s="260" t="str">
        <x:f>IF(COUNTA(BH15:BI15)=0,"",IF(ABS(BM15)&lt;=0.01,IF(ABS(BK15)&gt;0.01,"СОШЛОСЬ ПОСЛЕ КОРР.","СОШЛОСЬ"),IF(ABS(BK15)&gt;0.01,"ЧАСТИЧНО","НЕОПРЕДЕЛЕНО")))</x:f>
      </x:c>
      <x:c r="BO15" s="190"/>
      <x:c r="BP15" s="202"/>
      <x:c r="BQ15" s="214" t="str">
        <x:f>IF(COUNTA(BO15:BP15)=0,"",N(BO15)-N(BP15))</x:f>
      </x:c>
      <x:c r="BR15" s="226" t="str">
        <x:f>IF(COUNTA(BO15:BP15)=0,"",SUMIFS('04_Влияние_ОПИУ'!$F$2:$F$2000,'04_Влияние_ОПИУ'!$B$2:$B$2000,"2025-10",'04_Влияние_ОПИУ'!$C$2:$C$2000,$A15,'04_Влияние_ОПИУ'!$G$2:$G$2000,"Да"))</x:f>
      </x:c>
      <x:c r="BS15" s="238" t="str">
        <x:f>IF(COUNTA(BO15:BP15)=0,"",N(BP15)+N(BR15))</x:f>
      </x:c>
      <x:c r="BT15" s="252" t="str">
        <x:f>IF(COUNTA(BO15:BP15)=0,"",N(BO15)-N(BS15))</x:f>
      </x:c>
      <x:c r="BU15" s="260" t="str">
        <x:f>IF(COUNTA(BO15:BP15)=0,"",IF(ABS(BT15)&lt;=0.01,IF(ABS(BR15)&gt;0.01,"СОШЛОСЬ ПОСЛЕ КОРР.","СОШЛОСЬ"),IF(ABS(BR15)&gt;0.01,"ЧАСТИЧНО","НЕОПРЕДЕЛЕНО")))</x:f>
      </x:c>
      <x:c r="BV15" s="190"/>
      <x:c r="BW15" s="202"/>
      <x:c r="BX15" s="214" t="str">
        <x:f>IF(COUNTA(BV15:BW15)=0,"",N(BV15)-N(BW15))</x:f>
      </x:c>
      <x:c r="BY15" s="226" t="str">
        <x:f>IF(COUNTA(BV15:BW15)=0,"",SUMIFS('04_Влияние_ОПИУ'!$F$2:$F$2000,'04_Влияние_ОПИУ'!$B$2:$B$2000,"2025-11",'04_Влияние_ОПИУ'!$C$2:$C$2000,$A15,'04_Влияние_ОПИУ'!$G$2:$G$2000,"Да"))</x:f>
      </x:c>
      <x:c r="BZ15" s="238" t="str">
        <x:f>IF(COUNTA(BV15:BW15)=0,"",N(BW15)+N(BY15))</x:f>
      </x:c>
      <x:c r="CA15" s="252" t="str">
        <x:f>IF(COUNTA(BV15:BW15)=0,"",N(BV15)-N(BZ15))</x:f>
      </x:c>
      <x:c r="CB15" s="260" t="str">
        <x:f>IF(COUNTA(BV15:BW15)=0,"",IF(ABS(CA15)&lt;=0.01,IF(ABS(BY15)&gt;0.01,"СОШЛОСЬ ПОСЛЕ КОРР.","СОШЛОСЬ"),IF(ABS(BY15)&gt;0.01,"ЧАСТИЧНО","НЕОПРЕДЕЛЕНО")))</x:f>
      </x:c>
      <x:c r="CC15" s="190"/>
      <x:c r="CD15" s="202"/>
      <x:c r="CE15" s="214" t="str">
        <x:f>IF(COUNTA(CC15:CD15)=0,"",N(CC15)-N(CD15))</x:f>
      </x:c>
      <x:c r="CF15" s="226" t="str">
        <x:f>IF(COUNTA(CC15:CD15)=0,"",SUMIFS('04_Влияние_ОПИУ'!$F$2:$F$2000,'04_Влияние_ОПИУ'!$B$2:$B$2000,"2025-12",'04_Влияние_ОПИУ'!$C$2:$C$2000,$A15,'04_Влияние_ОПИУ'!$G$2:$G$2000,"Да"))</x:f>
      </x:c>
      <x:c r="CG15" s="238" t="str">
        <x:f>IF(COUNTA(CC15:CD15)=0,"",N(CD15)+N(CF15))</x:f>
      </x:c>
      <x:c r="CH15" s="252" t="str">
        <x:f>IF(COUNTA(CC15:CD15)=0,"",N(CC15)-N(CG15))</x:f>
      </x:c>
      <x:c r="CI15" s="260" t="str">
        <x:f>IF(COUNTA(CC15:CD15)=0,"",IF(ABS(CH15)&lt;=0.01,IF(ABS(CF15)&gt;0.01,"СОШЛОСЬ ПОСЛЕ КОРР.","СОШЛОСЬ"),IF(ABS(CF15)&gt;0.01,"ЧАСТИЧНО","НЕОПРЕДЕЛЕНО")))</x:f>
      </x:c>
    </x:row>
    <x:row r="16">
      <x:c r="A16" s="166" t="str">
        <x:v>R011</x:v>
      </x:c>
      <x:c r="B16" s="166" t="str">
        <x:v>      Налоги зарплатные</x:v>
      </x:c>
      <x:c r="C16" s="170" t="str">
        <x:v>      Налоги зарплатные</x:v>
      </x:c>
      <x:c r="D16" s="190"/>
      <x:c r="E16" s="202"/>
      <x:c r="F16" s="214" t="str">
        <x:f>IF(COUNTA(D16:E16)=0,"",N(D16)-N(E16))</x:f>
      </x:c>
      <x:c r="G16" s="226" t="str">
        <x:f>IF(COUNTA(D16:E16)=0,"",SUMIFS('04_Влияние_ОПИУ'!$F$2:$F$2000,'04_Влияние_ОПИУ'!$B$2:$B$2000,"2025-01",'04_Влияние_ОПИУ'!$C$2:$C$2000,$A16,'04_Влияние_ОПИУ'!$G$2:$G$2000,"Да"))</x:f>
      </x:c>
      <x:c r="H16" s="238" t="str">
        <x:f>IF(COUNTA(D16:E16)=0,"",N(E16)+N(G16))</x:f>
      </x:c>
      <x:c r="I16" s="252" t="str">
        <x:f>IF(COUNTA(D16:E16)=0,"",N(D16)-N(H16))</x:f>
      </x:c>
      <x:c r="J16" s="260" t="str">
        <x:f>IF(COUNTA(D16:E16)=0,"",IF(ABS(I16)&lt;=0.01,IF(ABS(G16)&gt;0.01,"СОШЛОСЬ ПОСЛЕ КОРР.","СОШЛОСЬ"),IF(ABS(G16)&gt;0.01,"ЧАСТИЧНО","НЕОПРЕДЕЛЕНО")))</x:f>
      </x:c>
      <x:c r="K16" s="190"/>
      <x:c r="L16" s="202"/>
      <x:c r="M16" s="214" t="str">
        <x:f>IF(COUNTA(K16:L16)=0,"",N(K16)-N(L16))</x:f>
      </x:c>
      <x:c r="N16" s="226" t="str">
        <x:f>IF(COUNTA(K16:L16)=0,"",SUMIFS('04_Влияние_ОПИУ'!$F$2:$F$2000,'04_Влияние_ОПИУ'!$B$2:$B$2000,"2025-02",'04_Влияние_ОПИУ'!$C$2:$C$2000,$A16,'04_Влияние_ОПИУ'!$G$2:$G$2000,"Да"))</x:f>
      </x:c>
      <x:c r="O16" s="238" t="str">
        <x:f>IF(COUNTA(K16:L16)=0,"",N(L16)+N(N16))</x:f>
      </x:c>
      <x:c r="P16" s="252" t="str">
        <x:f>IF(COUNTA(K16:L16)=0,"",N(K16)-N(O16))</x:f>
      </x:c>
      <x:c r="Q16" s="260" t="str">
        <x:f>IF(COUNTA(K16:L16)=0,"",IF(ABS(P16)&lt;=0.01,IF(ABS(N16)&gt;0.01,"СОШЛОСЬ ПОСЛЕ КОРР.","СОШЛОСЬ"),IF(ABS(N16)&gt;0.01,"ЧАСТИЧНО","НЕОПРЕДЕЛЕНО")))</x:f>
      </x:c>
      <x:c r="R16" s="190"/>
      <x:c r="S16" s="202"/>
      <x:c r="T16" s="214" t="str">
        <x:f>IF(COUNTA(R16:S16)=0,"",N(R16)-N(S16))</x:f>
      </x:c>
      <x:c r="U16" s="226" t="str">
        <x:f>IF(COUNTA(R16:S16)=0,"",SUMIFS('04_Влияние_ОПИУ'!$F$2:$F$2000,'04_Влияние_ОПИУ'!$B$2:$B$2000,"2025-03",'04_Влияние_ОПИУ'!$C$2:$C$2000,$A16,'04_Влияние_ОПИУ'!$G$2:$G$2000,"Да"))</x:f>
      </x:c>
      <x:c r="V16" s="238" t="str">
        <x:f>IF(COUNTA(R16:S16)=0,"",N(S16)+N(U16))</x:f>
      </x:c>
      <x:c r="W16" s="252" t="str">
        <x:f>IF(COUNTA(R16:S16)=0,"",N(R16)-N(V16))</x:f>
      </x:c>
      <x:c r="X16" s="260" t="str">
        <x:f>IF(COUNTA(R16:S16)=0,"",IF(ABS(W16)&lt;=0.01,IF(ABS(U16)&gt;0.01,"СОШЛОСЬ ПОСЛЕ КОРР.","СОШЛОСЬ"),IF(ABS(U16)&gt;0.01,"ЧАСТИЧНО","НЕОПРЕДЕЛЕНО")))</x:f>
      </x:c>
      <x:c r="Y16" s="190"/>
      <x:c r="Z16" s="202"/>
      <x:c r="AA16" s="214" t="str">
        <x:f>IF(COUNTA(Y16:Z16)=0,"",N(Y16)-N(Z16))</x:f>
      </x:c>
      <x:c r="AB16" s="226" t="str">
        <x:f>IF(COUNTA(Y16:Z16)=0,"",SUMIFS('04_Влияние_ОПИУ'!$F$2:$F$2000,'04_Влияние_ОПИУ'!$B$2:$B$2000,"2025-04",'04_Влияние_ОПИУ'!$C$2:$C$2000,$A16,'04_Влияние_ОПИУ'!$G$2:$G$2000,"Да"))</x:f>
      </x:c>
      <x:c r="AC16" s="238" t="str">
        <x:f>IF(COUNTA(Y16:Z16)=0,"",N(Z16)+N(AB16))</x:f>
      </x:c>
      <x:c r="AD16" s="252" t="str">
        <x:f>IF(COUNTA(Y16:Z16)=0,"",N(Y16)-N(AC16))</x:f>
      </x:c>
      <x:c r="AE16" s="260" t="str">
        <x:f>IF(COUNTA(Y16:Z16)=0,"",IF(ABS(AD16)&lt;=0.01,IF(ABS(AB16)&gt;0.01,"СОШЛОСЬ ПОСЛЕ КОРР.","СОШЛОСЬ"),IF(ABS(AB16)&gt;0.01,"ЧАСТИЧНО","НЕОПРЕДЕЛЕНО")))</x:f>
      </x:c>
      <x:c r="AF16" s="190"/>
      <x:c r="AG16" s="202"/>
      <x:c r="AH16" s="214" t="str">
        <x:f>IF(COUNTA(AF16:AG16)=0,"",N(AF16)-N(AG16))</x:f>
      </x:c>
      <x:c r="AI16" s="226" t="str">
        <x:f>IF(COUNTA(AF16:AG16)=0,"",SUMIFS('04_Влияние_ОПИУ'!$F$2:$F$2000,'04_Влияние_ОПИУ'!$B$2:$B$2000,"2025-05",'04_Влияние_ОПИУ'!$C$2:$C$2000,$A16,'04_Влияние_ОПИУ'!$G$2:$G$2000,"Да"))</x:f>
      </x:c>
      <x:c r="AJ16" s="238" t="str">
        <x:f>IF(COUNTA(AF16:AG16)=0,"",N(AG16)+N(AI16))</x:f>
      </x:c>
      <x:c r="AK16" s="252" t="str">
        <x:f>IF(COUNTA(AF16:AG16)=0,"",N(AF16)-N(AJ16))</x:f>
      </x:c>
      <x:c r="AL16" s="260" t="str">
        <x:f>IF(COUNTA(AF16:AG16)=0,"",IF(ABS(AK16)&lt;=0.01,IF(ABS(AI16)&gt;0.01,"СОШЛОСЬ ПОСЛЕ КОРР.","СОШЛОСЬ"),IF(ABS(AI16)&gt;0.01,"ЧАСТИЧНО","НЕОПРЕДЕЛЕНО")))</x:f>
      </x:c>
      <x:c r="AM16" s="190"/>
      <x:c r="AN16" s="202"/>
      <x:c r="AO16" s="214" t="str">
        <x:f>IF(COUNTA(AM16:AN16)=0,"",N(AM16)-N(AN16))</x:f>
      </x:c>
      <x:c r="AP16" s="226" t="str">
        <x:f>IF(COUNTA(AM16:AN16)=0,"",SUMIFS('04_Влияние_ОПИУ'!$F$2:$F$2000,'04_Влияние_ОПИУ'!$B$2:$B$2000,"2025-06",'04_Влияние_ОПИУ'!$C$2:$C$2000,$A16,'04_Влияние_ОПИУ'!$G$2:$G$2000,"Да"))</x:f>
      </x:c>
      <x:c r="AQ16" s="238" t="str">
        <x:f>IF(COUNTA(AM16:AN16)=0,"",N(AN16)+N(AP16))</x:f>
      </x:c>
      <x:c r="AR16" s="252" t="str">
        <x:f>IF(COUNTA(AM16:AN16)=0,"",N(AM16)-N(AQ16))</x:f>
      </x:c>
      <x:c r="AS16" s="260" t="str">
        <x:f>IF(COUNTA(AM16:AN16)=0,"",IF(ABS(AR16)&lt;=0.01,IF(ABS(AP16)&gt;0.01,"СОШЛОСЬ ПОСЛЕ КОРР.","СОШЛОСЬ"),IF(ABS(AP16)&gt;0.01,"ЧАСТИЧНО","НЕОПРЕДЕЛЕНО")))</x:f>
      </x:c>
      <x:c r="AT16" s="190"/>
      <x:c r="AU16" s="202"/>
      <x:c r="AV16" s="214" t="str">
        <x:f>IF(COUNTA(AT16:AU16)=0,"",N(AT16)-N(AU16))</x:f>
      </x:c>
      <x:c r="AW16" s="226" t="str">
        <x:f>IF(COUNTA(AT16:AU16)=0,"",SUMIFS('04_Влияние_ОПИУ'!$F$2:$F$2000,'04_Влияние_ОПИУ'!$B$2:$B$2000,"2025-07",'04_Влияние_ОПИУ'!$C$2:$C$2000,$A16,'04_Влияние_ОПИУ'!$G$2:$G$2000,"Да"))</x:f>
      </x:c>
      <x:c r="AX16" s="238" t="str">
        <x:f>IF(COUNTA(AT16:AU16)=0,"",N(AU16)+N(AW16))</x:f>
      </x:c>
      <x:c r="AY16" s="252" t="str">
        <x:f>IF(COUNTA(AT16:AU16)=0,"",N(AT16)-N(AX16))</x:f>
      </x:c>
      <x:c r="AZ16" s="260" t="str">
        <x:f>IF(COUNTA(AT16:AU16)=0,"",IF(ABS(AY16)&lt;=0.01,IF(ABS(AW16)&gt;0.01,"СОШЛОСЬ ПОСЛЕ КОРР.","СОШЛОСЬ"),IF(ABS(AW16)&gt;0.01,"ЧАСТИЧНО","НЕОПРЕДЕЛЕНО")))</x:f>
      </x:c>
      <x:c r="BA16" s="190"/>
      <x:c r="BB16" s="202"/>
      <x:c r="BC16" s="214" t="str">
        <x:f>IF(COUNTA(BA16:BB16)=0,"",N(BA16)-N(BB16))</x:f>
      </x:c>
      <x:c r="BD16" s="226" t="str">
        <x:f>IF(COUNTA(BA16:BB16)=0,"",SUMIFS('04_Влияние_ОПИУ'!$F$2:$F$2000,'04_Влияние_ОПИУ'!$B$2:$B$2000,"2025-08",'04_Влияние_ОПИУ'!$C$2:$C$2000,$A16,'04_Влияние_ОПИУ'!$G$2:$G$2000,"Да"))</x:f>
      </x:c>
      <x:c r="BE16" s="238" t="str">
        <x:f>IF(COUNTA(BA16:BB16)=0,"",N(BB16)+N(BD16))</x:f>
      </x:c>
      <x:c r="BF16" s="252" t="str">
        <x:f>IF(COUNTA(BA16:BB16)=0,"",N(BA16)-N(BE16))</x:f>
      </x:c>
      <x:c r="BG16" s="260" t="str">
        <x:f>IF(COUNTA(BA16:BB16)=0,"",IF(ABS(BF16)&lt;=0.01,IF(ABS(BD16)&gt;0.01,"СОШЛОСЬ ПОСЛЕ КОРР.","СОШЛОСЬ"),IF(ABS(BD16)&gt;0.01,"ЧАСТИЧНО","НЕОПРЕДЕЛЕНО")))</x:f>
      </x:c>
      <x:c r="BH16" s="190"/>
      <x:c r="BI16" s="202"/>
      <x:c r="BJ16" s="214" t="str">
        <x:f>IF(COUNTA(BH16:BI16)=0,"",N(BH16)-N(BI16))</x:f>
      </x:c>
      <x:c r="BK16" s="226" t="str">
        <x:f>IF(COUNTA(BH16:BI16)=0,"",SUMIFS('04_Влияние_ОПИУ'!$F$2:$F$2000,'04_Влияние_ОПИУ'!$B$2:$B$2000,"2025-09",'04_Влияние_ОПИУ'!$C$2:$C$2000,$A16,'04_Влияние_ОПИУ'!$G$2:$G$2000,"Да"))</x:f>
      </x:c>
      <x:c r="BL16" s="238" t="str">
        <x:f>IF(COUNTA(BH16:BI16)=0,"",N(BI16)+N(BK16))</x:f>
      </x:c>
      <x:c r="BM16" s="252" t="str">
        <x:f>IF(COUNTA(BH16:BI16)=0,"",N(BH16)-N(BL16))</x:f>
      </x:c>
      <x:c r="BN16" s="260" t="str">
        <x:f>IF(COUNTA(BH16:BI16)=0,"",IF(ABS(BM16)&lt;=0.01,IF(ABS(BK16)&gt;0.01,"СОШЛОСЬ ПОСЛЕ КОРР.","СОШЛОСЬ"),IF(ABS(BK16)&gt;0.01,"ЧАСТИЧНО","НЕОПРЕДЕЛЕНО")))</x:f>
      </x:c>
      <x:c r="BO16" s="190"/>
      <x:c r="BP16" s="202"/>
      <x:c r="BQ16" s="214" t="str">
        <x:f>IF(COUNTA(BO16:BP16)=0,"",N(BO16)-N(BP16))</x:f>
      </x:c>
      <x:c r="BR16" s="226" t="str">
        <x:f>IF(COUNTA(BO16:BP16)=0,"",SUMIFS('04_Влияние_ОПИУ'!$F$2:$F$2000,'04_Влияние_ОПИУ'!$B$2:$B$2000,"2025-10",'04_Влияние_ОПИУ'!$C$2:$C$2000,$A16,'04_Влияние_ОПИУ'!$G$2:$G$2000,"Да"))</x:f>
      </x:c>
      <x:c r="BS16" s="238" t="str">
        <x:f>IF(COUNTA(BO16:BP16)=0,"",N(BP16)+N(BR16))</x:f>
      </x:c>
      <x:c r="BT16" s="252" t="str">
        <x:f>IF(COUNTA(BO16:BP16)=0,"",N(BO16)-N(BS16))</x:f>
      </x:c>
      <x:c r="BU16" s="260" t="str">
        <x:f>IF(COUNTA(BO16:BP16)=0,"",IF(ABS(BT16)&lt;=0.01,IF(ABS(BR16)&gt;0.01,"СОШЛОСЬ ПОСЛЕ КОРР.","СОШЛОСЬ"),IF(ABS(BR16)&gt;0.01,"ЧАСТИЧНО","НЕОПРЕДЕЛЕНО")))</x:f>
      </x:c>
      <x:c r="BV16" s="190"/>
      <x:c r="BW16" s="202"/>
      <x:c r="BX16" s="214" t="str">
        <x:f>IF(COUNTA(BV16:BW16)=0,"",N(BV16)-N(BW16))</x:f>
      </x:c>
      <x:c r="BY16" s="226" t="str">
        <x:f>IF(COUNTA(BV16:BW16)=0,"",SUMIFS('04_Влияние_ОПИУ'!$F$2:$F$2000,'04_Влияние_ОПИУ'!$B$2:$B$2000,"2025-11",'04_Влияние_ОПИУ'!$C$2:$C$2000,$A16,'04_Влияние_ОПИУ'!$G$2:$G$2000,"Да"))</x:f>
      </x:c>
      <x:c r="BZ16" s="238" t="str">
        <x:f>IF(COUNTA(BV16:BW16)=0,"",N(BW16)+N(BY16))</x:f>
      </x:c>
      <x:c r="CA16" s="252" t="str">
        <x:f>IF(COUNTA(BV16:BW16)=0,"",N(BV16)-N(BZ16))</x:f>
      </x:c>
      <x:c r="CB16" s="260" t="str">
        <x:f>IF(COUNTA(BV16:BW16)=0,"",IF(ABS(CA16)&lt;=0.01,IF(ABS(BY16)&gt;0.01,"СОШЛОСЬ ПОСЛЕ КОРР.","СОШЛОСЬ"),IF(ABS(BY16)&gt;0.01,"ЧАСТИЧНО","НЕОПРЕДЕЛЕНО")))</x:f>
      </x:c>
      <x:c r="CC16" s="190"/>
      <x:c r="CD16" s="202"/>
      <x:c r="CE16" s="214" t="str">
        <x:f>IF(COUNTA(CC16:CD16)=0,"",N(CC16)-N(CD16))</x:f>
      </x:c>
      <x:c r="CF16" s="226" t="str">
        <x:f>IF(COUNTA(CC16:CD16)=0,"",SUMIFS('04_Влияние_ОПИУ'!$F$2:$F$2000,'04_Влияние_ОПИУ'!$B$2:$B$2000,"2025-12",'04_Влияние_ОПИУ'!$C$2:$C$2000,$A16,'04_Влияние_ОПИУ'!$G$2:$G$2000,"Да"))</x:f>
      </x:c>
      <x:c r="CG16" s="238" t="str">
        <x:f>IF(COUNTA(CC16:CD16)=0,"",N(CD16)+N(CF16))</x:f>
      </x:c>
      <x:c r="CH16" s="252" t="str">
        <x:f>IF(COUNTA(CC16:CD16)=0,"",N(CC16)-N(CG16))</x:f>
      </x:c>
      <x:c r="CI16" s="260" t="str">
        <x:f>IF(COUNTA(CC16:CD16)=0,"",IF(ABS(CH16)&lt;=0.01,IF(ABS(CF16)&gt;0.01,"СОШЛОСЬ ПОСЛЕ КОРР.","СОШЛОСЬ"),IF(ABS(CF16)&gt;0.01,"ЧАСТИЧНО","НЕОПРЕДЕЛЕНО")))</x:f>
      </x:c>
    </x:row>
    <x:row r="17">
      <x:c r="A17" s="166" t="str">
        <x:v>R012</x:v>
      </x:c>
      <x:c r="B17" s="166" t="str">
        <x:v>      Прочие административные расходы</x:v>
      </x:c>
      <x:c r="C17" s="170" t="str">
        <x:v>      Прочие административные расходы</x:v>
      </x:c>
      <x:c r="D17" s="190"/>
      <x:c r="E17" s="202"/>
      <x:c r="F17" s="214" t="str">
        <x:f>IF(COUNTA(D17:E17)=0,"",N(D17)-N(E17))</x:f>
      </x:c>
      <x:c r="G17" s="226" t="str">
        <x:f>IF(COUNTA(D17:E17)=0,"",SUMIFS('04_Влияние_ОПИУ'!$F$2:$F$2000,'04_Влияние_ОПИУ'!$B$2:$B$2000,"2025-01",'04_Влияние_ОПИУ'!$C$2:$C$2000,$A17,'04_Влияние_ОПИУ'!$G$2:$G$2000,"Да"))</x:f>
      </x:c>
      <x:c r="H17" s="238" t="str">
        <x:f>IF(COUNTA(D17:E17)=0,"",N(E17)+N(G17))</x:f>
      </x:c>
      <x:c r="I17" s="252" t="str">
        <x:f>IF(COUNTA(D17:E17)=0,"",N(D17)-N(H17))</x:f>
      </x:c>
      <x:c r="J17" s="260" t="str">
        <x:f>IF(COUNTA(D17:E17)=0,"",IF(ABS(I17)&lt;=0.01,IF(ABS(G17)&gt;0.01,"СОШЛОСЬ ПОСЛЕ КОРР.","СОШЛОСЬ"),IF(ABS(G17)&gt;0.01,"ЧАСТИЧНО","НЕОПРЕДЕЛЕНО")))</x:f>
      </x:c>
      <x:c r="K17" s="190"/>
      <x:c r="L17" s="202"/>
      <x:c r="M17" s="214" t="str">
        <x:f>IF(COUNTA(K17:L17)=0,"",N(K17)-N(L17))</x:f>
      </x:c>
      <x:c r="N17" s="226" t="str">
        <x:f>IF(COUNTA(K17:L17)=0,"",SUMIFS('04_Влияние_ОПИУ'!$F$2:$F$2000,'04_Влияние_ОПИУ'!$B$2:$B$2000,"2025-02",'04_Влияние_ОПИУ'!$C$2:$C$2000,$A17,'04_Влияние_ОПИУ'!$G$2:$G$2000,"Да"))</x:f>
      </x:c>
      <x:c r="O17" s="238" t="str">
        <x:f>IF(COUNTA(K17:L17)=0,"",N(L17)+N(N17))</x:f>
      </x:c>
      <x:c r="P17" s="252" t="str">
        <x:f>IF(COUNTA(K17:L17)=0,"",N(K17)-N(O17))</x:f>
      </x:c>
      <x:c r="Q17" s="260" t="str">
        <x:f>IF(COUNTA(K17:L17)=0,"",IF(ABS(P17)&lt;=0.01,IF(ABS(N17)&gt;0.01,"СОШЛОСЬ ПОСЛЕ КОРР.","СОШЛОСЬ"),IF(ABS(N17)&gt;0.01,"ЧАСТИЧНО","НЕОПРЕДЕЛЕНО")))</x:f>
      </x:c>
      <x:c r="R17" s="190"/>
      <x:c r="S17" s="202"/>
      <x:c r="T17" s="214" t="str">
        <x:f>IF(COUNTA(R17:S17)=0,"",N(R17)-N(S17))</x:f>
      </x:c>
      <x:c r="U17" s="226" t="str">
        <x:f>IF(COUNTA(R17:S17)=0,"",SUMIFS('04_Влияние_ОПИУ'!$F$2:$F$2000,'04_Влияние_ОПИУ'!$B$2:$B$2000,"2025-03",'04_Влияние_ОПИУ'!$C$2:$C$2000,$A17,'04_Влияние_ОПИУ'!$G$2:$G$2000,"Да"))</x:f>
      </x:c>
      <x:c r="V17" s="238" t="str">
        <x:f>IF(COUNTA(R17:S17)=0,"",N(S17)+N(U17))</x:f>
      </x:c>
      <x:c r="W17" s="252" t="str">
        <x:f>IF(COUNTA(R17:S17)=0,"",N(R17)-N(V17))</x:f>
      </x:c>
      <x:c r="X17" s="260" t="str">
        <x:f>IF(COUNTA(R17:S17)=0,"",IF(ABS(W17)&lt;=0.01,IF(ABS(U17)&gt;0.01,"СОШЛОСЬ ПОСЛЕ КОРР.","СОШЛОСЬ"),IF(ABS(U17)&gt;0.01,"ЧАСТИЧНО","НЕОПРЕДЕЛЕНО")))</x:f>
      </x:c>
      <x:c r="Y17" s="190"/>
      <x:c r="Z17" s="202"/>
      <x:c r="AA17" s="214" t="str">
        <x:f>IF(COUNTA(Y17:Z17)=0,"",N(Y17)-N(Z17))</x:f>
      </x:c>
      <x:c r="AB17" s="226" t="str">
        <x:f>IF(COUNTA(Y17:Z17)=0,"",SUMIFS('04_Влияние_ОПИУ'!$F$2:$F$2000,'04_Влияние_ОПИУ'!$B$2:$B$2000,"2025-04",'04_Влияние_ОПИУ'!$C$2:$C$2000,$A17,'04_Влияние_ОПИУ'!$G$2:$G$2000,"Да"))</x:f>
      </x:c>
      <x:c r="AC17" s="238" t="str">
        <x:f>IF(COUNTA(Y17:Z17)=0,"",N(Z17)+N(AB17))</x:f>
      </x:c>
      <x:c r="AD17" s="252" t="str">
        <x:f>IF(COUNTA(Y17:Z17)=0,"",N(Y17)-N(AC17))</x:f>
      </x:c>
      <x:c r="AE17" s="260" t="str">
        <x:f>IF(COUNTA(Y17:Z17)=0,"",IF(ABS(AD17)&lt;=0.01,IF(ABS(AB17)&gt;0.01,"СОШЛОСЬ ПОСЛЕ КОРР.","СОШЛОСЬ"),IF(ABS(AB17)&gt;0.01,"ЧАСТИЧНО","НЕОПРЕДЕЛЕНО")))</x:f>
      </x:c>
      <x:c r="AF17" s="190"/>
      <x:c r="AG17" s="202"/>
      <x:c r="AH17" s="214" t="str">
        <x:f>IF(COUNTA(AF17:AG17)=0,"",N(AF17)-N(AG17))</x:f>
      </x:c>
      <x:c r="AI17" s="226" t="str">
        <x:f>IF(COUNTA(AF17:AG17)=0,"",SUMIFS('04_Влияние_ОПИУ'!$F$2:$F$2000,'04_Влияние_ОПИУ'!$B$2:$B$2000,"2025-05",'04_Влияние_ОПИУ'!$C$2:$C$2000,$A17,'04_Влияние_ОПИУ'!$G$2:$G$2000,"Да"))</x:f>
      </x:c>
      <x:c r="AJ17" s="238" t="str">
        <x:f>IF(COUNTA(AF17:AG17)=0,"",N(AG17)+N(AI17))</x:f>
      </x:c>
      <x:c r="AK17" s="252" t="str">
        <x:f>IF(COUNTA(AF17:AG17)=0,"",N(AF17)-N(AJ17))</x:f>
      </x:c>
      <x:c r="AL17" s="260" t="str">
        <x:f>IF(COUNTA(AF17:AG17)=0,"",IF(ABS(AK17)&lt;=0.01,IF(ABS(AI17)&gt;0.01,"СОШЛОСЬ ПОСЛЕ КОРР.","СОШЛОСЬ"),IF(ABS(AI17)&gt;0.01,"ЧАСТИЧНО","НЕОПРЕДЕЛЕНО")))</x:f>
      </x:c>
      <x:c r="AM17" s="190"/>
      <x:c r="AN17" s="202"/>
      <x:c r="AO17" s="214" t="str">
        <x:f>IF(COUNTA(AM17:AN17)=0,"",N(AM17)-N(AN17))</x:f>
      </x:c>
      <x:c r="AP17" s="226" t="str">
        <x:f>IF(COUNTA(AM17:AN17)=0,"",SUMIFS('04_Влияние_ОПИУ'!$F$2:$F$2000,'04_Влияние_ОПИУ'!$B$2:$B$2000,"2025-06",'04_Влияние_ОПИУ'!$C$2:$C$2000,$A17,'04_Влияние_ОПИУ'!$G$2:$G$2000,"Да"))</x:f>
      </x:c>
      <x:c r="AQ17" s="238" t="str">
        <x:f>IF(COUNTA(AM17:AN17)=0,"",N(AN17)+N(AP17))</x:f>
      </x:c>
      <x:c r="AR17" s="252" t="str">
        <x:f>IF(COUNTA(AM17:AN17)=0,"",N(AM17)-N(AQ17))</x:f>
      </x:c>
      <x:c r="AS17" s="260" t="str">
        <x:f>IF(COUNTA(AM17:AN17)=0,"",IF(ABS(AR17)&lt;=0.01,IF(ABS(AP17)&gt;0.01,"СОШЛОСЬ ПОСЛЕ КОРР.","СОШЛОСЬ"),IF(ABS(AP17)&gt;0.01,"ЧАСТИЧНО","НЕОПРЕДЕЛЕНО")))</x:f>
      </x:c>
      <x:c r="AT17" s="190"/>
      <x:c r="AU17" s="202"/>
      <x:c r="AV17" s="214" t="str">
        <x:f>IF(COUNTA(AT17:AU17)=0,"",N(AT17)-N(AU17))</x:f>
      </x:c>
      <x:c r="AW17" s="226" t="str">
        <x:f>IF(COUNTA(AT17:AU17)=0,"",SUMIFS('04_Влияние_ОПИУ'!$F$2:$F$2000,'04_Влияние_ОПИУ'!$B$2:$B$2000,"2025-07",'04_Влияние_ОПИУ'!$C$2:$C$2000,$A17,'04_Влияние_ОПИУ'!$G$2:$G$2000,"Да"))</x:f>
      </x:c>
      <x:c r="AX17" s="238" t="str">
        <x:f>IF(COUNTA(AT17:AU17)=0,"",N(AU17)+N(AW17))</x:f>
      </x:c>
      <x:c r="AY17" s="252" t="str">
        <x:f>IF(COUNTA(AT17:AU17)=0,"",N(AT17)-N(AX17))</x:f>
      </x:c>
      <x:c r="AZ17" s="260" t="str">
        <x:f>IF(COUNTA(AT17:AU17)=0,"",IF(ABS(AY17)&lt;=0.01,IF(ABS(AW17)&gt;0.01,"СОШЛОСЬ ПОСЛЕ КОРР.","СОШЛОСЬ"),IF(ABS(AW17)&gt;0.01,"ЧАСТИЧНО","НЕОПРЕДЕЛЕНО")))</x:f>
      </x:c>
      <x:c r="BA17" s="190"/>
      <x:c r="BB17" s="202"/>
      <x:c r="BC17" s="214" t="str">
        <x:f>IF(COUNTA(BA17:BB17)=0,"",N(BA17)-N(BB17))</x:f>
      </x:c>
      <x:c r="BD17" s="226" t="str">
        <x:f>IF(COUNTA(BA17:BB17)=0,"",SUMIFS('04_Влияние_ОПИУ'!$F$2:$F$2000,'04_Влияние_ОПИУ'!$B$2:$B$2000,"2025-08",'04_Влияние_ОПИУ'!$C$2:$C$2000,$A17,'04_Влияние_ОПИУ'!$G$2:$G$2000,"Да"))</x:f>
      </x:c>
      <x:c r="BE17" s="238" t="str">
        <x:f>IF(COUNTA(BA17:BB17)=0,"",N(BB17)+N(BD17))</x:f>
      </x:c>
      <x:c r="BF17" s="252" t="str">
        <x:f>IF(COUNTA(BA17:BB17)=0,"",N(BA17)-N(BE17))</x:f>
      </x:c>
      <x:c r="BG17" s="260" t="str">
        <x:f>IF(COUNTA(BA17:BB17)=0,"",IF(ABS(BF17)&lt;=0.01,IF(ABS(BD17)&gt;0.01,"СОШЛОСЬ ПОСЛЕ КОРР.","СОШЛОСЬ"),IF(ABS(BD17)&gt;0.01,"ЧАСТИЧНО","НЕОПРЕДЕЛЕНО")))</x:f>
      </x:c>
      <x:c r="BH17" s="190"/>
      <x:c r="BI17" s="202"/>
      <x:c r="BJ17" s="214" t="str">
        <x:f>IF(COUNTA(BH17:BI17)=0,"",N(BH17)-N(BI17))</x:f>
      </x:c>
      <x:c r="BK17" s="226" t="str">
        <x:f>IF(COUNTA(BH17:BI17)=0,"",SUMIFS('04_Влияние_ОПИУ'!$F$2:$F$2000,'04_Влияние_ОПИУ'!$B$2:$B$2000,"2025-09",'04_Влияние_ОПИУ'!$C$2:$C$2000,$A17,'04_Влияние_ОПИУ'!$G$2:$G$2000,"Да"))</x:f>
      </x:c>
      <x:c r="BL17" s="238" t="str">
        <x:f>IF(COUNTA(BH17:BI17)=0,"",N(BI17)+N(BK17))</x:f>
      </x:c>
      <x:c r="BM17" s="252" t="str">
        <x:f>IF(COUNTA(BH17:BI17)=0,"",N(BH17)-N(BL17))</x:f>
      </x:c>
      <x:c r="BN17" s="260" t="str">
        <x:f>IF(COUNTA(BH17:BI17)=0,"",IF(ABS(BM17)&lt;=0.01,IF(ABS(BK17)&gt;0.01,"СОШЛОСЬ ПОСЛЕ КОРР.","СОШЛОСЬ"),IF(ABS(BK17)&gt;0.01,"ЧАСТИЧНО","НЕОПРЕДЕЛЕНО")))</x:f>
      </x:c>
      <x:c r="BO17" s="190"/>
      <x:c r="BP17" s="202"/>
      <x:c r="BQ17" s="214" t="str">
        <x:f>IF(COUNTA(BO17:BP17)=0,"",N(BO17)-N(BP17))</x:f>
      </x:c>
      <x:c r="BR17" s="226" t="str">
        <x:f>IF(COUNTA(BO17:BP17)=0,"",SUMIFS('04_Влияние_ОПИУ'!$F$2:$F$2000,'04_Влияние_ОПИУ'!$B$2:$B$2000,"2025-10",'04_Влияние_ОПИУ'!$C$2:$C$2000,$A17,'04_Влияние_ОПИУ'!$G$2:$G$2000,"Да"))</x:f>
      </x:c>
      <x:c r="BS17" s="238" t="str">
        <x:f>IF(COUNTA(BO17:BP17)=0,"",N(BP17)+N(BR17))</x:f>
      </x:c>
      <x:c r="BT17" s="252" t="str">
        <x:f>IF(COUNTA(BO17:BP17)=0,"",N(BO17)-N(BS17))</x:f>
      </x:c>
      <x:c r="BU17" s="260" t="str">
        <x:f>IF(COUNTA(BO17:BP17)=0,"",IF(ABS(BT17)&lt;=0.01,IF(ABS(BR17)&gt;0.01,"СОШЛОСЬ ПОСЛЕ КОРР.","СОШЛОСЬ"),IF(ABS(BR17)&gt;0.01,"ЧАСТИЧНО","НЕОПРЕДЕЛЕНО")))</x:f>
      </x:c>
      <x:c r="BV17" s="190"/>
      <x:c r="BW17" s="202"/>
      <x:c r="BX17" s="214" t="str">
        <x:f>IF(COUNTA(BV17:BW17)=0,"",N(BV17)-N(BW17))</x:f>
      </x:c>
      <x:c r="BY17" s="226" t="str">
        <x:f>IF(COUNTA(BV17:BW17)=0,"",SUMIFS('04_Влияние_ОПИУ'!$F$2:$F$2000,'04_Влияние_ОПИУ'!$B$2:$B$2000,"2025-11",'04_Влияние_ОПИУ'!$C$2:$C$2000,$A17,'04_Влияние_ОПИУ'!$G$2:$G$2000,"Да"))</x:f>
      </x:c>
      <x:c r="BZ17" s="238" t="str">
        <x:f>IF(COUNTA(BV17:BW17)=0,"",N(BW17)+N(BY17))</x:f>
      </x:c>
      <x:c r="CA17" s="252" t="str">
        <x:f>IF(COUNTA(BV17:BW17)=0,"",N(BV17)-N(BZ17))</x:f>
      </x:c>
      <x:c r="CB17" s="260" t="str">
        <x:f>IF(COUNTA(BV17:BW17)=0,"",IF(ABS(CA17)&lt;=0.01,IF(ABS(BY17)&gt;0.01,"СОШЛОСЬ ПОСЛЕ КОРР.","СОШЛОСЬ"),IF(ABS(BY17)&gt;0.01,"ЧАСТИЧНО","НЕОПРЕДЕЛЕНО")))</x:f>
      </x:c>
      <x:c r="CC17" s="190"/>
      <x:c r="CD17" s="202"/>
      <x:c r="CE17" s="214" t="str">
        <x:f>IF(COUNTA(CC17:CD17)=0,"",N(CC17)-N(CD17))</x:f>
      </x:c>
      <x:c r="CF17" s="226" t="str">
        <x:f>IF(COUNTA(CC17:CD17)=0,"",SUMIFS('04_Влияние_ОПИУ'!$F$2:$F$2000,'04_Влияние_ОПИУ'!$B$2:$B$2000,"2025-12",'04_Влияние_ОПИУ'!$C$2:$C$2000,$A17,'04_Влияние_ОПИУ'!$G$2:$G$2000,"Да"))</x:f>
      </x:c>
      <x:c r="CG17" s="238" t="str">
        <x:f>IF(COUNTA(CC17:CD17)=0,"",N(CD17)+N(CF17))</x:f>
      </x:c>
      <x:c r="CH17" s="252" t="str">
        <x:f>IF(COUNTA(CC17:CD17)=0,"",N(CC17)-N(CG17))</x:f>
      </x:c>
      <x:c r="CI17" s="260" t="str">
        <x:f>IF(COUNTA(CC17:CD17)=0,"",IF(ABS(CH17)&lt;=0.01,IF(ABS(CF17)&gt;0.01,"СОШЛОСЬ ПОСЛЕ КОРР.","СОШЛОСЬ"),IF(ABS(CF17)&gt;0.01,"ЧАСТИЧНО","НЕОПРЕДЕЛЕНО")))</x:f>
      </x:c>
    </x:row>
    <x:row r="18">
      <x:c r="A18" s="166" t="str">
        <x:v>R013</x:v>
      </x:c>
      <x:c r="B18" s="166" t="str">
        <x:v>        Канцелярские расходы</x:v>
      </x:c>
      <x:c r="C18" s="170" t="str">
        <x:v>        Канцелярские расходы</x:v>
      </x:c>
      <x:c r="D18" s="190"/>
      <x:c r="E18" s="202"/>
      <x:c r="F18" s="214" t="str">
        <x:f>IF(COUNTA(D18:E18)=0,"",N(D18)-N(E18))</x:f>
      </x:c>
      <x:c r="G18" s="226" t="str">
        <x:f>IF(COUNTA(D18:E18)=0,"",SUMIFS('04_Влияние_ОПИУ'!$F$2:$F$2000,'04_Влияние_ОПИУ'!$B$2:$B$2000,"2025-01",'04_Влияние_ОПИУ'!$C$2:$C$2000,$A18,'04_Влияние_ОПИУ'!$G$2:$G$2000,"Да"))</x:f>
      </x:c>
      <x:c r="H18" s="238" t="str">
        <x:f>IF(COUNTA(D18:E18)=0,"",N(E18)+N(G18))</x:f>
      </x:c>
      <x:c r="I18" s="252" t="str">
        <x:f>IF(COUNTA(D18:E18)=0,"",N(D18)-N(H18))</x:f>
      </x:c>
      <x:c r="J18" s="260" t="str">
        <x:f>IF(COUNTA(D18:E18)=0,"",IF(ABS(I18)&lt;=0.01,IF(ABS(G18)&gt;0.01,"СОШЛОСЬ ПОСЛЕ КОРР.","СОШЛОСЬ"),IF(ABS(G18)&gt;0.01,"ЧАСТИЧНО","НЕОПРЕДЕЛЕНО")))</x:f>
      </x:c>
      <x:c r="K18" s="190"/>
      <x:c r="L18" s="202"/>
      <x:c r="M18" s="214" t="str">
        <x:f>IF(COUNTA(K18:L18)=0,"",N(K18)-N(L18))</x:f>
      </x:c>
      <x:c r="N18" s="226" t="str">
        <x:f>IF(COUNTA(K18:L18)=0,"",SUMIFS('04_Влияние_ОПИУ'!$F$2:$F$2000,'04_Влияние_ОПИУ'!$B$2:$B$2000,"2025-02",'04_Влияние_ОПИУ'!$C$2:$C$2000,$A18,'04_Влияние_ОПИУ'!$G$2:$G$2000,"Да"))</x:f>
      </x:c>
      <x:c r="O18" s="238" t="str">
        <x:f>IF(COUNTA(K18:L18)=0,"",N(L18)+N(N18))</x:f>
      </x:c>
      <x:c r="P18" s="252" t="str">
        <x:f>IF(COUNTA(K18:L18)=0,"",N(K18)-N(O18))</x:f>
      </x:c>
      <x:c r="Q18" s="260" t="str">
        <x:f>IF(COUNTA(K18:L18)=0,"",IF(ABS(P18)&lt;=0.01,IF(ABS(N18)&gt;0.01,"СОШЛОСЬ ПОСЛЕ КОРР.","СОШЛОСЬ"),IF(ABS(N18)&gt;0.01,"ЧАСТИЧНО","НЕОПРЕДЕЛЕНО")))</x:f>
      </x:c>
      <x:c r="R18" s="190"/>
      <x:c r="S18" s="202"/>
      <x:c r="T18" s="214" t="str">
        <x:f>IF(COUNTA(R18:S18)=0,"",N(R18)-N(S18))</x:f>
      </x:c>
      <x:c r="U18" s="226" t="str">
        <x:f>IF(COUNTA(R18:S18)=0,"",SUMIFS('04_Влияние_ОПИУ'!$F$2:$F$2000,'04_Влияние_ОПИУ'!$B$2:$B$2000,"2025-03",'04_Влияние_ОПИУ'!$C$2:$C$2000,$A18,'04_Влияние_ОПИУ'!$G$2:$G$2000,"Да"))</x:f>
      </x:c>
      <x:c r="V18" s="238" t="str">
        <x:f>IF(COUNTA(R18:S18)=0,"",N(S18)+N(U18))</x:f>
      </x:c>
      <x:c r="W18" s="252" t="str">
        <x:f>IF(COUNTA(R18:S18)=0,"",N(R18)-N(V18))</x:f>
      </x:c>
      <x:c r="X18" s="260" t="str">
        <x:f>IF(COUNTA(R18:S18)=0,"",IF(ABS(W18)&lt;=0.01,IF(ABS(U18)&gt;0.01,"СОШЛОСЬ ПОСЛЕ КОРР.","СОШЛОСЬ"),IF(ABS(U18)&gt;0.01,"ЧАСТИЧНО","НЕОПРЕДЕЛЕНО")))</x:f>
      </x:c>
      <x:c r="Y18" s="190"/>
      <x:c r="Z18" s="202"/>
      <x:c r="AA18" s="214" t="str">
        <x:f>IF(COUNTA(Y18:Z18)=0,"",N(Y18)-N(Z18))</x:f>
      </x:c>
      <x:c r="AB18" s="226" t="str">
        <x:f>IF(COUNTA(Y18:Z18)=0,"",SUMIFS('04_Влияние_ОПИУ'!$F$2:$F$2000,'04_Влияние_ОПИУ'!$B$2:$B$2000,"2025-04",'04_Влияние_ОПИУ'!$C$2:$C$2000,$A18,'04_Влияние_ОПИУ'!$G$2:$G$2000,"Да"))</x:f>
      </x:c>
      <x:c r="AC18" s="238" t="str">
        <x:f>IF(COUNTA(Y18:Z18)=0,"",N(Z18)+N(AB18))</x:f>
      </x:c>
      <x:c r="AD18" s="252" t="str">
        <x:f>IF(COUNTA(Y18:Z18)=0,"",N(Y18)-N(AC18))</x:f>
      </x:c>
      <x:c r="AE18" s="260" t="str">
        <x:f>IF(COUNTA(Y18:Z18)=0,"",IF(ABS(AD18)&lt;=0.01,IF(ABS(AB18)&gt;0.01,"СОШЛОСЬ ПОСЛЕ КОРР.","СОШЛОСЬ"),IF(ABS(AB18)&gt;0.01,"ЧАСТИЧНО","НЕОПРЕДЕЛЕНО")))</x:f>
      </x:c>
      <x:c r="AF18" s="190"/>
      <x:c r="AG18" s="202"/>
      <x:c r="AH18" s="214" t="str">
        <x:f>IF(COUNTA(AF18:AG18)=0,"",N(AF18)-N(AG18))</x:f>
      </x:c>
      <x:c r="AI18" s="226" t="str">
        <x:f>IF(COUNTA(AF18:AG18)=0,"",SUMIFS('04_Влияние_ОПИУ'!$F$2:$F$2000,'04_Влияние_ОПИУ'!$B$2:$B$2000,"2025-05",'04_Влияние_ОПИУ'!$C$2:$C$2000,$A18,'04_Влияние_ОПИУ'!$G$2:$G$2000,"Да"))</x:f>
      </x:c>
      <x:c r="AJ18" s="238" t="str">
        <x:f>IF(COUNTA(AF18:AG18)=0,"",N(AG18)+N(AI18))</x:f>
      </x:c>
      <x:c r="AK18" s="252" t="str">
        <x:f>IF(COUNTA(AF18:AG18)=0,"",N(AF18)-N(AJ18))</x:f>
      </x:c>
      <x:c r="AL18" s="260" t="str">
        <x:f>IF(COUNTA(AF18:AG18)=0,"",IF(ABS(AK18)&lt;=0.01,IF(ABS(AI18)&gt;0.01,"СОШЛОСЬ ПОСЛЕ КОРР.","СОШЛОСЬ"),IF(ABS(AI18)&gt;0.01,"ЧАСТИЧНО","НЕОПРЕДЕЛЕНО")))</x:f>
      </x:c>
      <x:c r="AM18" s="190"/>
      <x:c r="AN18" s="202"/>
      <x:c r="AO18" s="214" t="str">
        <x:f>IF(COUNTA(AM18:AN18)=0,"",N(AM18)-N(AN18))</x:f>
      </x:c>
      <x:c r="AP18" s="226" t="str">
        <x:f>IF(COUNTA(AM18:AN18)=0,"",SUMIFS('04_Влияние_ОПИУ'!$F$2:$F$2000,'04_Влияние_ОПИУ'!$B$2:$B$2000,"2025-06",'04_Влияние_ОПИУ'!$C$2:$C$2000,$A18,'04_Влияние_ОПИУ'!$G$2:$G$2000,"Да"))</x:f>
      </x:c>
      <x:c r="AQ18" s="238" t="str">
        <x:f>IF(COUNTA(AM18:AN18)=0,"",N(AN18)+N(AP18))</x:f>
      </x:c>
      <x:c r="AR18" s="252" t="str">
        <x:f>IF(COUNTA(AM18:AN18)=0,"",N(AM18)-N(AQ18))</x:f>
      </x:c>
      <x:c r="AS18" s="260" t="str">
        <x:f>IF(COUNTA(AM18:AN18)=0,"",IF(ABS(AR18)&lt;=0.01,IF(ABS(AP18)&gt;0.01,"СОШЛОСЬ ПОСЛЕ КОРР.","СОШЛОСЬ"),IF(ABS(AP18)&gt;0.01,"ЧАСТИЧНО","НЕОПРЕДЕЛЕНО")))</x:f>
      </x:c>
      <x:c r="AT18" s="190"/>
      <x:c r="AU18" s="202"/>
      <x:c r="AV18" s="214" t="str">
        <x:f>IF(COUNTA(AT18:AU18)=0,"",N(AT18)-N(AU18))</x:f>
      </x:c>
      <x:c r="AW18" s="226" t="str">
        <x:f>IF(COUNTA(AT18:AU18)=0,"",SUMIFS('04_Влияние_ОПИУ'!$F$2:$F$2000,'04_Влияние_ОПИУ'!$B$2:$B$2000,"2025-07",'04_Влияние_ОПИУ'!$C$2:$C$2000,$A18,'04_Влияние_ОПИУ'!$G$2:$G$2000,"Да"))</x:f>
      </x:c>
      <x:c r="AX18" s="238" t="str">
        <x:f>IF(COUNTA(AT18:AU18)=0,"",N(AU18)+N(AW18))</x:f>
      </x:c>
      <x:c r="AY18" s="252" t="str">
        <x:f>IF(COUNTA(AT18:AU18)=0,"",N(AT18)-N(AX18))</x:f>
      </x:c>
      <x:c r="AZ18" s="260" t="str">
        <x:f>IF(COUNTA(AT18:AU18)=0,"",IF(ABS(AY18)&lt;=0.01,IF(ABS(AW18)&gt;0.01,"СОШЛОСЬ ПОСЛЕ КОРР.","СОШЛОСЬ"),IF(ABS(AW18)&gt;0.01,"ЧАСТИЧНО","НЕОПРЕДЕЛЕНО")))</x:f>
      </x:c>
      <x:c r="BA18" s="190"/>
      <x:c r="BB18" s="202"/>
      <x:c r="BC18" s="214" t="str">
        <x:f>IF(COUNTA(BA18:BB18)=0,"",N(BA18)-N(BB18))</x:f>
      </x:c>
      <x:c r="BD18" s="226" t="str">
        <x:f>IF(COUNTA(BA18:BB18)=0,"",SUMIFS('04_Влияние_ОПИУ'!$F$2:$F$2000,'04_Влияние_ОПИУ'!$B$2:$B$2000,"2025-08",'04_Влияние_ОПИУ'!$C$2:$C$2000,$A18,'04_Влияние_ОПИУ'!$G$2:$G$2000,"Да"))</x:f>
      </x:c>
      <x:c r="BE18" s="238" t="str">
        <x:f>IF(COUNTA(BA18:BB18)=0,"",N(BB18)+N(BD18))</x:f>
      </x:c>
      <x:c r="BF18" s="252" t="str">
        <x:f>IF(COUNTA(BA18:BB18)=0,"",N(BA18)-N(BE18))</x:f>
      </x:c>
      <x:c r="BG18" s="260" t="str">
        <x:f>IF(COUNTA(BA18:BB18)=0,"",IF(ABS(BF18)&lt;=0.01,IF(ABS(BD18)&gt;0.01,"СОШЛОСЬ ПОСЛЕ КОРР.","СОШЛОСЬ"),IF(ABS(BD18)&gt;0.01,"ЧАСТИЧНО","НЕОПРЕДЕЛЕНО")))</x:f>
      </x:c>
      <x:c r="BH18" s="190"/>
      <x:c r="BI18" s="202"/>
      <x:c r="BJ18" s="214" t="str">
        <x:f>IF(COUNTA(BH18:BI18)=0,"",N(BH18)-N(BI18))</x:f>
      </x:c>
      <x:c r="BK18" s="226" t="str">
        <x:f>IF(COUNTA(BH18:BI18)=0,"",SUMIFS('04_Влияние_ОПИУ'!$F$2:$F$2000,'04_Влияние_ОПИУ'!$B$2:$B$2000,"2025-09",'04_Влияние_ОПИУ'!$C$2:$C$2000,$A18,'04_Влияние_ОПИУ'!$G$2:$G$2000,"Да"))</x:f>
      </x:c>
      <x:c r="BL18" s="238" t="str">
        <x:f>IF(COUNTA(BH18:BI18)=0,"",N(BI18)+N(BK18))</x:f>
      </x:c>
      <x:c r="BM18" s="252" t="str">
        <x:f>IF(COUNTA(BH18:BI18)=0,"",N(BH18)-N(BL18))</x:f>
      </x:c>
      <x:c r="BN18" s="260" t="str">
        <x:f>IF(COUNTA(BH18:BI18)=0,"",IF(ABS(BM18)&lt;=0.01,IF(ABS(BK18)&gt;0.01,"СОШЛОСЬ ПОСЛЕ КОРР.","СОШЛОСЬ"),IF(ABS(BK18)&gt;0.01,"ЧАСТИЧНО","НЕОПРЕДЕЛЕНО")))</x:f>
      </x:c>
      <x:c r="BO18" s="190"/>
      <x:c r="BP18" s="202"/>
      <x:c r="BQ18" s="214" t="str">
        <x:f>IF(COUNTA(BO18:BP18)=0,"",N(BO18)-N(BP18))</x:f>
      </x:c>
      <x:c r="BR18" s="226" t="str">
        <x:f>IF(COUNTA(BO18:BP18)=0,"",SUMIFS('04_Влияние_ОПИУ'!$F$2:$F$2000,'04_Влияние_ОПИУ'!$B$2:$B$2000,"2025-10",'04_Влияние_ОПИУ'!$C$2:$C$2000,$A18,'04_Влияние_ОПИУ'!$G$2:$G$2000,"Да"))</x:f>
      </x:c>
      <x:c r="BS18" s="238" t="str">
        <x:f>IF(COUNTA(BO18:BP18)=0,"",N(BP18)+N(BR18))</x:f>
      </x:c>
      <x:c r="BT18" s="252" t="str">
        <x:f>IF(COUNTA(BO18:BP18)=0,"",N(BO18)-N(BS18))</x:f>
      </x:c>
      <x:c r="BU18" s="260" t="str">
        <x:f>IF(COUNTA(BO18:BP18)=0,"",IF(ABS(BT18)&lt;=0.01,IF(ABS(BR18)&gt;0.01,"СОШЛОСЬ ПОСЛЕ КОРР.","СОШЛОСЬ"),IF(ABS(BR18)&gt;0.01,"ЧАСТИЧНО","НЕОПРЕДЕЛЕНО")))</x:f>
      </x:c>
      <x:c r="BV18" s="190"/>
      <x:c r="BW18" s="202"/>
      <x:c r="BX18" s="214" t="str">
        <x:f>IF(COUNTA(BV18:BW18)=0,"",N(BV18)-N(BW18))</x:f>
      </x:c>
      <x:c r="BY18" s="226" t="str">
        <x:f>IF(COUNTA(BV18:BW18)=0,"",SUMIFS('04_Влияние_ОПИУ'!$F$2:$F$2000,'04_Влияние_ОПИУ'!$B$2:$B$2000,"2025-11",'04_Влияние_ОПИУ'!$C$2:$C$2000,$A18,'04_Влияние_ОПИУ'!$G$2:$G$2000,"Да"))</x:f>
      </x:c>
      <x:c r="BZ18" s="238" t="str">
        <x:f>IF(COUNTA(BV18:BW18)=0,"",N(BW18)+N(BY18))</x:f>
      </x:c>
      <x:c r="CA18" s="252" t="str">
        <x:f>IF(COUNTA(BV18:BW18)=0,"",N(BV18)-N(BZ18))</x:f>
      </x:c>
      <x:c r="CB18" s="260" t="str">
        <x:f>IF(COUNTA(BV18:BW18)=0,"",IF(ABS(CA18)&lt;=0.01,IF(ABS(BY18)&gt;0.01,"СОШЛОСЬ ПОСЛЕ КОРР.","СОШЛОСЬ"),IF(ABS(BY18)&gt;0.01,"ЧАСТИЧНО","НЕОПРЕДЕЛЕНО")))</x:f>
      </x:c>
      <x:c r="CC18" s="190"/>
      <x:c r="CD18" s="202"/>
      <x:c r="CE18" s="214" t="str">
        <x:f>IF(COUNTA(CC18:CD18)=0,"",N(CC18)-N(CD18))</x:f>
      </x:c>
      <x:c r="CF18" s="226" t="str">
        <x:f>IF(COUNTA(CC18:CD18)=0,"",SUMIFS('04_Влияние_ОПИУ'!$F$2:$F$2000,'04_Влияние_ОПИУ'!$B$2:$B$2000,"2025-12",'04_Влияние_ОПИУ'!$C$2:$C$2000,$A18,'04_Влияние_ОПИУ'!$G$2:$G$2000,"Да"))</x:f>
      </x:c>
      <x:c r="CG18" s="238" t="str">
        <x:f>IF(COUNTA(CC18:CD18)=0,"",N(CD18)+N(CF18))</x:f>
      </x:c>
      <x:c r="CH18" s="252" t="str">
        <x:f>IF(COUNTA(CC18:CD18)=0,"",N(CC18)-N(CG18))</x:f>
      </x:c>
      <x:c r="CI18" s="260" t="str">
        <x:f>IF(COUNTA(CC18:CD18)=0,"",IF(ABS(CH18)&lt;=0.01,IF(ABS(CF18)&gt;0.01,"СОШЛОСЬ ПОСЛЕ КОРР.","СОШЛОСЬ"),IF(ABS(CF18)&gt;0.01,"ЧАСТИЧНО","НЕОПРЕДЕЛЕНО")))</x:f>
      </x:c>
    </x:row>
    <x:row r="19">
      <x:c r="A19" s="166" t="str">
        <x:v>R014</x:v>
      </x:c>
      <x:c r="B19" s="166" t="str">
        <x:v>        МБП прочие</x:v>
      </x:c>
      <x:c r="C19" s="170" t="str">
        <x:v>        МБП прочие</x:v>
      </x:c>
      <x:c r="D19" s="190"/>
      <x:c r="E19" s="202"/>
      <x:c r="F19" s="214" t="str">
        <x:f>IF(COUNTA(D19:E19)=0,"",N(D19)-N(E19))</x:f>
      </x:c>
      <x:c r="G19" s="226" t="str">
        <x:f>IF(COUNTA(D19:E19)=0,"",SUMIFS('04_Влияние_ОПИУ'!$F$2:$F$2000,'04_Влияние_ОПИУ'!$B$2:$B$2000,"2025-01",'04_Влияние_ОПИУ'!$C$2:$C$2000,$A19,'04_Влияние_ОПИУ'!$G$2:$G$2000,"Да"))</x:f>
      </x:c>
      <x:c r="H19" s="238" t="str">
        <x:f>IF(COUNTA(D19:E19)=0,"",N(E19)+N(G19))</x:f>
      </x:c>
      <x:c r="I19" s="252" t="str">
        <x:f>IF(COUNTA(D19:E19)=0,"",N(D19)-N(H19))</x:f>
      </x:c>
      <x:c r="J19" s="260" t="str">
        <x:f>IF(COUNTA(D19:E19)=0,"",IF(ABS(I19)&lt;=0.01,IF(ABS(G19)&gt;0.01,"СОШЛОСЬ ПОСЛЕ КОРР.","СОШЛОСЬ"),IF(ABS(G19)&gt;0.01,"ЧАСТИЧНО","НЕОПРЕДЕЛЕНО")))</x:f>
      </x:c>
      <x:c r="K19" s="190"/>
      <x:c r="L19" s="202"/>
      <x:c r="M19" s="214" t="str">
        <x:f>IF(COUNTA(K19:L19)=0,"",N(K19)-N(L19))</x:f>
      </x:c>
      <x:c r="N19" s="226" t="str">
        <x:f>IF(COUNTA(K19:L19)=0,"",SUMIFS('04_Влияние_ОПИУ'!$F$2:$F$2000,'04_Влияние_ОПИУ'!$B$2:$B$2000,"2025-02",'04_Влияние_ОПИУ'!$C$2:$C$2000,$A19,'04_Влияние_ОПИУ'!$G$2:$G$2000,"Да"))</x:f>
      </x:c>
      <x:c r="O19" s="238" t="str">
        <x:f>IF(COUNTA(K19:L19)=0,"",N(L19)+N(N19))</x:f>
      </x:c>
      <x:c r="P19" s="252" t="str">
        <x:f>IF(COUNTA(K19:L19)=0,"",N(K19)-N(O19))</x:f>
      </x:c>
      <x:c r="Q19" s="260" t="str">
        <x:f>IF(COUNTA(K19:L19)=0,"",IF(ABS(P19)&lt;=0.01,IF(ABS(N19)&gt;0.01,"СОШЛОСЬ ПОСЛЕ КОРР.","СОШЛОСЬ"),IF(ABS(N19)&gt;0.01,"ЧАСТИЧНО","НЕОПРЕДЕЛЕНО")))</x:f>
      </x:c>
      <x:c r="R19" s="190"/>
      <x:c r="S19" s="202"/>
      <x:c r="T19" s="214" t="str">
        <x:f>IF(COUNTA(R19:S19)=0,"",N(R19)-N(S19))</x:f>
      </x:c>
      <x:c r="U19" s="226" t="str">
        <x:f>IF(COUNTA(R19:S19)=0,"",SUMIFS('04_Влияние_ОПИУ'!$F$2:$F$2000,'04_Влияние_ОПИУ'!$B$2:$B$2000,"2025-03",'04_Влияние_ОПИУ'!$C$2:$C$2000,$A19,'04_Влияние_ОПИУ'!$G$2:$G$2000,"Да"))</x:f>
      </x:c>
      <x:c r="V19" s="238" t="str">
        <x:f>IF(COUNTA(R19:S19)=0,"",N(S19)+N(U19))</x:f>
      </x:c>
      <x:c r="W19" s="252" t="str">
        <x:f>IF(COUNTA(R19:S19)=0,"",N(R19)-N(V19))</x:f>
      </x:c>
      <x:c r="X19" s="260" t="str">
        <x:f>IF(COUNTA(R19:S19)=0,"",IF(ABS(W19)&lt;=0.01,IF(ABS(U19)&gt;0.01,"СОШЛОСЬ ПОСЛЕ КОРР.","СОШЛОСЬ"),IF(ABS(U19)&gt;0.01,"ЧАСТИЧНО","НЕОПРЕДЕЛЕНО")))</x:f>
      </x:c>
      <x:c r="Y19" s="190"/>
      <x:c r="Z19" s="202"/>
      <x:c r="AA19" s="214" t="str">
        <x:f>IF(COUNTA(Y19:Z19)=0,"",N(Y19)-N(Z19))</x:f>
      </x:c>
      <x:c r="AB19" s="226" t="str">
        <x:f>IF(COUNTA(Y19:Z19)=0,"",SUMIFS('04_Влияние_ОПИУ'!$F$2:$F$2000,'04_Влияние_ОПИУ'!$B$2:$B$2000,"2025-04",'04_Влияние_ОПИУ'!$C$2:$C$2000,$A19,'04_Влияние_ОПИУ'!$G$2:$G$2000,"Да"))</x:f>
      </x:c>
      <x:c r="AC19" s="238" t="str">
        <x:f>IF(COUNTA(Y19:Z19)=0,"",N(Z19)+N(AB19))</x:f>
      </x:c>
      <x:c r="AD19" s="252" t="str">
        <x:f>IF(COUNTA(Y19:Z19)=0,"",N(Y19)-N(AC19))</x:f>
      </x:c>
      <x:c r="AE19" s="260" t="str">
        <x:f>IF(COUNTA(Y19:Z19)=0,"",IF(ABS(AD19)&lt;=0.01,IF(ABS(AB19)&gt;0.01,"СОШЛОСЬ ПОСЛЕ КОРР.","СОШЛОСЬ"),IF(ABS(AB19)&gt;0.01,"ЧАСТИЧНО","НЕОПРЕДЕЛЕНО")))</x:f>
      </x:c>
      <x:c r="AF19" s="190"/>
      <x:c r="AG19" s="202"/>
      <x:c r="AH19" s="214" t="str">
        <x:f>IF(COUNTA(AF19:AG19)=0,"",N(AF19)-N(AG19))</x:f>
      </x:c>
      <x:c r="AI19" s="226" t="str">
        <x:f>IF(COUNTA(AF19:AG19)=0,"",SUMIFS('04_Влияние_ОПИУ'!$F$2:$F$2000,'04_Влияние_ОПИУ'!$B$2:$B$2000,"2025-05",'04_Влияние_ОПИУ'!$C$2:$C$2000,$A19,'04_Влияние_ОПИУ'!$G$2:$G$2000,"Да"))</x:f>
      </x:c>
      <x:c r="AJ19" s="238" t="str">
        <x:f>IF(COUNTA(AF19:AG19)=0,"",N(AG19)+N(AI19))</x:f>
      </x:c>
      <x:c r="AK19" s="252" t="str">
        <x:f>IF(COUNTA(AF19:AG19)=0,"",N(AF19)-N(AJ19))</x:f>
      </x:c>
      <x:c r="AL19" s="260" t="str">
        <x:f>IF(COUNTA(AF19:AG19)=0,"",IF(ABS(AK19)&lt;=0.01,IF(ABS(AI19)&gt;0.01,"СОШЛОСЬ ПОСЛЕ КОРР.","СОШЛОСЬ"),IF(ABS(AI19)&gt;0.01,"ЧАСТИЧНО","НЕОПРЕДЕЛЕНО")))</x:f>
      </x:c>
      <x:c r="AM19" s="190"/>
      <x:c r="AN19" s="202"/>
      <x:c r="AO19" s="214" t="str">
        <x:f>IF(COUNTA(AM19:AN19)=0,"",N(AM19)-N(AN19))</x:f>
      </x:c>
      <x:c r="AP19" s="226" t="str">
        <x:f>IF(COUNTA(AM19:AN19)=0,"",SUMIFS('04_Влияние_ОПИУ'!$F$2:$F$2000,'04_Влияние_ОПИУ'!$B$2:$B$2000,"2025-06",'04_Влияние_ОПИУ'!$C$2:$C$2000,$A19,'04_Влияние_ОПИУ'!$G$2:$G$2000,"Да"))</x:f>
      </x:c>
      <x:c r="AQ19" s="238" t="str">
        <x:f>IF(COUNTA(AM19:AN19)=0,"",N(AN19)+N(AP19))</x:f>
      </x:c>
      <x:c r="AR19" s="252" t="str">
        <x:f>IF(COUNTA(AM19:AN19)=0,"",N(AM19)-N(AQ19))</x:f>
      </x:c>
      <x:c r="AS19" s="260" t="str">
        <x:f>IF(COUNTA(AM19:AN19)=0,"",IF(ABS(AR19)&lt;=0.01,IF(ABS(AP19)&gt;0.01,"СОШЛОСЬ ПОСЛЕ КОРР.","СОШЛОСЬ"),IF(ABS(AP19)&gt;0.01,"ЧАСТИЧНО","НЕОПРЕДЕЛЕНО")))</x:f>
      </x:c>
      <x:c r="AT19" s="190"/>
      <x:c r="AU19" s="202"/>
      <x:c r="AV19" s="214" t="str">
        <x:f>IF(COUNTA(AT19:AU19)=0,"",N(AT19)-N(AU19))</x:f>
      </x:c>
      <x:c r="AW19" s="226" t="str">
        <x:f>IF(COUNTA(AT19:AU19)=0,"",SUMIFS('04_Влияние_ОПИУ'!$F$2:$F$2000,'04_Влияние_ОПИУ'!$B$2:$B$2000,"2025-07",'04_Влияние_ОПИУ'!$C$2:$C$2000,$A19,'04_Влияние_ОПИУ'!$G$2:$G$2000,"Да"))</x:f>
      </x:c>
      <x:c r="AX19" s="238" t="str">
        <x:f>IF(COUNTA(AT19:AU19)=0,"",N(AU19)+N(AW19))</x:f>
      </x:c>
      <x:c r="AY19" s="252" t="str">
        <x:f>IF(COUNTA(AT19:AU19)=0,"",N(AT19)-N(AX19))</x:f>
      </x:c>
      <x:c r="AZ19" s="260" t="str">
        <x:f>IF(COUNTA(AT19:AU19)=0,"",IF(ABS(AY19)&lt;=0.01,IF(ABS(AW19)&gt;0.01,"СОШЛОСЬ ПОСЛЕ КОРР.","СОШЛОСЬ"),IF(ABS(AW19)&gt;0.01,"ЧАСТИЧНО","НЕОПРЕДЕЛЕНО")))</x:f>
      </x:c>
      <x:c r="BA19" s="190"/>
      <x:c r="BB19" s="202"/>
      <x:c r="BC19" s="214" t="str">
        <x:f>IF(COUNTA(BA19:BB19)=0,"",N(BA19)-N(BB19))</x:f>
      </x:c>
      <x:c r="BD19" s="226" t="str">
        <x:f>IF(COUNTA(BA19:BB19)=0,"",SUMIFS('04_Влияние_ОПИУ'!$F$2:$F$2000,'04_Влияние_ОПИУ'!$B$2:$B$2000,"2025-08",'04_Влияние_ОПИУ'!$C$2:$C$2000,$A19,'04_Влияние_ОПИУ'!$G$2:$G$2000,"Да"))</x:f>
      </x:c>
      <x:c r="BE19" s="238" t="str">
        <x:f>IF(COUNTA(BA19:BB19)=0,"",N(BB19)+N(BD19))</x:f>
      </x:c>
      <x:c r="BF19" s="252" t="str">
        <x:f>IF(COUNTA(BA19:BB19)=0,"",N(BA19)-N(BE19))</x:f>
      </x:c>
      <x:c r="BG19" s="260" t="str">
        <x:f>IF(COUNTA(BA19:BB19)=0,"",IF(ABS(BF19)&lt;=0.01,IF(ABS(BD19)&gt;0.01,"СОШЛОСЬ ПОСЛЕ КОРР.","СОШЛОСЬ"),IF(ABS(BD19)&gt;0.01,"ЧАСТИЧНО","НЕОПРЕДЕЛЕНО")))</x:f>
      </x:c>
      <x:c r="BH19" s="190"/>
      <x:c r="BI19" s="202"/>
      <x:c r="BJ19" s="214" t="str">
        <x:f>IF(COUNTA(BH19:BI19)=0,"",N(BH19)-N(BI19))</x:f>
      </x:c>
      <x:c r="BK19" s="226" t="str">
        <x:f>IF(COUNTA(BH19:BI19)=0,"",SUMIFS('04_Влияние_ОПИУ'!$F$2:$F$2000,'04_Влияние_ОПИУ'!$B$2:$B$2000,"2025-09",'04_Влияние_ОПИУ'!$C$2:$C$2000,$A19,'04_Влияние_ОПИУ'!$G$2:$G$2000,"Да"))</x:f>
      </x:c>
      <x:c r="BL19" s="238" t="str">
        <x:f>IF(COUNTA(BH19:BI19)=0,"",N(BI19)+N(BK19))</x:f>
      </x:c>
      <x:c r="BM19" s="252" t="str">
        <x:f>IF(COUNTA(BH19:BI19)=0,"",N(BH19)-N(BL19))</x:f>
      </x:c>
      <x:c r="BN19" s="260" t="str">
        <x:f>IF(COUNTA(BH19:BI19)=0,"",IF(ABS(BM19)&lt;=0.01,IF(ABS(BK19)&gt;0.01,"СОШЛОСЬ ПОСЛЕ КОРР.","СОШЛОСЬ"),IF(ABS(BK19)&gt;0.01,"ЧАСТИЧНО","НЕОПРЕДЕЛЕНО")))</x:f>
      </x:c>
      <x:c r="BO19" s="190"/>
      <x:c r="BP19" s="202"/>
      <x:c r="BQ19" s="214" t="str">
        <x:f>IF(COUNTA(BO19:BP19)=0,"",N(BO19)-N(BP19))</x:f>
      </x:c>
      <x:c r="BR19" s="226" t="str">
        <x:f>IF(COUNTA(BO19:BP19)=0,"",SUMIFS('04_Влияние_ОПИУ'!$F$2:$F$2000,'04_Влияние_ОПИУ'!$B$2:$B$2000,"2025-10",'04_Влияние_ОПИУ'!$C$2:$C$2000,$A19,'04_Влияние_ОПИУ'!$G$2:$G$2000,"Да"))</x:f>
      </x:c>
      <x:c r="BS19" s="238" t="str">
        <x:f>IF(COUNTA(BO19:BP19)=0,"",N(BP19)+N(BR19))</x:f>
      </x:c>
      <x:c r="BT19" s="252" t="str">
        <x:f>IF(COUNTA(BO19:BP19)=0,"",N(BO19)-N(BS19))</x:f>
      </x:c>
      <x:c r="BU19" s="260" t="str">
        <x:f>IF(COUNTA(BO19:BP19)=0,"",IF(ABS(BT19)&lt;=0.01,IF(ABS(BR19)&gt;0.01,"СОШЛОСЬ ПОСЛЕ КОРР.","СОШЛОСЬ"),IF(ABS(BR19)&gt;0.01,"ЧАСТИЧНО","НЕОПРЕДЕЛЕНО")))</x:f>
      </x:c>
      <x:c r="BV19" s="190"/>
      <x:c r="BW19" s="202"/>
      <x:c r="BX19" s="214" t="str">
        <x:f>IF(COUNTA(BV19:BW19)=0,"",N(BV19)-N(BW19))</x:f>
      </x:c>
      <x:c r="BY19" s="226" t="str">
        <x:f>IF(COUNTA(BV19:BW19)=0,"",SUMIFS('04_Влияние_ОПИУ'!$F$2:$F$2000,'04_Влияние_ОПИУ'!$B$2:$B$2000,"2025-11",'04_Влияние_ОПИУ'!$C$2:$C$2000,$A19,'04_Влияние_ОПИУ'!$G$2:$G$2000,"Да"))</x:f>
      </x:c>
      <x:c r="BZ19" s="238" t="str">
        <x:f>IF(COUNTA(BV19:BW19)=0,"",N(BW19)+N(BY19))</x:f>
      </x:c>
      <x:c r="CA19" s="252" t="str">
        <x:f>IF(COUNTA(BV19:BW19)=0,"",N(BV19)-N(BZ19))</x:f>
      </x:c>
      <x:c r="CB19" s="260" t="str">
        <x:f>IF(COUNTA(BV19:BW19)=0,"",IF(ABS(CA19)&lt;=0.01,IF(ABS(BY19)&gt;0.01,"СОШЛОСЬ ПОСЛЕ КОРР.","СОШЛОСЬ"),IF(ABS(BY19)&gt;0.01,"ЧАСТИЧНО","НЕОПРЕДЕЛЕНО")))</x:f>
      </x:c>
      <x:c r="CC19" s="190"/>
      <x:c r="CD19" s="202"/>
      <x:c r="CE19" s="214" t="str">
        <x:f>IF(COUNTA(CC19:CD19)=0,"",N(CC19)-N(CD19))</x:f>
      </x:c>
      <x:c r="CF19" s="226" t="str">
        <x:f>IF(COUNTA(CC19:CD19)=0,"",SUMIFS('04_Влияние_ОПИУ'!$F$2:$F$2000,'04_Влияние_ОПИУ'!$B$2:$B$2000,"2025-12",'04_Влияние_ОПИУ'!$C$2:$C$2000,$A19,'04_Влияние_ОПИУ'!$G$2:$G$2000,"Да"))</x:f>
      </x:c>
      <x:c r="CG19" s="238" t="str">
        <x:f>IF(COUNTA(CC19:CD19)=0,"",N(CD19)+N(CF19))</x:f>
      </x:c>
      <x:c r="CH19" s="252" t="str">
        <x:f>IF(COUNTA(CC19:CD19)=0,"",N(CC19)-N(CG19))</x:f>
      </x:c>
      <x:c r="CI19" s="260" t="str">
        <x:f>IF(COUNTA(CC19:CD19)=0,"",IF(ABS(CH19)&lt;=0.01,IF(ABS(CF19)&gt;0.01,"СОШЛОСЬ ПОСЛЕ КОРР.","СОШЛОСЬ"),IF(ABS(CF19)&gt;0.01,"ЧАСТИЧНО","НЕОПРЕДЕЛЕНО")))</x:f>
      </x:c>
    </x:row>
    <x:row r="20">
      <x:c r="A20" s="166" t="str">
        <x:v>R015</x:v>
      </x:c>
      <x:c r="B20" s="166" t="str">
        <x:v>        ПО рабочее для функций (ЭДО и т.д.)</x:v>
      </x:c>
      <x:c r="C20" s="170" t="str">
        <x:v>        ПО рабочее для функций (ЭДО и т.д.)</x:v>
      </x:c>
      <x:c r="D20" s="190"/>
      <x:c r="E20" s="202"/>
      <x:c r="F20" s="214" t="str">
        <x:f>IF(COUNTA(D20:E20)=0,"",N(D20)-N(E20))</x:f>
      </x:c>
      <x:c r="G20" s="226" t="str">
        <x:f>IF(COUNTA(D20:E20)=0,"",SUMIFS('04_Влияние_ОПИУ'!$F$2:$F$2000,'04_Влияние_ОПИУ'!$B$2:$B$2000,"2025-01",'04_Влияние_ОПИУ'!$C$2:$C$2000,$A20,'04_Влияние_ОПИУ'!$G$2:$G$2000,"Да"))</x:f>
      </x:c>
      <x:c r="H20" s="238" t="str">
        <x:f>IF(COUNTA(D20:E20)=0,"",N(E20)+N(G20))</x:f>
      </x:c>
      <x:c r="I20" s="252" t="str">
        <x:f>IF(COUNTA(D20:E20)=0,"",N(D20)-N(H20))</x:f>
      </x:c>
      <x:c r="J20" s="260" t="str">
        <x:f>IF(COUNTA(D20:E20)=0,"",IF(ABS(I20)&lt;=0.01,IF(ABS(G20)&gt;0.01,"СОШЛОСЬ ПОСЛЕ КОРР.","СОШЛОСЬ"),IF(ABS(G20)&gt;0.01,"ЧАСТИЧНО","НЕОПРЕДЕЛЕНО")))</x:f>
      </x:c>
      <x:c r="K20" s="190"/>
      <x:c r="L20" s="202"/>
      <x:c r="M20" s="214" t="str">
        <x:f>IF(COUNTA(K20:L20)=0,"",N(K20)-N(L20))</x:f>
      </x:c>
      <x:c r="N20" s="226" t="str">
        <x:f>IF(COUNTA(K20:L20)=0,"",SUMIFS('04_Влияние_ОПИУ'!$F$2:$F$2000,'04_Влияние_ОПИУ'!$B$2:$B$2000,"2025-02",'04_Влияние_ОПИУ'!$C$2:$C$2000,$A20,'04_Влияние_ОПИУ'!$G$2:$G$2000,"Да"))</x:f>
      </x:c>
      <x:c r="O20" s="238" t="str">
        <x:f>IF(COUNTA(K20:L20)=0,"",N(L20)+N(N20))</x:f>
      </x:c>
      <x:c r="P20" s="252" t="str">
        <x:f>IF(COUNTA(K20:L20)=0,"",N(K20)-N(O20))</x:f>
      </x:c>
      <x:c r="Q20" s="260" t="str">
        <x:f>IF(COUNTA(K20:L20)=0,"",IF(ABS(P20)&lt;=0.01,IF(ABS(N20)&gt;0.01,"СОШЛОСЬ ПОСЛЕ КОРР.","СОШЛОСЬ"),IF(ABS(N20)&gt;0.01,"ЧАСТИЧНО","НЕОПРЕДЕЛЕНО")))</x:f>
      </x:c>
      <x:c r="R20" s="190"/>
      <x:c r="S20" s="202"/>
      <x:c r="T20" s="214" t="str">
        <x:f>IF(COUNTA(R20:S20)=0,"",N(R20)-N(S20))</x:f>
      </x:c>
      <x:c r="U20" s="226" t="str">
        <x:f>IF(COUNTA(R20:S20)=0,"",SUMIFS('04_Влияние_ОПИУ'!$F$2:$F$2000,'04_Влияние_ОПИУ'!$B$2:$B$2000,"2025-03",'04_Влияние_ОПИУ'!$C$2:$C$2000,$A20,'04_Влияние_ОПИУ'!$G$2:$G$2000,"Да"))</x:f>
      </x:c>
      <x:c r="V20" s="238" t="str">
        <x:f>IF(COUNTA(R20:S20)=0,"",N(S20)+N(U20))</x:f>
      </x:c>
      <x:c r="W20" s="252" t="str">
        <x:f>IF(COUNTA(R20:S20)=0,"",N(R20)-N(V20))</x:f>
      </x:c>
      <x:c r="X20" s="260" t="str">
        <x:f>IF(COUNTA(R20:S20)=0,"",IF(ABS(W20)&lt;=0.01,IF(ABS(U20)&gt;0.01,"СОШЛОСЬ ПОСЛЕ КОРР.","СОШЛОСЬ"),IF(ABS(U20)&gt;0.01,"ЧАСТИЧНО","НЕОПРЕДЕЛЕНО")))</x:f>
      </x:c>
      <x:c r="Y20" s="190"/>
      <x:c r="Z20" s="202"/>
      <x:c r="AA20" s="214" t="str">
        <x:f>IF(COUNTA(Y20:Z20)=0,"",N(Y20)-N(Z20))</x:f>
      </x:c>
      <x:c r="AB20" s="226" t="str">
        <x:f>IF(COUNTA(Y20:Z20)=0,"",SUMIFS('04_Влияние_ОПИУ'!$F$2:$F$2000,'04_Влияние_ОПИУ'!$B$2:$B$2000,"2025-04",'04_Влияние_ОПИУ'!$C$2:$C$2000,$A20,'04_Влияние_ОПИУ'!$G$2:$G$2000,"Да"))</x:f>
      </x:c>
      <x:c r="AC20" s="238" t="str">
        <x:f>IF(COUNTA(Y20:Z20)=0,"",N(Z20)+N(AB20))</x:f>
      </x:c>
      <x:c r="AD20" s="252" t="str">
        <x:f>IF(COUNTA(Y20:Z20)=0,"",N(Y20)-N(AC20))</x:f>
      </x:c>
      <x:c r="AE20" s="260" t="str">
        <x:f>IF(COUNTA(Y20:Z20)=0,"",IF(ABS(AD20)&lt;=0.01,IF(ABS(AB20)&gt;0.01,"СОШЛОСЬ ПОСЛЕ КОРР.","СОШЛОСЬ"),IF(ABS(AB20)&gt;0.01,"ЧАСТИЧНО","НЕОПРЕДЕЛЕНО")))</x:f>
      </x:c>
      <x:c r="AF20" s="190"/>
      <x:c r="AG20" s="202"/>
      <x:c r="AH20" s="214" t="str">
        <x:f>IF(COUNTA(AF20:AG20)=0,"",N(AF20)-N(AG20))</x:f>
      </x:c>
      <x:c r="AI20" s="226" t="str">
        <x:f>IF(COUNTA(AF20:AG20)=0,"",SUMIFS('04_Влияние_ОПИУ'!$F$2:$F$2000,'04_Влияние_ОПИУ'!$B$2:$B$2000,"2025-05",'04_Влияние_ОПИУ'!$C$2:$C$2000,$A20,'04_Влияние_ОПИУ'!$G$2:$G$2000,"Да"))</x:f>
      </x:c>
      <x:c r="AJ20" s="238" t="str">
        <x:f>IF(COUNTA(AF20:AG20)=0,"",N(AG20)+N(AI20))</x:f>
      </x:c>
      <x:c r="AK20" s="252" t="str">
        <x:f>IF(COUNTA(AF20:AG20)=0,"",N(AF20)-N(AJ20))</x:f>
      </x:c>
      <x:c r="AL20" s="260" t="str">
        <x:f>IF(COUNTA(AF20:AG20)=0,"",IF(ABS(AK20)&lt;=0.01,IF(ABS(AI20)&gt;0.01,"СОШЛОСЬ ПОСЛЕ КОРР.","СОШЛОСЬ"),IF(ABS(AI20)&gt;0.01,"ЧАСТИЧНО","НЕОПРЕДЕЛЕНО")))</x:f>
      </x:c>
      <x:c r="AM20" s="190"/>
      <x:c r="AN20" s="202"/>
      <x:c r="AO20" s="214" t="str">
        <x:f>IF(COUNTA(AM20:AN20)=0,"",N(AM20)-N(AN20))</x:f>
      </x:c>
      <x:c r="AP20" s="226" t="str">
        <x:f>IF(COUNTA(AM20:AN20)=0,"",SUMIFS('04_Влияние_ОПИУ'!$F$2:$F$2000,'04_Влияние_ОПИУ'!$B$2:$B$2000,"2025-06",'04_Влияние_ОПИУ'!$C$2:$C$2000,$A20,'04_Влияние_ОПИУ'!$G$2:$G$2000,"Да"))</x:f>
      </x:c>
      <x:c r="AQ20" s="238" t="str">
        <x:f>IF(COUNTA(AM20:AN20)=0,"",N(AN20)+N(AP20))</x:f>
      </x:c>
      <x:c r="AR20" s="252" t="str">
        <x:f>IF(COUNTA(AM20:AN20)=0,"",N(AM20)-N(AQ20))</x:f>
      </x:c>
      <x:c r="AS20" s="260" t="str">
        <x:f>IF(COUNTA(AM20:AN20)=0,"",IF(ABS(AR20)&lt;=0.01,IF(ABS(AP20)&gt;0.01,"СОШЛОСЬ ПОСЛЕ КОРР.","СОШЛОСЬ"),IF(ABS(AP20)&gt;0.01,"ЧАСТИЧНО","НЕОПРЕДЕЛЕНО")))</x:f>
      </x:c>
      <x:c r="AT20" s="190"/>
      <x:c r="AU20" s="202"/>
      <x:c r="AV20" s="214" t="str">
        <x:f>IF(COUNTA(AT20:AU20)=0,"",N(AT20)-N(AU20))</x:f>
      </x:c>
      <x:c r="AW20" s="226" t="str">
        <x:f>IF(COUNTA(AT20:AU20)=0,"",SUMIFS('04_Влияние_ОПИУ'!$F$2:$F$2000,'04_Влияние_ОПИУ'!$B$2:$B$2000,"2025-07",'04_Влияние_ОПИУ'!$C$2:$C$2000,$A20,'04_Влияние_ОПИУ'!$G$2:$G$2000,"Да"))</x:f>
      </x:c>
      <x:c r="AX20" s="238" t="str">
        <x:f>IF(COUNTA(AT20:AU20)=0,"",N(AU20)+N(AW20))</x:f>
      </x:c>
      <x:c r="AY20" s="252" t="str">
        <x:f>IF(COUNTA(AT20:AU20)=0,"",N(AT20)-N(AX20))</x:f>
      </x:c>
      <x:c r="AZ20" s="260" t="str">
        <x:f>IF(COUNTA(AT20:AU20)=0,"",IF(ABS(AY20)&lt;=0.01,IF(ABS(AW20)&gt;0.01,"СОШЛОСЬ ПОСЛЕ КОРР.","СОШЛОСЬ"),IF(ABS(AW20)&gt;0.01,"ЧАСТИЧНО","НЕОПРЕДЕЛЕНО")))</x:f>
      </x:c>
      <x:c r="BA20" s="190"/>
      <x:c r="BB20" s="202"/>
      <x:c r="BC20" s="214" t="str">
        <x:f>IF(COUNTA(BA20:BB20)=0,"",N(BA20)-N(BB20))</x:f>
      </x:c>
      <x:c r="BD20" s="226" t="str">
        <x:f>IF(COUNTA(BA20:BB20)=0,"",SUMIFS('04_Влияние_ОПИУ'!$F$2:$F$2000,'04_Влияние_ОПИУ'!$B$2:$B$2000,"2025-08",'04_Влияние_ОПИУ'!$C$2:$C$2000,$A20,'04_Влияние_ОПИУ'!$G$2:$G$2000,"Да"))</x:f>
      </x:c>
      <x:c r="BE20" s="238" t="str">
        <x:f>IF(COUNTA(BA20:BB20)=0,"",N(BB20)+N(BD20))</x:f>
      </x:c>
      <x:c r="BF20" s="252" t="str">
        <x:f>IF(COUNTA(BA20:BB20)=0,"",N(BA20)-N(BE20))</x:f>
      </x:c>
      <x:c r="BG20" s="260" t="str">
        <x:f>IF(COUNTA(BA20:BB20)=0,"",IF(ABS(BF20)&lt;=0.01,IF(ABS(BD20)&gt;0.01,"СОШЛОСЬ ПОСЛЕ КОРР.","СОШЛОСЬ"),IF(ABS(BD20)&gt;0.01,"ЧАСТИЧНО","НЕОПРЕДЕЛЕНО")))</x:f>
      </x:c>
      <x:c r="BH20" s="190"/>
      <x:c r="BI20" s="202"/>
      <x:c r="BJ20" s="214" t="str">
        <x:f>IF(COUNTA(BH20:BI20)=0,"",N(BH20)-N(BI20))</x:f>
      </x:c>
      <x:c r="BK20" s="226" t="str">
        <x:f>IF(COUNTA(BH20:BI20)=0,"",SUMIFS('04_Влияние_ОПИУ'!$F$2:$F$2000,'04_Влияние_ОПИУ'!$B$2:$B$2000,"2025-09",'04_Влияние_ОПИУ'!$C$2:$C$2000,$A20,'04_Влияние_ОПИУ'!$G$2:$G$2000,"Да"))</x:f>
      </x:c>
      <x:c r="BL20" s="238" t="str">
        <x:f>IF(COUNTA(BH20:BI20)=0,"",N(BI20)+N(BK20))</x:f>
      </x:c>
      <x:c r="BM20" s="252" t="str">
        <x:f>IF(COUNTA(BH20:BI20)=0,"",N(BH20)-N(BL20))</x:f>
      </x:c>
      <x:c r="BN20" s="260" t="str">
        <x:f>IF(COUNTA(BH20:BI20)=0,"",IF(ABS(BM20)&lt;=0.01,IF(ABS(BK20)&gt;0.01,"СОШЛОСЬ ПОСЛЕ КОРР.","СОШЛОСЬ"),IF(ABS(BK20)&gt;0.01,"ЧАСТИЧНО","НЕОПРЕДЕЛЕНО")))</x:f>
      </x:c>
      <x:c r="BO20" s="190"/>
      <x:c r="BP20" s="202"/>
      <x:c r="BQ20" s="214" t="str">
        <x:f>IF(COUNTA(BO20:BP20)=0,"",N(BO20)-N(BP20))</x:f>
      </x:c>
      <x:c r="BR20" s="226" t="str">
        <x:f>IF(COUNTA(BO20:BP20)=0,"",SUMIFS('04_Влияние_ОПИУ'!$F$2:$F$2000,'04_Влияние_ОПИУ'!$B$2:$B$2000,"2025-10",'04_Влияние_ОПИУ'!$C$2:$C$2000,$A20,'04_Влияние_ОПИУ'!$G$2:$G$2000,"Да"))</x:f>
      </x:c>
      <x:c r="BS20" s="238" t="str">
        <x:f>IF(COUNTA(BO20:BP20)=0,"",N(BP20)+N(BR20))</x:f>
      </x:c>
      <x:c r="BT20" s="252" t="str">
        <x:f>IF(COUNTA(BO20:BP20)=0,"",N(BO20)-N(BS20))</x:f>
      </x:c>
      <x:c r="BU20" s="260" t="str">
        <x:f>IF(COUNTA(BO20:BP20)=0,"",IF(ABS(BT20)&lt;=0.01,IF(ABS(BR20)&gt;0.01,"СОШЛОСЬ ПОСЛЕ КОРР.","СОШЛОСЬ"),IF(ABS(BR20)&gt;0.01,"ЧАСТИЧНО","НЕОПРЕДЕЛЕНО")))</x:f>
      </x:c>
      <x:c r="BV20" s="190"/>
      <x:c r="BW20" s="202"/>
      <x:c r="BX20" s="214" t="str">
        <x:f>IF(COUNTA(BV20:BW20)=0,"",N(BV20)-N(BW20))</x:f>
      </x:c>
      <x:c r="BY20" s="226" t="str">
        <x:f>IF(COUNTA(BV20:BW20)=0,"",SUMIFS('04_Влияние_ОПИУ'!$F$2:$F$2000,'04_Влияние_ОПИУ'!$B$2:$B$2000,"2025-11",'04_Влияние_ОПИУ'!$C$2:$C$2000,$A20,'04_Влияние_ОПИУ'!$G$2:$G$2000,"Да"))</x:f>
      </x:c>
      <x:c r="BZ20" s="238" t="str">
        <x:f>IF(COUNTA(BV20:BW20)=0,"",N(BW20)+N(BY20))</x:f>
      </x:c>
      <x:c r="CA20" s="252" t="str">
        <x:f>IF(COUNTA(BV20:BW20)=0,"",N(BV20)-N(BZ20))</x:f>
      </x:c>
      <x:c r="CB20" s="260" t="str">
        <x:f>IF(COUNTA(BV20:BW20)=0,"",IF(ABS(CA20)&lt;=0.01,IF(ABS(BY20)&gt;0.01,"СОШЛОСЬ ПОСЛЕ КОРР.","СОШЛОСЬ"),IF(ABS(BY20)&gt;0.01,"ЧАСТИЧНО","НЕОПРЕДЕЛЕНО")))</x:f>
      </x:c>
      <x:c r="CC20" s="190"/>
      <x:c r="CD20" s="202"/>
      <x:c r="CE20" s="214" t="str">
        <x:f>IF(COUNTA(CC20:CD20)=0,"",N(CC20)-N(CD20))</x:f>
      </x:c>
      <x:c r="CF20" s="226" t="str">
        <x:f>IF(COUNTA(CC20:CD20)=0,"",SUMIFS('04_Влияние_ОПИУ'!$F$2:$F$2000,'04_Влияние_ОПИУ'!$B$2:$B$2000,"2025-12",'04_Влияние_ОПИУ'!$C$2:$C$2000,$A20,'04_Влияние_ОПИУ'!$G$2:$G$2000,"Да"))</x:f>
      </x:c>
      <x:c r="CG20" s="238" t="str">
        <x:f>IF(COUNTA(CC20:CD20)=0,"",N(CD20)+N(CF20))</x:f>
      </x:c>
      <x:c r="CH20" s="252" t="str">
        <x:f>IF(COUNTA(CC20:CD20)=0,"",N(CC20)-N(CG20))</x:f>
      </x:c>
      <x:c r="CI20" s="260" t="str">
        <x:f>IF(COUNTA(CC20:CD20)=0,"",IF(ABS(CH20)&lt;=0.01,IF(ABS(CF20)&gt;0.01,"СОШЛОСЬ ПОСЛЕ КОРР.","СОШЛОСЬ"),IF(ABS(CF20)&gt;0.01,"ЧАСТИЧНО","НЕОПРЕДЕЛЕНО")))</x:f>
      </x:c>
    </x:row>
    <x:row r="21">
      <x:c r="A21" s="166" t="str">
        <x:v>R016</x:v>
      </x:c>
      <x:c r="B21" s="166" t="str">
        <x:v>        Почтовые расходы</x:v>
      </x:c>
      <x:c r="C21" s="170" t="str">
        <x:v>        Почтовые расходы</x:v>
      </x:c>
      <x:c r="D21" s="190"/>
      <x:c r="E21" s="202"/>
      <x:c r="F21" s="214" t="str">
        <x:f>IF(COUNTA(D21:E21)=0,"",N(D21)-N(E21))</x:f>
      </x:c>
      <x:c r="G21" s="226" t="str">
        <x:f>IF(COUNTA(D21:E21)=0,"",SUMIFS('04_Влияние_ОПИУ'!$F$2:$F$2000,'04_Влияние_ОПИУ'!$B$2:$B$2000,"2025-01",'04_Влияние_ОПИУ'!$C$2:$C$2000,$A21,'04_Влияние_ОПИУ'!$G$2:$G$2000,"Да"))</x:f>
      </x:c>
      <x:c r="H21" s="238" t="str">
        <x:f>IF(COUNTA(D21:E21)=0,"",N(E21)+N(G21))</x:f>
      </x:c>
      <x:c r="I21" s="252" t="str">
        <x:f>IF(COUNTA(D21:E21)=0,"",N(D21)-N(H21))</x:f>
      </x:c>
      <x:c r="J21" s="260" t="str">
        <x:f>IF(COUNTA(D21:E21)=0,"",IF(ABS(I21)&lt;=0.01,IF(ABS(G21)&gt;0.01,"СОШЛОСЬ ПОСЛЕ КОРР.","СОШЛОСЬ"),IF(ABS(G21)&gt;0.01,"ЧАСТИЧНО","НЕОПРЕДЕЛЕНО")))</x:f>
      </x:c>
      <x:c r="K21" s="190"/>
      <x:c r="L21" s="202"/>
      <x:c r="M21" s="214" t="str">
        <x:f>IF(COUNTA(K21:L21)=0,"",N(K21)-N(L21))</x:f>
      </x:c>
      <x:c r="N21" s="226" t="str">
        <x:f>IF(COUNTA(K21:L21)=0,"",SUMIFS('04_Влияние_ОПИУ'!$F$2:$F$2000,'04_Влияние_ОПИУ'!$B$2:$B$2000,"2025-02",'04_Влияние_ОПИУ'!$C$2:$C$2000,$A21,'04_Влияние_ОПИУ'!$G$2:$G$2000,"Да"))</x:f>
      </x:c>
      <x:c r="O21" s="238" t="str">
        <x:f>IF(COUNTA(K21:L21)=0,"",N(L21)+N(N21))</x:f>
      </x:c>
      <x:c r="P21" s="252" t="str">
        <x:f>IF(COUNTA(K21:L21)=0,"",N(K21)-N(O21))</x:f>
      </x:c>
      <x:c r="Q21" s="260" t="str">
        <x:f>IF(COUNTA(K21:L21)=0,"",IF(ABS(P21)&lt;=0.01,IF(ABS(N21)&gt;0.01,"СОШЛОСЬ ПОСЛЕ КОРР.","СОШЛОСЬ"),IF(ABS(N21)&gt;0.01,"ЧАСТИЧНО","НЕОПРЕДЕЛЕНО")))</x:f>
      </x:c>
      <x:c r="R21" s="190"/>
      <x:c r="S21" s="202"/>
      <x:c r="T21" s="214" t="str">
        <x:f>IF(COUNTA(R21:S21)=0,"",N(R21)-N(S21))</x:f>
      </x:c>
      <x:c r="U21" s="226" t="str">
        <x:f>IF(COUNTA(R21:S21)=0,"",SUMIFS('04_Влияние_ОПИУ'!$F$2:$F$2000,'04_Влияние_ОПИУ'!$B$2:$B$2000,"2025-03",'04_Влияние_ОПИУ'!$C$2:$C$2000,$A21,'04_Влияние_ОПИУ'!$G$2:$G$2000,"Да"))</x:f>
      </x:c>
      <x:c r="V21" s="238" t="str">
        <x:f>IF(COUNTA(R21:S21)=0,"",N(S21)+N(U21))</x:f>
      </x:c>
      <x:c r="W21" s="252" t="str">
        <x:f>IF(COUNTA(R21:S21)=0,"",N(R21)-N(V21))</x:f>
      </x:c>
      <x:c r="X21" s="260" t="str">
        <x:f>IF(COUNTA(R21:S21)=0,"",IF(ABS(W21)&lt;=0.01,IF(ABS(U21)&gt;0.01,"СОШЛОСЬ ПОСЛЕ КОРР.","СОШЛОСЬ"),IF(ABS(U21)&gt;0.01,"ЧАСТИЧНО","НЕОПРЕДЕЛЕНО")))</x:f>
      </x:c>
      <x:c r="Y21" s="190"/>
      <x:c r="Z21" s="202"/>
      <x:c r="AA21" s="214" t="str">
        <x:f>IF(COUNTA(Y21:Z21)=0,"",N(Y21)-N(Z21))</x:f>
      </x:c>
      <x:c r="AB21" s="226" t="str">
        <x:f>IF(COUNTA(Y21:Z21)=0,"",SUMIFS('04_Влияние_ОПИУ'!$F$2:$F$2000,'04_Влияние_ОПИУ'!$B$2:$B$2000,"2025-04",'04_Влияние_ОПИУ'!$C$2:$C$2000,$A21,'04_Влияние_ОПИУ'!$G$2:$G$2000,"Да"))</x:f>
      </x:c>
      <x:c r="AC21" s="238" t="str">
        <x:f>IF(COUNTA(Y21:Z21)=0,"",N(Z21)+N(AB21))</x:f>
      </x:c>
      <x:c r="AD21" s="252" t="str">
        <x:f>IF(COUNTA(Y21:Z21)=0,"",N(Y21)-N(AC21))</x:f>
      </x:c>
      <x:c r="AE21" s="260" t="str">
        <x:f>IF(COUNTA(Y21:Z21)=0,"",IF(ABS(AD21)&lt;=0.01,IF(ABS(AB21)&gt;0.01,"СОШЛОСЬ ПОСЛЕ КОРР.","СОШЛОСЬ"),IF(ABS(AB21)&gt;0.01,"ЧАСТИЧНО","НЕОПРЕДЕЛЕНО")))</x:f>
      </x:c>
      <x:c r="AF21" s="190"/>
      <x:c r="AG21" s="202"/>
      <x:c r="AH21" s="214" t="str">
        <x:f>IF(COUNTA(AF21:AG21)=0,"",N(AF21)-N(AG21))</x:f>
      </x:c>
      <x:c r="AI21" s="226" t="str">
        <x:f>IF(COUNTA(AF21:AG21)=0,"",SUMIFS('04_Влияние_ОПИУ'!$F$2:$F$2000,'04_Влияние_ОПИУ'!$B$2:$B$2000,"2025-05",'04_Влияние_ОПИУ'!$C$2:$C$2000,$A21,'04_Влияние_ОПИУ'!$G$2:$G$2000,"Да"))</x:f>
      </x:c>
      <x:c r="AJ21" s="238" t="str">
        <x:f>IF(COUNTA(AF21:AG21)=0,"",N(AG21)+N(AI21))</x:f>
      </x:c>
      <x:c r="AK21" s="252" t="str">
        <x:f>IF(COUNTA(AF21:AG21)=0,"",N(AF21)-N(AJ21))</x:f>
      </x:c>
      <x:c r="AL21" s="260" t="str">
        <x:f>IF(COUNTA(AF21:AG21)=0,"",IF(ABS(AK21)&lt;=0.01,IF(ABS(AI21)&gt;0.01,"СОШЛОСЬ ПОСЛЕ КОРР.","СОШЛОСЬ"),IF(ABS(AI21)&gt;0.01,"ЧАСТИЧНО","НЕОПРЕДЕЛЕНО")))</x:f>
      </x:c>
      <x:c r="AM21" s="190"/>
      <x:c r="AN21" s="202"/>
      <x:c r="AO21" s="214" t="str">
        <x:f>IF(COUNTA(AM21:AN21)=0,"",N(AM21)-N(AN21))</x:f>
      </x:c>
      <x:c r="AP21" s="226" t="str">
        <x:f>IF(COUNTA(AM21:AN21)=0,"",SUMIFS('04_Влияние_ОПИУ'!$F$2:$F$2000,'04_Влияние_ОПИУ'!$B$2:$B$2000,"2025-06",'04_Влияние_ОПИУ'!$C$2:$C$2000,$A21,'04_Влияние_ОПИУ'!$G$2:$G$2000,"Да"))</x:f>
      </x:c>
      <x:c r="AQ21" s="238" t="str">
        <x:f>IF(COUNTA(AM21:AN21)=0,"",N(AN21)+N(AP21))</x:f>
      </x:c>
      <x:c r="AR21" s="252" t="str">
        <x:f>IF(COUNTA(AM21:AN21)=0,"",N(AM21)-N(AQ21))</x:f>
      </x:c>
      <x:c r="AS21" s="260" t="str">
        <x:f>IF(COUNTA(AM21:AN21)=0,"",IF(ABS(AR21)&lt;=0.01,IF(ABS(AP21)&gt;0.01,"СОШЛОСЬ ПОСЛЕ КОРР.","СОШЛОСЬ"),IF(ABS(AP21)&gt;0.01,"ЧАСТИЧНО","НЕОПРЕДЕЛЕНО")))</x:f>
      </x:c>
      <x:c r="AT21" s="190"/>
      <x:c r="AU21" s="202"/>
      <x:c r="AV21" s="214" t="str">
        <x:f>IF(COUNTA(AT21:AU21)=0,"",N(AT21)-N(AU21))</x:f>
      </x:c>
      <x:c r="AW21" s="226" t="str">
        <x:f>IF(COUNTA(AT21:AU21)=0,"",SUMIFS('04_Влияние_ОПИУ'!$F$2:$F$2000,'04_Влияние_ОПИУ'!$B$2:$B$2000,"2025-07",'04_Влияние_ОПИУ'!$C$2:$C$2000,$A21,'04_Влияние_ОПИУ'!$G$2:$G$2000,"Да"))</x:f>
      </x:c>
      <x:c r="AX21" s="238" t="str">
        <x:f>IF(COUNTA(AT21:AU21)=0,"",N(AU21)+N(AW21))</x:f>
      </x:c>
      <x:c r="AY21" s="252" t="str">
        <x:f>IF(COUNTA(AT21:AU21)=0,"",N(AT21)-N(AX21))</x:f>
      </x:c>
      <x:c r="AZ21" s="260" t="str">
        <x:f>IF(COUNTA(AT21:AU21)=0,"",IF(ABS(AY21)&lt;=0.01,IF(ABS(AW21)&gt;0.01,"СОШЛОСЬ ПОСЛЕ КОРР.","СОШЛОСЬ"),IF(ABS(AW21)&gt;0.01,"ЧАСТИЧНО","НЕОПРЕДЕЛЕНО")))</x:f>
      </x:c>
      <x:c r="BA21" s="190"/>
      <x:c r="BB21" s="202"/>
      <x:c r="BC21" s="214" t="str">
        <x:f>IF(COUNTA(BA21:BB21)=0,"",N(BA21)-N(BB21))</x:f>
      </x:c>
      <x:c r="BD21" s="226" t="str">
        <x:f>IF(COUNTA(BA21:BB21)=0,"",SUMIFS('04_Влияние_ОПИУ'!$F$2:$F$2000,'04_Влияние_ОПИУ'!$B$2:$B$2000,"2025-08",'04_Влияние_ОПИУ'!$C$2:$C$2000,$A21,'04_Влияние_ОПИУ'!$G$2:$G$2000,"Да"))</x:f>
      </x:c>
      <x:c r="BE21" s="238" t="str">
        <x:f>IF(COUNTA(BA21:BB21)=0,"",N(BB21)+N(BD21))</x:f>
      </x:c>
      <x:c r="BF21" s="252" t="str">
        <x:f>IF(COUNTA(BA21:BB21)=0,"",N(BA21)-N(BE21))</x:f>
      </x:c>
      <x:c r="BG21" s="260" t="str">
        <x:f>IF(COUNTA(BA21:BB21)=0,"",IF(ABS(BF21)&lt;=0.01,IF(ABS(BD21)&gt;0.01,"СОШЛОСЬ ПОСЛЕ КОРР.","СОШЛОСЬ"),IF(ABS(BD21)&gt;0.01,"ЧАСТИЧНО","НЕОПРЕДЕЛЕНО")))</x:f>
      </x:c>
      <x:c r="BH21" s="190"/>
      <x:c r="BI21" s="202"/>
      <x:c r="BJ21" s="214" t="str">
        <x:f>IF(COUNTA(BH21:BI21)=0,"",N(BH21)-N(BI21))</x:f>
      </x:c>
      <x:c r="BK21" s="226" t="str">
        <x:f>IF(COUNTA(BH21:BI21)=0,"",SUMIFS('04_Влияние_ОПИУ'!$F$2:$F$2000,'04_Влияние_ОПИУ'!$B$2:$B$2000,"2025-09",'04_Влияние_ОПИУ'!$C$2:$C$2000,$A21,'04_Влияние_ОПИУ'!$G$2:$G$2000,"Да"))</x:f>
      </x:c>
      <x:c r="BL21" s="238" t="str">
        <x:f>IF(COUNTA(BH21:BI21)=0,"",N(BI21)+N(BK21))</x:f>
      </x:c>
      <x:c r="BM21" s="252" t="str">
        <x:f>IF(COUNTA(BH21:BI21)=0,"",N(BH21)-N(BL21))</x:f>
      </x:c>
      <x:c r="BN21" s="260" t="str">
        <x:f>IF(COUNTA(BH21:BI21)=0,"",IF(ABS(BM21)&lt;=0.01,IF(ABS(BK21)&gt;0.01,"СОШЛОСЬ ПОСЛЕ КОРР.","СОШЛОСЬ"),IF(ABS(BK21)&gt;0.01,"ЧАСТИЧНО","НЕОПРЕДЕЛЕНО")))</x:f>
      </x:c>
      <x:c r="BO21" s="190"/>
      <x:c r="BP21" s="202"/>
      <x:c r="BQ21" s="214" t="str">
        <x:f>IF(COUNTA(BO21:BP21)=0,"",N(BO21)-N(BP21))</x:f>
      </x:c>
      <x:c r="BR21" s="226" t="str">
        <x:f>IF(COUNTA(BO21:BP21)=0,"",SUMIFS('04_Влияние_ОПИУ'!$F$2:$F$2000,'04_Влияние_ОПИУ'!$B$2:$B$2000,"2025-10",'04_Влияние_ОПИУ'!$C$2:$C$2000,$A21,'04_Влияние_ОПИУ'!$G$2:$G$2000,"Да"))</x:f>
      </x:c>
      <x:c r="BS21" s="238" t="str">
        <x:f>IF(COUNTA(BO21:BP21)=0,"",N(BP21)+N(BR21))</x:f>
      </x:c>
      <x:c r="BT21" s="252" t="str">
        <x:f>IF(COUNTA(BO21:BP21)=0,"",N(BO21)-N(BS21))</x:f>
      </x:c>
      <x:c r="BU21" s="260" t="str">
        <x:f>IF(COUNTA(BO21:BP21)=0,"",IF(ABS(BT21)&lt;=0.01,IF(ABS(BR21)&gt;0.01,"СОШЛОСЬ ПОСЛЕ КОРР.","СОШЛОСЬ"),IF(ABS(BR21)&gt;0.01,"ЧАСТИЧНО","НЕОПРЕДЕЛЕНО")))</x:f>
      </x:c>
      <x:c r="BV21" s="190"/>
      <x:c r="BW21" s="202"/>
      <x:c r="BX21" s="214" t="str">
        <x:f>IF(COUNTA(BV21:BW21)=0,"",N(BV21)-N(BW21))</x:f>
      </x:c>
      <x:c r="BY21" s="226" t="str">
        <x:f>IF(COUNTA(BV21:BW21)=0,"",SUMIFS('04_Влияние_ОПИУ'!$F$2:$F$2000,'04_Влияние_ОПИУ'!$B$2:$B$2000,"2025-11",'04_Влияние_ОПИУ'!$C$2:$C$2000,$A21,'04_Влияние_ОПИУ'!$G$2:$G$2000,"Да"))</x:f>
      </x:c>
      <x:c r="BZ21" s="238" t="str">
        <x:f>IF(COUNTA(BV21:BW21)=0,"",N(BW21)+N(BY21))</x:f>
      </x:c>
      <x:c r="CA21" s="252" t="str">
        <x:f>IF(COUNTA(BV21:BW21)=0,"",N(BV21)-N(BZ21))</x:f>
      </x:c>
      <x:c r="CB21" s="260" t="str">
        <x:f>IF(COUNTA(BV21:BW21)=0,"",IF(ABS(CA21)&lt;=0.01,IF(ABS(BY21)&gt;0.01,"СОШЛОСЬ ПОСЛЕ КОРР.","СОШЛОСЬ"),IF(ABS(BY21)&gt;0.01,"ЧАСТИЧНО","НЕОПРЕДЕЛЕНО")))</x:f>
      </x:c>
      <x:c r="CC21" s="190"/>
      <x:c r="CD21" s="202"/>
      <x:c r="CE21" s="214" t="str">
        <x:f>IF(COUNTA(CC21:CD21)=0,"",N(CC21)-N(CD21))</x:f>
      </x:c>
      <x:c r="CF21" s="226" t="str">
        <x:f>IF(COUNTA(CC21:CD21)=0,"",SUMIFS('04_Влияние_ОПИУ'!$F$2:$F$2000,'04_Влияние_ОПИУ'!$B$2:$B$2000,"2025-12",'04_Влияние_ОПИУ'!$C$2:$C$2000,$A21,'04_Влияние_ОПИУ'!$G$2:$G$2000,"Да"))</x:f>
      </x:c>
      <x:c r="CG21" s="238" t="str">
        <x:f>IF(COUNTA(CC21:CD21)=0,"",N(CD21)+N(CF21))</x:f>
      </x:c>
      <x:c r="CH21" s="252" t="str">
        <x:f>IF(COUNTA(CC21:CD21)=0,"",N(CC21)-N(CG21))</x:f>
      </x:c>
      <x:c r="CI21" s="260" t="str">
        <x:f>IF(COUNTA(CC21:CD21)=0,"",IF(ABS(CH21)&lt;=0.01,IF(ABS(CF21)&gt;0.01,"СОШЛОСЬ ПОСЛЕ КОРР.","СОШЛОСЬ"),IF(ABS(CF21)&gt;0.01,"ЧАСТИЧНО","НЕОПРЕДЕЛЕНО")))</x:f>
      </x:c>
    </x:row>
    <x:row r="22">
      <x:c r="A22" s="166" t="str">
        <x:v>R017</x:v>
      </x:c>
      <x:c r="B22" s="166" t="str">
        <x:v>        Прочие адм.расходы</x:v>
      </x:c>
      <x:c r="C22" s="170" t="str">
        <x:v>        Прочие адм.расходы</x:v>
      </x:c>
      <x:c r="D22" s="190"/>
      <x:c r="E22" s="202"/>
      <x:c r="F22" s="214" t="str">
        <x:f>IF(COUNTA(D22:E22)=0,"",N(D22)-N(E22))</x:f>
      </x:c>
      <x:c r="G22" s="226" t="str">
        <x:f>IF(COUNTA(D22:E22)=0,"",SUMIFS('04_Влияние_ОПИУ'!$F$2:$F$2000,'04_Влияние_ОПИУ'!$B$2:$B$2000,"2025-01",'04_Влияние_ОПИУ'!$C$2:$C$2000,$A22,'04_Влияние_ОПИУ'!$G$2:$G$2000,"Да"))</x:f>
      </x:c>
      <x:c r="H22" s="238" t="str">
        <x:f>IF(COUNTA(D22:E22)=0,"",N(E22)+N(G22))</x:f>
      </x:c>
      <x:c r="I22" s="252" t="str">
        <x:f>IF(COUNTA(D22:E22)=0,"",N(D22)-N(H22))</x:f>
      </x:c>
      <x:c r="J22" s="260" t="str">
        <x:f>IF(COUNTA(D22:E22)=0,"",IF(ABS(I22)&lt;=0.01,IF(ABS(G22)&gt;0.01,"СОШЛОСЬ ПОСЛЕ КОРР.","СОШЛОСЬ"),IF(ABS(G22)&gt;0.01,"ЧАСТИЧНО","НЕОПРЕДЕЛЕНО")))</x:f>
      </x:c>
      <x:c r="K22" s="190"/>
      <x:c r="L22" s="202"/>
      <x:c r="M22" s="214" t="str">
        <x:f>IF(COUNTA(K22:L22)=0,"",N(K22)-N(L22))</x:f>
      </x:c>
      <x:c r="N22" s="226" t="str">
        <x:f>IF(COUNTA(K22:L22)=0,"",SUMIFS('04_Влияние_ОПИУ'!$F$2:$F$2000,'04_Влияние_ОПИУ'!$B$2:$B$2000,"2025-02",'04_Влияние_ОПИУ'!$C$2:$C$2000,$A22,'04_Влияние_ОПИУ'!$G$2:$G$2000,"Да"))</x:f>
      </x:c>
      <x:c r="O22" s="238" t="str">
        <x:f>IF(COUNTA(K22:L22)=0,"",N(L22)+N(N22))</x:f>
      </x:c>
      <x:c r="P22" s="252" t="str">
        <x:f>IF(COUNTA(K22:L22)=0,"",N(K22)-N(O22))</x:f>
      </x:c>
      <x:c r="Q22" s="260" t="str">
        <x:f>IF(COUNTA(K22:L22)=0,"",IF(ABS(P22)&lt;=0.01,IF(ABS(N22)&gt;0.01,"СОШЛОСЬ ПОСЛЕ КОРР.","СОШЛОСЬ"),IF(ABS(N22)&gt;0.01,"ЧАСТИЧНО","НЕОПРЕДЕЛЕНО")))</x:f>
      </x:c>
      <x:c r="R22" s="190"/>
      <x:c r="S22" s="202"/>
      <x:c r="T22" s="214" t="str">
        <x:f>IF(COUNTA(R22:S22)=0,"",N(R22)-N(S22))</x:f>
      </x:c>
      <x:c r="U22" s="226" t="str">
        <x:f>IF(COUNTA(R22:S22)=0,"",SUMIFS('04_Влияние_ОПИУ'!$F$2:$F$2000,'04_Влияние_ОПИУ'!$B$2:$B$2000,"2025-03",'04_Влияние_ОПИУ'!$C$2:$C$2000,$A22,'04_Влияние_ОПИУ'!$G$2:$G$2000,"Да"))</x:f>
      </x:c>
      <x:c r="V22" s="238" t="str">
        <x:f>IF(COUNTA(R22:S22)=0,"",N(S22)+N(U22))</x:f>
      </x:c>
      <x:c r="W22" s="252" t="str">
        <x:f>IF(COUNTA(R22:S22)=0,"",N(R22)-N(V22))</x:f>
      </x:c>
      <x:c r="X22" s="260" t="str">
        <x:f>IF(COUNTA(R22:S22)=0,"",IF(ABS(W22)&lt;=0.01,IF(ABS(U22)&gt;0.01,"СОШЛОСЬ ПОСЛЕ КОРР.","СОШЛОСЬ"),IF(ABS(U22)&gt;0.01,"ЧАСТИЧНО","НЕОПРЕДЕЛЕНО")))</x:f>
      </x:c>
      <x:c r="Y22" s="190"/>
      <x:c r="Z22" s="202"/>
      <x:c r="AA22" s="214" t="str">
        <x:f>IF(COUNTA(Y22:Z22)=0,"",N(Y22)-N(Z22))</x:f>
      </x:c>
      <x:c r="AB22" s="226" t="str">
        <x:f>IF(COUNTA(Y22:Z22)=0,"",SUMIFS('04_Влияние_ОПИУ'!$F$2:$F$2000,'04_Влияние_ОПИУ'!$B$2:$B$2000,"2025-04",'04_Влияние_ОПИУ'!$C$2:$C$2000,$A22,'04_Влияние_ОПИУ'!$G$2:$G$2000,"Да"))</x:f>
      </x:c>
      <x:c r="AC22" s="238" t="str">
        <x:f>IF(COUNTA(Y22:Z22)=0,"",N(Z22)+N(AB22))</x:f>
      </x:c>
      <x:c r="AD22" s="252" t="str">
        <x:f>IF(COUNTA(Y22:Z22)=0,"",N(Y22)-N(AC22))</x:f>
      </x:c>
      <x:c r="AE22" s="260" t="str">
        <x:f>IF(COUNTA(Y22:Z22)=0,"",IF(ABS(AD22)&lt;=0.01,IF(ABS(AB22)&gt;0.01,"СОШЛОСЬ ПОСЛЕ КОРР.","СОШЛОСЬ"),IF(ABS(AB22)&gt;0.01,"ЧАСТИЧНО","НЕОПРЕДЕЛЕНО")))</x:f>
      </x:c>
      <x:c r="AF22" s="190"/>
      <x:c r="AG22" s="202"/>
      <x:c r="AH22" s="214" t="str">
        <x:f>IF(COUNTA(AF22:AG22)=0,"",N(AF22)-N(AG22))</x:f>
      </x:c>
      <x:c r="AI22" s="226" t="str">
        <x:f>IF(COUNTA(AF22:AG22)=0,"",SUMIFS('04_Влияние_ОПИУ'!$F$2:$F$2000,'04_Влияние_ОПИУ'!$B$2:$B$2000,"2025-05",'04_Влияние_ОПИУ'!$C$2:$C$2000,$A22,'04_Влияние_ОПИУ'!$G$2:$G$2000,"Да"))</x:f>
      </x:c>
      <x:c r="AJ22" s="238" t="str">
        <x:f>IF(COUNTA(AF22:AG22)=0,"",N(AG22)+N(AI22))</x:f>
      </x:c>
      <x:c r="AK22" s="252" t="str">
        <x:f>IF(COUNTA(AF22:AG22)=0,"",N(AF22)-N(AJ22))</x:f>
      </x:c>
      <x:c r="AL22" s="260" t="str">
        <x:f>IF(COUNTA(AF22:AG22)=0,"",IF(ABS(AK22)&lt;=0.01,IF(ABS(AI22)&gt;0.01,"СОШЛОСЬ ПОСЛЕ КОРР.","СОШЛОСЬ"),IF(ABS(AI22)&gt;0.01,"ЧАСТИЧНО","НЕОПРЕДЕЛЕНО")))</x:f>
      </x:c>
      <x:c r="AM22" s="190"/>
      <x:c r="AN22" s="202"/>
      <x:c r="AO22" s="214" t="str">
        <x:f>IF(COUNTA(AM22:AN22)=0,"",N(AM22)-N(AN22))</x:f>
      </x:c>
      <x:c r="AP22" s="226" t="str">
        <x:f>IF(COUNTA(AM22:AN22)=0,"",SUMIFS('04_Влияние_ОПИУ'!$F$2:$F$2000,'04_Влияние_ОПИУ'!$B$2:$B$2000,"2025-06",'04_Влияние_ОПИУ'!$C$2:$C$2000,$A22,'04_Влияние_ОПИУ'!$G$2:$G$2000,"Да"))</x:f>
      </x:c>
      <x:c r="AQ22" s="238" t="str">
        <x:f>IF(COUNTA(AM22:AN22)=0,"",N(AN22)+N(AP22))</x:f>
      </x:c>
      <x:c r="AR22" s="252" t="str">
        <x:f>IF(COUNTA(AM22:AN22)=0,"",N(AM22)-N(AQ22))</x:f>
      </x:c>
      <x:c r="AS22" s="260" t="str">
        <x:f>IF(COUNTA(AM22:AN22)=0,"",IF(ABS(AR22)&lt;=0.01,IF(ABS(AP22)&gt;0.01,"СОШЛОСЬ ПОСЛЕ КОРР.","СОШЛОСЬ"),IF(ABS(AP22)&gt;0.01,"ЧАСТИЧНО","НЕОПРЕДЕЛЕНО")))</x:f>
      </x:c>
      <x:c r="AT22" s="190"/>
      <x:c r="AU22" s="202"/>
      <x:c r="AV22" s="214" t="str">
        <x:f>IF(COUNTA(AT22:AU22)=0,"",N(AT22)-N(AU22))</x:f>
      </x:c>
      <x:c r="AW22" s="226" t="str">
        <x:f>IF(COUNTA(AT22:AU22)=0,"",SUMIFS('04_Влияние_ОПИУ'!$F$2:$F$2000,'04_Влияние_ОПИУ'!$B$2:$B$2000,"2025-07",'04_Влияние_ОПИУ'!$C$2:$C$2000,$A22,'04_Влияние_ОПИУ'!$G$2:$G$2000,"Да"))</x:f>
      </x:c>
      <x:c r="AX22" s="238" t="str">
        <x:f>IF(COUNTA(AT22:AU22)=0,"",N(AU22)+N(AW22))</x:f>
      </x:c>
      <x:c r="AY22" s="252" t="str">
        <x:f>IF(COUNTA(AT22:AU22)=0,"",N(AT22)-N(AX22))</x:f>
      </x:c>
      <x:c r="AZ22" s="260" t="str">
        <x:f>IF(COUNTA(AT22:AU22)=0,"",IF(ABS(AY22)&lt;=0.01,IF(ABS(AW22)&gt;0.01,"СОШЛОСЬ ПОСЛЕ КОРР.","СОШЛОСЬ"),IF(ABS(AW22)&gt;0.01,"ЧАСТИЧНО","НЕОПРЕДЕЛЕНО")))</x:f>
      </x:c>
      <x:c r="BA22" s="190"/>
      <x:c r="BB22" s="202"/>
      <x:c r="BC22" s="214" t="str">
        <x:f>IF(COUNTA(BA22:BB22)=0,"",N(BA22)-N(BB22))</x:f>
      </x:c>
      <x:c r="BD22" s="226" t="str">
        <x:f>IF(COUNTA(BA22:BB22)=0,"",SUMIFS('04_Влияние_ОПИУ'!$F$2:$F$2000,'04_Влияние_ОПИУ'!$B$2:$B$2000,"2025-08",'04_Влияние_ОПИУ'!$C$2:$C$2000,$A22,'04_Влияние_ОПИУ'!$G$2:$G$2000,"Да"))</x:f>
      </x:c>
      <x:c r="BE22" s="238" t="str">
        <x:f>IF(COUNTA(BA22:BB22)=0,"",N(BB22)+N(BD22))</x:f>
      </x:c>
      <x:c r="BF22" s="252" t="str">
        <x:f>IF(COUNTA(BA22:BB22)=0,"",N(BA22)-N(BE22))</x:f>
      </x:c>
      <x:c r="BG22" s="260" t="str">
        <x:f>IF(COUNTA(BA22:BB22)=0,"",IF(ABS(BF22)&lt;=0.01,IF(ABS(BD22)&gt;0.01,"СОШЛОСЬ ПОСЛЕ КОРР.","СОШЛОСЬ"),IF(ABS(BD22)&gt;0.01,"ЧАСТИЧНО","НЕОПРЕДЕЛЕНО")))</x:f>
      </x:c>
      <x:c r="BH22" s="190"/>
      <x:c r="BI22" s="202"/>
      <x:c r="BJ22" s="214" t="str">
        <x:f>IF(COUNTA(BH22:BI22)=0,"",N(BH22)-N(BI22))</x:f>
      </x:c>
      <x:c r="BK22" s="226" t="str">
        <x:f>IF(COUNTA(BH22:BI22)=0,"",SUMIFS('04_Влияние_ОПИУ'!$F$2:$F$2000,'04_Влияние_ОПИУ'!$B$2:$B$2000,"2025-09",'04_Влияние_ОПИУ'!$C$2:$C$2000,$A22,'04_Влияние_ОПИУ'!$G$2:$G$2000,"Да"))</x:f>
      </x:c>
      <x:c r="BL22" s="238" t="str">
        <x:f>IF(COUNTA(BH22:BI22)=0,"",N(BI22)+N(BK22))</x:f>
      </x:c>
      <x:c r="BM22" s="252" t="str">
        <x:f>IF(COUNTA(BH22:BI22)=0,"",N(BH22)-N(BL22))</x:f>
      </x:c>
      <x:c r="BN22" s="260" t="str">
        <x:f>IF(COUNTA(BH22:BI22)=0,"",IF(ABS(BM22)&lt;=0.01,IF(ABS(BK22)&gt;0.01,"СОШЛОСЬ ПОСЛЕ КОРР.","СОШЛОСЬ"),IF(ABS(BK22)&gt;0.01,"ЧАСТИЧНО","НЕОПРЕДЕЛЕНО")))</x:f>
      </x:c>
      <x:c r="BO22" s="190"/>
      <x:c r="BP22" s="202"/>
      <x:c r="BQ22" s="214" t="str">
        <x:f>IF(COUNTA(BO22:BP22)=0,"",N(BO22)-N(BP22))</x:f>
      </x:c>
      <x:c r="BR22" s="226" t="str">
        <x:f>IF(COUNTA(BO22:BP22)=0,"",SUMIFS('04_Влияние_ОПИУ'!$F$2:$F$2000,'04_Влияние_ОПИУ'!$B$2:$B$2000,"2025-10",'04_Влияние_ОПИУ'!$C$2:$C$2000,$A22,'04_Влияние_ОПИУ'!$G$2:$G$2000,"Да"))</x:f>
      </x:c>
      <x:c r="BS22" s="238" t="str">
        <x:f>IF(COUNTA(BO22:BP22)=0,"",N(BP22)+N(BR22))</x:f>
      </x:c>
      <x:c r="BT22" s="252" t="str">
        <x:f>IF(COUNTA(BO22:BP22)=0,"",N(BO22)-N(BS22))</x:f>
      </x:c>
      <x:c r="BU22" s="260" t="str">
        <x:f>IF(COUNTA(BO22:BP22)=0,"",IF(ABS(BT22)&lt;=0.01,IF(ABS(BR22)&gt;0.01,"СОШЛОСЬ ПОСЛЕ КОРР.","СОШЛОСЬ"),IF(ABS(BR22)&gt;0.01,"ЧАСТИЧНО","НЕОПРЕДЕЛЕНО")))</x:f>
      </x:c>
      <x:c r="BV22" s="190"/>
      <x:c r="BW22" s="202"/>
      <x:c r="BX22" s="214" t="str">
        <x:f>IF(COUNTA(BV22:BW22)=0,"",N(BV22)-N(BW22))</x:f>
      </x:c>
      <x:c r="BY22" s="226" t="str">
        <x:f>IF(COUNTA(BV22:BW22)=0,"",SUMIFS('04_Влияние_ОПИУ'!$F$2:$F$2000,'04_Влияние_ОПИУ'!$B$2:$B$2000,"2025-11",'04_Влияние_ОПИУ'!$C$2:$C$2000,$A22,'04_Влияние_ОПИУ'!$G$2:$G$2000,"Да"))</x:f>
      </x:c>
      <x:c r="BZ22" s="238" t="str">
        <x:f>IF(COUNTA(BV22:BW22)=0,"",N(BW22)+N(BY22))</x:f>
      </x:c>
      <x:c r="CA22" s="252" t="str">
        <x:f>IF(COUNTA(BV22:BW22)=0,"",N(BV22)-N(BZ22))</x:f>
      </x:c>
      <x:c r="CB22" s="260" t="str">
        <x:f>IF(COUNTA(BV22:BW22)=0,"",IF(ABS(CA22)&lt;=0.01,IF(ABS(BY22)&gt;0.01,"СОШЛОСЬ ПОСЛЕ КОРР.","СОШЛОСЬ"),IF(ABS(BY22)&gt;0.01,"ЧАСТИЧНО","НЕОПРЕДЕЛЕНО")))</x:f>
      </x:c>
      <x:c r="CC22" s="190"/>
      <x:c r="CD22" s="202"/>
      <x:c r="CE22" s="214" t="str">
        <x:f>IF(COUNTA(CC22:CD22)=0,"",N(CC22)-N(CD22))</x:f>
      </x:c>
      <x:c r="CF22" s="226" t="str">
        <x:f>IF(COUNTA(CC22:CD22)=0,"",SUMIFS('04_Влияние_ОПИУ'!$F$2:$F$2000,'04_Влияние_ОПИУ'!$B$2:$B$2000,"2025-12",'04_Влияние_ОПИУ'!$C$2:$C$2000,$A22,'04_Влияние_ОПИУ'!$G$2:$G$2000,"Да"))</x:f>
      </x:c>
      <x:c r="CG22" s="238" t="str">
        <x:f>IF(COUNTA(CC22:CD22)=0,"",N(CD22)+N(CF22))</x:f>
      </x:c>
      <x:c r="CH22" s="252" t="str">
        <x:f>IF(COUNTA(CC22:CD22)=0,"",N(CC22)-N(CG22))</x:f>
      </x:c>
      <x:c r="CI22" s="260" t="str">
        <x:f>IF(COUNTA(CC22:CD22)=0,"",IF(ABS(CH22)&lt;=0.01,IF(ABS(CF22)&gt;0.01,"СОШЛОСЬ ПОСЛЕ КОРР.","СОШЛОСЬ"),IF(ABS(CF22)&gt;0.01,"ЧАСТИЧНО","НЕОПРЕДЕЛЕНО")))</x:f>
      </x:c>
    </x:row>
    <x:row r="23">
      <x:c r="A23" s="166" t="str">
        <x:v>R018</x:v>
      </x:c>
      <x:c r="B23" s="166" t="str">
        <x:v>        Юридические расходы</x:v>
      </x:c>
      <x:c r="C23" s="170" t="str">
        <x:v>        Юридические расходы</x:v>
      </x:c>
      <x:c r="D23" s="190"/>
      <x:c r="E23" s="202"/>
      <x:c r="F23" s="214" t="str">
        <x:f>IF(COUNTA(D23:E23)=0,"",N(D23)-N(E23))</x:f>
      </x:c>
      <x:c r="G23" s="226" t="str">
        <x:f>IF(COUNTA(D23:E23)=0,"",SUMIFS('04_Влияние_ОПИУ'!$F$2:$F$2000,'04_Влияние_ОПИУ'!$B$2:$B$2000,"2025-01",'04_Влияние_ОПИУ'!$C$2:$C$2000,$A23,'04_Влияние_ОПИУ'!$G$2:$G$2000,"Да"))</x:f>
      </x:c>
      <x:c r="H23" s="238" t="str">
        <x:f>IF(COUNTA(D23:E23)=0,"",N(E23)+N(G23))</x:f>
      </x:c>
      <x:c r="I23" s="252" t="str">
        <x:f>IF(COUNTA(D23:E23)=0,"",N(D23)-N(H23))</x:f>
      </x:c>
      <x:c r="J23" s="260" t="str">
        <x:f>IF(COUNTA(D23:E23)=0,"",IF(ABS(I23)&lt;=0.01,IF(ABS(G23)&gt;0.01,"СОШЛОСЬ ПОСЛЕ КОРР.","СОШЛОСЬ"),IF(ABS(G23)&gt;0.01,"ЧАСТИЧНО","НЕОПРЕДЕЛЕНО")))</x:f>
      </x:c>
      <x:c r="K23" s="190"/>
      <x:c r="L23" s="202"/>
      <x:c r="M23" s="214" t="str">
        <x:f>IF(COUNTA(K23:L23)=0,"",N(K23)-N(L23))</x:f>
      </x:c>
      <x:c r="N23" s="226" t="str">
        <x:f>IF(COUNTA(K23:L23)=0,"",SUMIFS('04_Влияние_ОПИУ'!$F$2:$F$2000,'04_Влияние_ОПИУ'!$B$2:$B$2000,"2025-02",'04_Влияние_ОПИУ'!$C$2:$C$2000,$A23,'04_Влияние_ОПИУ'!$G$2:$G$2000,"Да"))</x:f>
      </x:c>
      <x:c r="O23" s="238" t="str">
        <x:f>IF(COUNTA(K23:L23)=0,"",N(L23)+N(N23))</x:f>
      </x:c>
      <x:c r="P23" s="252" t="str">
        <x:f>IF(COUNTA(K23:L23)=0,"",N(K23)-N(O23))</x:f>
      </x:c>
      <x:c r="Q23" s="260" t="str">
        <x:f>IF(COUNTA(K23:L23)=0,"",IF(ABS(P23)&lt;=0.01,IF(ABS(N23)&gt;0.01,"СОШЛОСЬ ПОСЛЕ КОРР.","СОШЛОСЬ"),IF(ABS(N23)&gt;0.01,"ЧАСТИЧНО","НЕОПРЕДЕЛЕНО")))</x:f>
      </x:c>
      <x:c r="R23" s="190"/>
      <x:c r="S23" s="202"/>
      <x:c r="T23" s="214" t="str">
        <x:f>IF(COUNTA(R23:S23)=0,"",N(R23)-N(S23))</x:f>
      </x:c>
      <x:c r="U23" s="226" t="str">
        <x:f>IF(COUNTA(R23:S23)=0,"",SUMIFS('04_Влияние_ОПИУ'!$F$2:$F$2000,'04_Влияние_ОПИУ'!$B$2:$B$2000,"2025-03",'04_Влияние_ОПИУ'!$C$2:$C$2000,$A23,'04_Влияние_ОПИУ'!$G$2:$G$2000,"Да"))</x:f>
      </x:c>
      <x:c r="V23" s="238" t="str">
        <x:f>IF(COUNTA(R23:S23)=0,"",N(S23)+N(U23))</x:f>
      </x:c>
      <x:c r="W23" s="252" t="str">
        <x:f>IF(COUNTA(R23:S23)=0,"",N(R23)-N(V23))</x:f>
      </x:c>
      <x:c r="X23" s="260" t="str">
        <x:f>IF(COUNTA(R23:S23)=0,"",IF(ABS(W23)&lt;=0.01,IF(ABS(U23)&gt;0.01,"СОШЛОСЬ ПОСЛЕ КОРР.","СОШЛОСЬ"),IF(ABS(U23)&gt;0.01,"ЧАСТИЧНО","НЕОПРЕДЕЛЕНО")))</x:f>
      </x:c>
      <x:c r="Y23" s="190"/>
      <x:c r="Z23" s="202"/>
      <x:c r="AA23" s="214" t="str">
        <x:f>IF(COUNTA(Y23:Z23)=0,"",N(Y23)-N(Z23))</x:f>
      </x:c>
      <x:c r="AB23" s="226" t="str">
        <x:f>IF(COUNTA(Y23:Z23)=0,"",SUMIFS('04_Влияние_ОПИУ'!$F$2:$F$2000,'04_Влияние_ОПИУ'!$B$2:$B$2000,"2025-04",'04_Влияние_ОПИУ'!$C$2:$C$2000,$A23,'04_Влияние_ОПИУ'!$G$2:$G$2000,"Да"))</x:f>
      </x:c>
      <x:c r="AC23" s="238" t="str">
        <x:f>IF(COUNTA(Y23:Z23)=0,"",N(Z23)+N(AB23))</x:f>
      </x:c>
      <x:c r="AD23" s="252" t="str">
        <x:f>IF(COUNTA(Y23:Z23)=0,"",N(Y23)-N(AC23))</x:f>
      </x:c>
      <x:c r="AE23" s="260" t="str">
        <x:f>IF(COUNTA(Y23:Z23)=0,"",IF(ABS(AD23)&lt;=0.01,IF(ABS(AB23)&gt;0.01,"СОШЛОСЬ ПОСЛЕ КОРР.","СОШЛОСЬ"),IF(ABS(AB23)&gt;0.01,"ЧАСТИЧНО","НЕОПРЕДЕЛЕНО")))</x:f>
      </x:c>
      <x:c r="AF23" s="190"/>
      <x:c r="AG23" s="202"/>
      <x:c r="AH23" s="214" t="str">
        <x:f>IF(COUNTA(AF23:AG23)=0,"",N(AF23)-N(AG23))</x:f>
      </x:c>
      <x:c r="AI23" s="226" t="str">
        <x:f>IF(COUNTA(AF23:AG23)=0,"",SUMIFS('04_Влияние_ОПИУ'!$F$2:$F$2000,'04_Влияние_ОПИУ'!$B$2:$B$2000,"2025-05",'04_Влияние_ОПИУ'!$C$2:$C$2000,$A23,'04_Влияние_ОПИУ'!$G$2:$G$2000,"Да"))</x:f>
      </x:c>
      <x:c r="AJ23" s="238" t="str">
        <x:f>IF(COUNTA(AF23:AG23)=0,"",N(AG23)+N(AI23))</x:f>
      </x:c>
      <x:c r="AK23" s="252" t="str">
        <x:f>IF(COUNTA(AF23:AG23)=0,"",N(AF23)-N(AJ23))</x:f>
      </x:c>
      <x:c r="AL23" s="260" t="str">
        <x:f>IF(COUNTA(AF23:AG23)=0,"",IF(ABS(AK23)&lt;=0.01,IF(ABS(AI23)&gt;0.01,"СОШЛОСЬ ПОСЛЕ КОРР.","СОШЛОСЬ"),IF(ABS(AI23)&gt;0.01,"ЧАСТИЧНО","НЕОПРЕДЕЛЕНО")))</x:f>
      </x:c>
      <x:c r="AM23" s="190"/>
      <x:c r="AN23" s="202"/>
      <x:c r="AO23" s="214" t="str">
        <x:f>IF(COUNTA(AM23:AN23)=0,"",N(AM23)-N(AN23))</x:f>
      </x:c>
      <x:c r="AP23" s="226" t="str">
        <x:f>IF(COUNTA(AM23:AN23)=0,"",SUMIFS('04_Влияние_ОПИУ'!$F$2:$F$2000,'04_Влияние_ОПИУ'!$B$2:$B$2000,"2025-06",'04_Влияние_ОПИУ'!$C$2:$C$2000,$A23,'04_Влияние_ОПИУ'!$G$2:$G$2000,"Да"))</x:f>
      </x:c>
      <x:c r="AQ23" s="238" t="str">
        <x:f>IF(COUNTA(AM23:AN23)=0,"",N(AN23)+N(AP23))</x:f>
      </x:c>
      <x:c r="AR23" s="252" t="str">
        <x:f>IF(COUNTA(AM23:AN23)=0,"",N(AM23)-N(AQ23))</x:f>
      </x:c>
      <x:c r="AS23" s="260" t="str">
        <x:f>IF(COUNTA(AM23:AN23)=0,"",IF(ABS(AR23)&lt;=0.01,IF(ABS(AP23)&gt;0.01,"СОШЛОСЬ ПОСЛЕ КОРР.","СОШЛОСЬ"),IF(ABS(AP23)&gt;0.01,"ЧАСТИЧНО","НЕОПРЕДЕЛЕНО")))</x:f>
      </x:c>
      <x:c r="AT23" s="190"/>
      <x:c r="AU23" s="202"/>
      <x:c r="AV23" s="214" t="str">
        <x:f>IF(COUNTA(AT23:AU23)=0,"",N(AT23)-N(AU23))</x:f>
      </x:c>
      <x:c r="AW23" s="226" t="str">
        <x:f>IF(COUNTA(AT23:AU23)=0,"",SUMIFS('04_Влияние_ОПИУ'!$F$2:$F$2000,'04_Влияние_ОПИУ'!$B$2:$B$2000,"2025-07",'04_Влияние_ОПИУ'!$C$2:$C$2000,$A23,'04_Влияние_ОПИУ'!$G$2:$G$2000,"Да"))</x:f>
      </x:c>
      <x:c r="AX23" s="238" t="str">
        <x:f>IF(COUNTA(AT23:AU23)=0,"",N(AU23)+N(AW23))</x:f>
      </x:c>
      <x:c r="AY23" s="252" t="str">
        <x:f>IF(COUNTA(AT23:AU23)=0,"",N(AT23)-N(AX23))</x:f>
      </x:c>
      <x:c r="AZ23" s="260" t="str">
        <x:f>IF(COUNTA(AT23:AU23)=0,"",IF(ABS(AY23)&lt;=0.01,IF(ABS(AW23)&gt;0.01,"СОШЛОСЬ ПОСЛЕ КОРР.","СОШЛОСЬ"),IF(ABS(AW23)&gt;0.01,"ЧАСТИЧНО","НЕОПРЕДЕЛЕНО")))</x:f>
      </x:c>
      <x:c r="BA23" s="190"/>
      <x:c r="BB23" s="202"/>
      <x:c r="BC23" s="214" t="str">
        <x:f>IF(COUNTA(BA23:BB23)=0,"",N(BA23)-N(BB23))</x:f>
      </x:c>
      <x:c r="BD23" s="226" t="str">
        <x:f>IF(COUNTA(BA23:BB23)=0,"",SUMIFS('04_Влияние_ОПИУ'!$F$2:$F$2000,'04_Влияние_ОПИУ'!$B$2:$B$2000,"2025-08",'04_Влияние_ОПИУ'!$C$2:$C$2000,$A23,'04_Влияние_ОПИУ'!$G$2:$G$2000,"Да"))</x:f>
      </x:c>
      <x:c r="BE23" s="238" t="str">
        <x:f>IF(COUNTA(BA23:BB23)=0,"",N(BB23)+N(BD23))</x:f>
      </x:c>
      <x:c r="BF23" s="252" t="str">
        <x:f>IF(COUNTA(BA23:BB23)=0,"",N(BA23)-N(BE23))</x:f>
      </x:c>
      <x:c r="BG23" s="260" t="str">
        <x:f>IF(COUNTA(BA23:BB23)=0,"",IF(ABS(BF23)&lt;=0.01,IF(ABS(BD23)&gt;0.01,"СОШЛОСЬ ПОСЛЕ КОРР.","СОШЛОСЬ"),IF(ABS(BD23)&gt;0.01,"ЧАСТИЧНО","НЕОПРЕДЕЛЕНО")))</x:f>
      </x:c>
      <x:c r="BH23" s="190"/>
      <x:c r="BI23" s="202"/>
      <x:c r="BJ23" s="214" t="str">
        <x:f>IF(COUNTA(BH23:BI23)=0,"",N(BH23)-N(BI23))</x:f>
      </x:c>
      <x:c r="BK23" s="226" t="str">
        <x:f>IF(COUNTA(BH23:BI23)=0,"",SUMIFS('04_Влияние_ОПИУ'!$F$2:$F$2000,'04_Влияние_ОПИУ'!$B$2:$B$2000,"2025-09",'04_Влияние_ОПИУ'!$C$2:$C$2000,$A23,'04_Влияние_ОПИУ'!$G$2:$G$2000,"Да"))</x:f>
      </x:c>
      <x:c r="BL23" s="238" t="str">
        <x:f>IF(COUNTA(BH23:BI23)=0,"",N(BI23)+N(BK23))</x:f>
      </x:c>
      <x:c r="BM23" s="252" t="str">
        <x:f>IF(COUNTA(BH23:BI23)=0,"",N(BH23)-N(BL23))</x:f>
      </x:c>
      <x:c r="BN23" s="260" t="str">
        <x:f>IF(COUNTA(BH23:BI23)=0,"",IF(ABS(BM23)&lt;=0.01,IF(ABS(BK23)&gt;0.01,"СОШЛОСЬ ПОСЛЕ КОРР.","СОШЛОСЬ"),IF(ABS(BK23)&gt;0.01,"ЧАСТИЧНО","НЕОПРЕДЕЛЕНО")))</x:f>
      </x:c>
      <x:c r="BO23" s="190"/>
      <x:c r="BP23" s="202"/>
      <x:c r="BQ23" s="214" t="str">
        <x:f>IF(COUNTA(BO23:BP23)=0,"",N(BO23)-N(BP23))</x:f>
      </x:c>
      <x:c r="BR23" s="226" t="str">
        <x:f>IF(COUNTA(BO23:BP23)=0,"",SUMIFS('04_Влияние_ОПИУ'!$F$2:$F$2000,'04_Влияние_ОПИУ'!$B$2:$B$2000,"2025-10",'04_Влияние_ОПИУ'!$C$2:$C$2000,$A23,'04_Влияние_ОПИУ'!$G$2:$G$2000,"Да"))</x:f>
      </x:c>
      <x:c r="BS23" s="238" t="str">
        <x:f>IF(COUNTA(BO23:BP23)=0,"",N(BP23)+N(BR23))</x:f>
      </x:c>
      <x:c r="BT23" s="252" t="str">
        <x:f>IF(COUNTA(BO23:BP23)=0,"",N(BO23)-N(BS23))</x:f>
      </x:c>
      <x:c r="BU23" s="260" t="str">
        <x:f>IF(COUNTA(BO23:BP23)=0,"",IF(ABS(BT23)&lt;=0.01,IF(ABS(BR23)&gt;0.01,"СОШЛОСЬ ПОСЛЕ КОРР.","СОШЛОСЬ"),IF(ABS(BR23)&gt;0.01,"ЧАСТИЧНО","НЕОПРЕДЕЛЕНО")))</x:f>
      </x:c>
      <x:c r="BV23" s="190"/>
      <x:c r="BW23" s="202"/>
      <x:c r="BX23" s="214" t="str">
        <x:f>IF(COUNTA(BV23:BW23)=0,"",N(BV23)-N(BW23))</x:f>
      </x:c>
      <x:c r="BY23" s="226" t="str">
        <x:f>IF(COUNTA(BV23:BW23)=0,"",SUMIFS('04_Влияние_ОПИУ'!$F$2:$F$2000,'04_Влияние_ОПИУ'!$B$2:$B$2000,"2025-11",'04_Влияние_ОПИУ'!$C$2:$C$2000,$A23,'04_Влияние_ОПИУ'!$G$2:$G$2000,"Да"))</x:f>
      </x:c>
      <x:c r="BZ23" s="238" t="str">
        <x:f>IF(COUNTA(BV23:BW23)=0,"",N(BW23)+N(BY23))</x:f>
      </x:c>
      <x:c r="CA23" s="252" t="str">
        <x:f>IF(COUNTA(BV23:BW23)=0,"",N(BV23)-N(BZ23))</x:f>
      </x:c>
      <x:c r="CB23" s="260" t="str">
        <x:f>IF(COUNTA(BV23:BW23)=0,"",IF(ABS(CA23)&lt;=0.01,IF(ABS(BY23)&gt;0.01,"СОШЛОСЬ ПОСЛЕ КОРР.","СОШЛОСЬ"),IF(ABS(BY23)&gt;0.01,"ЧАСТИЧНО","НЕОПРЕДЕЛЕНО")))</x:f>
      </x:c>
      <x:c r="CC23" s="190"/>
      <x:c r="CD23" s="202"/>
      <x:c r="CE23" s="214" t="str">
        <x:f>IF(COUNTA(CC23:CD23)=0,"",N(CC23)-N(CD23))</x:f>
      </x:c>
      <x:c r="CF23" s="226" t="str">
        <x:f>IF(COUNTA(CC23:CD23)=0,"",SUMIFS('04_Влияние_ОПИУ'!$F$2:$F$2000,'04_Влияние_ОПИУ'!$B$2:$B$2000,"2025-12",'04_Влияние_ОПИУ'!$C$2:$C$2000,$A23,'04_Влияние_ОПИУ'!$G$2:$G$2000,"Да"))</x:f>
      </x:c>
      <x:c r="CG23" s="238" t="str">
        <x:f>IF(COUNTA(CC23:CD23)=0,"",N(CD23)+N(CF23))</x:f>
      </x:c>
      <x:c r="CH23" s="252" t="str">
        <x:f>IF(COUNTA(CC23:CD23)=0,"",N(CC23)-N(CG23))</x:f>
      </x:c>
      <x:c r="CI23" s="260" t="str">
        <x:f>IF(COUNTA(CC23:CD23)=0,"",IF(ABS(CH23)&lt;=0.01,IF(ABS(CF23)&gt;0.01,"СОШЛОСЬ ПОСЛЕ КОРР.","СОШЛОСЬ"),IF(ABS(CF23)&gt;0.01,"ЧАСТИЧНО","НЕОПРЕДЕЛЕНО")))</x:f>
      </x:c>
    </x:row>
    <x:row r="24">
      <x:c r="A24" s="166" t="str">
        <x:v>R019</x:v>
      </x:c>
      <x:c r="B24" s="166" t="str">
        <x:v>      Расходы ИТ</x:v>
      </x:c>
      <x:c r="C24" s="170" t="str">
        <x:v>      Расходы ИТ</x:v>
      </x:c>
      <x:c r="D24" s="190"/>
      <x:c r="E24" s="202"/>
      <x:c r="F24" s="214" t="str">
        <x:f>IF(COUNTA(D24:E24)=0,"",N(D24)-N(E24))</x:f>
      </x:c>
      <x:c r="G24" s="226" t="str">
        <x:f>IF(COUNTA(D24:E24)=0,"",SUMIFS('04_Влияние_ОПИУ'!$F$2:$F$2000,'04_Влияние_ОПИУ'!$B$2:$B$2000,"2025-01",'04_Влияние_ОПИУ'!$C$2:$C$2000,$A24,'04_Влияние_ОПИУ'!$G$2:$G$2000,"Да"))</x:f>
      </x:c>
      <x:c r="H24" s="238" t="str">
        <x:f>IF(COUNTA(D24:E24)=0,"",N(E24)+N(G24))</x:f>
      </x:c>
      <x:c r="I24" s="252" t="str">
        <x:f>IF(COUNTA(D24:E24)=0,"",N(D24)-N(H24))</x:f>
      </x:c>
      <x:c r="J24" s="260" t="str">
        <x:f>IF(COUNTA(D24:E24)=0,"",IF(ABS(I24)&lt;=0.01,IF(ABS(G24)&gt;0.01,"СОШЛОСЬ ПОСЛЕ КОРР.","СОШЛОСЬ"),IF(ABS(G24)&gt;0.01,"ЧАСТИЧНО","НЕОПРЕДЕЛЕНО")))</x:f>
      </x:c>
      <x:c r="K24" s="190"/>
      <x:c r="L24" s="202"/>
      <x:c r="M24" s="214" t="str">
        <x:f>IF(COUNTA(K24:L24)=0,"",N(K24)-N(L24))</x:f>
      </x:c>
      <x:c r="N24" s="226" t="str">
        <x:f>IF(COUNTA(K24:L24)=0,"",SUMIFS('04_Влияние_ОПИУ'!$F$2:$F$2000,'04_Влияние_ОПИУ'!$B$2:$B$2000,"2025-02",'04_Влияние_ОПИУ'!$C$2:$C$2000,$A24,'04_Влияние_ОПИУ'!$G$2:$G$2000,"Да"))</x:f>
      </x:c>
      <x:c r="O24" s="238" t="str">
        <x:f>IF(COUNTA(K24:L24)=0,"",N(L24)+N(N24))</x:f>
      </x:c>
      <x:c r="P24" s="252" t="str">
        <x:f>IF(COUNTA(K24:L24)=0,"",N(K24)-N(O24))</x:f>
      </x:c>
      <x:c r="Q24" s="260" t="str">
        <x:f>IF(COUNTA(K24:L24)=0,"",IF(ABS(P24)&lt;=0.01,IF(ABS(N24)&gt;0.01,"СОШЛОСЬ ПОСЛЕ КОРР.","СОШЛОСЬ"),IF(ABS(N24)&gt;0.01,"ЧАСТИЧНО","НЕОПРЕДЕЛЕНО")))</x:f>
      </x:c>
      <x:c r="R24" s="190"/>
      <x:c r="S24" s="202"/>
      <x:c r="T24" s="214" t="str">
        <x:f>IF(COUNTA(R24:S24)=0,"",N(R24)-N(S24))</x:f>
      </x:c>
      <x:c r="U24" s="226" t="str">
        <x:f>IF(COUNTA(R24:S24)=0,"",SUMIFS('04_Влияние_ОПИУ'!$F$2:$F$2000,'04_Влияние_ОПИУ'!$B$2:$B$2000,"2025-03",'04_Влияние_ОПИУ'!$C$2:$C$2000,$A24,'04_Влияние_ОПИУ'!$G$2:$G$2000,"Да"))</x:f>
      </x:c>
      <x:c r="V24" s="238" t="str">
        <x:f>IF(COUNTA(R24:S24)=0,"",N(S24)+N(U24))</x:f>
      </x:c>
      <x:c r="W24" s="252" t="str">
        <x:f>IF(COUNTA(R24:S24)=0,"",N(R24)-N(V24))</x:f>
      </x:c>
      <x:c r="X24" s="260" t="str">
        <x:f>IF(COUNTA(R24:S24)=0,"",IF(ABS(W24)&lt;=0.01,IF(ABS(U24)&gt;0.01,"СОШЛОСЬ ПОСЛЕ КОРР.","СОШЛОСЬ"),IF(ABS(U24)&gt;0.01,"ЧАСТИЧНО","НЕОПРЕДЕЛЕНО")))</x:f>
      </x:c>
      <x:c r="Y24" s="190"/>
      <x:c r="Z24" s="202"/>
      <x:c r="AA24" s="214" t="str">
        <x:f>IF(COUNTA(Y24:Z24)=0,"",N(Y24)-N(Z24))</x:f>
      </x:c>
      <x:c r="AB24" s="226" t="str">
        <x:f>IF(COUNTA(Y24:Z24)=0,"",SUMIFS('04_Влияние_ОПИУ'!$F$2:$F$2000,'04_Влияние_ОПИУ'!$B$2:$B$2000,"2025-04",'04_Влияние_ОПИУ'!$C$2:$C$2000,$A24,'04_Влияние_ОПИУ'!$G$2:$G$2000,"Да"))</x:f>
      </x:c>
      <x:c r="AC24" s="238" t="str">
        <x:f>IF(COUNTA(Y24:Z24)=0,"",N(Z24)+N(AB24))</x:f>
      </x:c>
      <x:c r="AD24" s="252" t="str">
        <x:f>IF(COUNTA(Y24:Z24)=0,"",N(Y24)-N(AC24))</x:f>
      </x:c>
      <x:c r="AE24" s="260" t="str">
        <x:f>IF(COUNTA(Y24:Z24)=0,"",IF(ABS(AD24)&lt;=0.01,IF(ABS(AB24)&gt;0.01,"СОШЛОСЬ ПОСЛЕ КОРР.","СОШЛОСЬ"),IF(ABS(AB24)&gt;0.01,"ЧАСТИЧНО","НЕОПРЕДЕЛЕНО")))</x:f>
      </x:c>
      <x:c r="AF24" s="190"/>
      <x:c r="AG24" s="202"/>
      <x:c r="AH24" s="214" t="str">
        <x:f>IF(COUNTA(AF24:AG24)=0,"",N(AF24)-N(AG24))</x:f>
      </x:c>
      <x:c r="AI24" s="226" t="str">
        <x:f>IF(COUNTA(AF24:AG24)=0,"",SUMIFS('04_Влияние_ОПИУ'!$F$2:$F$2000,'04_Влияние_ОПИУ'!$B$2:$B$2000,"2025-05",'04_Влияние_ОПИУ'!$C$2:$C$2000,$A24,'04_Влияние_ОПИУ'!$G$2:$G$2000,"Да"))</x:f>
      </x:c>
      <x:c r="AJ24" s="238" t="str">
        <x:f>IF(COUNTA(AF24:AG24)=0,"",N(AG24)+N(AI24))</x:f>
      </x:c>
      <x:c r="AK24" s="252" t="str">
        <x:f>IF(COUNTA(AF24:AG24)=0,"",N(AF24)-N(AJ24))</x:f>
      </x:c>
      <x:c r="AL24" s="260" t="str">
        <x:f>IF(COUNTA(AF24:AG24)=0,"",IF(ABS(AK24)&lt;=0.01,IF(ABS(AI24)&gt;0.01,"СОШЛОСЬ ПОСЛЕ КОРР.","СОШЛОСЬ"),IF(ABS(AI24)&gt;0.01,"ЧАСТИЧНО","НЕОПРЕДЕЛЕНО")))</x:f>
      </x:c>
      <x:c r="AM24" s="190"/>
      <x:c r="AN24" s="202"/>
      <x:c r="AO24" s="214" t="str">
        <x:f>IF(COUNTA(AM24:AN24)=0,"",N(AM24)-N(AN24))</x:f>
      </x:c>
      <x:c r="AP24" s="226" t="str">
        <x:f>IF(COUNTA(AM24:AN24)=0,"",SUMIFS('04_Влияние_ОПИУ'!$F$2:$F$2000,'04_Влияние_ОПИУ'!$B$2:$B$2000,"2025-06",'04_Влияние_ОПИУ'!$C$2:$C$2000,$A24,'04_Влияние_ОПИУ'!$G$2:$G$2000,"Да"))</x:f>
      </x:c>
      <x:c r="AQ24" s="238" t="str">
        <x:f>IF(COUNTA(AM24:AN24)=0,"",N(AN24)+N(AP24))</x:f>
      </x:c>
      <x:c r="AR24" s="252" t="str">
        <x:f>IF(COUNTA(AM24:AN24)=0,"",N(AM24)-N(AQ24))</x:f>
      </x:c>
      <x:c r="AS24" s="260" t="str">
        <x:f>IF(COUNTA(AM24:AN24)=0,"",IF(ABS(AR24)&lt;=0.01,IF(ABS(AP24)&gt;0.01,"СОШЛОСЬ ПОСЛЕ КОРР.","СОШЛОСЬ"),IF(ABS(AP24)&gt;0.01,"ЧАСТИЧНО","НЕОПРЕДЕЛЕНО")))</x:f>
      </x:c>
      <x:c r="AT24" s="190"/>
      <x:c r="AU24" s="202"/>
      <x:c r="AV24" s="214" t="str">
        <x:f>IF(COUNTA(AT24:AU24)=0,"",N(AT24)-N(AU24))</x:f>
      </x:c>
      <x:c r="AW24" s="226" t="str">
        <x:f>IF(COUNTA(AT24:AU24)=0,"",SUMIFS('04_Влияние_ОПИУ'!$F$2:$F$2000,'04_Влияние_ОПИУ'!$B$2:$B$2000,"2025-07",'04_Влияние_ОПИУ'!$C$2:$C$2000,$A24,'04_Влияние_ОПИУ'!$G$2:$G$2000,"Да"))</x:f>
      </x:c>
      <x:c r="AX24" s="238" t="str">
        <x:f>IF(COUNTA(AT24:AU24)=0,"",N(AU24)+N(AW24))</x:f>
      </x:c>
      <x:c r="AY24" s="252" t="str">
        <x:f>IF(COUNTA(AT24:AU24)=0,"",N(AT24)-N(AX24))</x:f>
      </x:c>
      <x:c r="AZ24" s="260" t="str">
        <x:f>IF(COUNTA(AT24:AU24)=0,"",IF(ABS(AY24)&lt;=0.01,IF(ABS(AW24)&gt;0.01,"СОШЛОСЬ ПОСЛЕ КОРР.","СОШЛОСЬ"),IF(ABS(AW24)&gt;0.01,"ЧАСТИЧНО","НЕОПРЕДЕЛЕНО")))</x:f>
      </x:c>
      <x:c r="BA24" s="190"/>
      <x:c r="BB24" s="202"/>
      <x:c r="BC24" s="214" t="str">
        <x:f>IF(COUNTA(BA24:BB24)=0,"",N(BA24)-N(BB24))</x:f>
      </x:c>
      <x:c r="BD24" s="226" t="str">
        <x:f>IF(COUNTA(BA24:BB24)=0,"",SUMIFS('04_Влияние_ОПИУ'!$F$2:$F$2000,'04_Влияние_ОПИУ'!$B$2:$B$2000,"2025-08",'04_Влияние_ОПИУ'!$C$2:$C$2000,$A24,'04_Влияние_ОПИУ'!$G$2:$G$2000,"Да"))</x:f>
      </x:c>
      <x:c r="BE24" s="238" t="str">
        <x:f>IF(COUNTA(BA24:BB24)=0,"",N(BB24)+N(BD24))</x:f>
      </x:c>
      <x:c r="BF24" s="252" t="str">
        <x:f>IF(COUNTA(BA24:BB24)=0,"",N(BA24)-N(BE24))</x:f>
      </x:c>
      <x:c r="BG24" s="260" t="str">
        <x:f>IF(COUNTA(BA24:BB24)=0,"",IF(ABS(BF24)&lt;=0.01,IF(ABS(BD24)&gt;0.01,"СОШЛОСЬ ПОСЛЕ КОРР.","СОШЛОСЬ"),IF(ABS(BD24)&gt;0.01,"ЧАСТИЧНО","НЕОПРЕДЕЛЕНО")))</x:f>
      </x:c>
      <x:c r="BH24" s="190"/>
      <x:c r="BI24" s="202"/>
      <x:c r="BJ24" s="214" t="str">
        <x:f>IF(COUNTA(BH24:BI24)=0,"",N(BH24)-N(BI24))</x:f>
      </x:c>
      <x:c r="BK24" s="226" t="str">
        <x:f>IF(COUNTA(BH24:BI24)=0,"",SUMIFS('04_Влияние_ОПИУ'!$F$2:$F$2000,'04_Влияние_ОПИУ'!$B$2:$B$2000,"2025-09",'04_Влияние_ОПИУ'!$C$2:$C$2000,$A24,'04_Влияние_ОПИУ'!$G$2:$G$2000,"Да"))</x:f>
      </x:c>
      <x:c r="BL24" s="238" t="str">
        <x:f>IF(COUNTA(BH24:BI24)=0,"",N(BI24)+N(BK24))</x:f>
      </x:c>
      <x:c r="BM24" s="252" t="str">
        <x:f>IF(COUNTA(BH24:BI24)=0,"",N(BH24)-N(BL24))</x:f>
      </x:c>
      <x:c r="BN24" s="260" t="str">
        <x:f>IF(COUNTA(BH24:BI24)=0,"",IF(ABS(BM24)&lt;=0.01,IF(ABS(BK24)&gt;0.01,"СОШЛОСЬ ПОСЛЕ КОРР.","СОШЛОСЬ"),IF(ABS(BK24)&gt;0.01,"ЧАСТИЧНО","НЕОПРЕДЕЛЕНО")))</x:f>
      </x:c>
      <x:c r="BO24" s="190"/>
      <x:c r="BP24" s="202"/>
      <x:c r="BQ24" s="214" t="str">
        <x:f>IF(COUNTA(BO24:BP24)=0,"",N(BO24)-N(BP24))</x:f>
      </x:c>
      <x:c r="BR24" s="226" t="str">
        <x:f>IF(COUNTA(BO24:BP24)=0,"",SUMIFS('04_Влияние_ОПИУ'!$F$2:$F$2000,'04_Влияние_ОПИУ'!$B$2:$B$2000,"2025-10",'04_Влияние_ОПИУ'!$C$2:$C$2000,$A24,'04_Влияние_ОПИУ'!$G$2:$G$2000,"Да"))</x:f>
      </x:c>
      <x:c r="BS24" s="238" t="str">
        <x:f>IF(COUNTA(BO24:BP24)=0,"",N(BP24)+N(BR24))</x:f>
      </x:c>
      <x:c r="BT24" s="252" t="str">
        <x:f>IF(COUNTA(BO24:BP24)=0,"",N(BO24)-N(BS24))</x:f>
      </x:c>
      <x:c r="BU24" s="260" t="str">
        <x:f>IF(COUNTA(BO24:BP24)=0,"",IF(ABS(BT24)&lt;=0.01,IF(ABS(BR24)&gt;0.01,"СОШЛОСЬ ПОСЛЕ КОРР.","СОШЛОСЬ"),IF(ABS(BR24)&gt;0.01,"ЧАСТИЧНО","НЕОПРЕДЕЛЕНО")))</x:f>
      </x:c>
      <x:c r="BV24" s="190"/>
      <x:c r="BW24" s="202"/>
      <x:c r="BX24" s="214" t="str">
        <x:f>IF(COUNTA(BV24:BW24)=0,"",N(BV24)-N(BW24))</x:f>
      </x:c>
      <x:c r="BY24" s="226" t="str">
        <x:f>IF(COUNTA(BV24:BW24)=0,"",SUMIFS('04_Влияние_ОПИУ'!$F$2:$F$2000,'04_Влияние_ОПИУ'!$B$2:$B$2000,"2025-11",'04_Влияние_ОПИУ'!$C$2:$C$2000,$A24,'04_Влияние_ОПИУ'!$G$2:$G$2000,"Да"))</x:f>
      </x:c>
      <x:c r="BZ24" s="238" t="str">
        <x:f>IF(COUNTA(BV24:BW24)=0,"",N(BW24)+N(BY24))</x:f>
      </x:c>
      <x:c r="CA24" s="252" t="str">
        <x:f>IF(COUNTA(BV24:BW24)=0,"",N(BV24)-N(BZ24))</x:f>
      </x:c>
      <x:c r="CB24" s="260" t="str">
        <x:f>IF(COUNTA(BV24:BW24)=0,"",IF(ABS(CA24)&lt;=0.01,IF(ABS(BY24)&gt;0.01,"СОШЛОСЬ ПОСЛЕ КОРР.","СОШЛОСЬ"),IF(ABS(BY24)&gt;0.01,"ЧАСТИЧНО","НЕОПРЕДЕЛЕНО")))</x:f>
      </x:c>
      <x:c r="CC24" s="190"/>
      <x:c r="CD24" s="202"/>
      <x:c r="CE24" s="214" t="str">
        <x:f>IF(COUNTA(CC24:CD24)=0,"",N(CC24)-N(CD24))</x:f>
      </x:c>
      <x:c r="CF24" s="226" t="str">
        <x:f>IF(COUNTA(CC24:CD24)=0,"",SUMIFS('04_Влияние_ОПИУ'!$F$2:$F$2000,'04_Влияние_ОПИУ'!$B$2:$B$2000,"2025-12",'04_Влияние_ОПИУ'!$C$2:$C$2000,$A24,'04_Влияние_ОПИУ'!$G$2:$G$2000,"Да"))</x:f>
      </x:c>
      <x:c r="CG24" s="238" t="str">
        <x:f>IF(COUNTA(CC24:CD24)=0,"",N(CD24)+N(CF24))</x:f>
      </x:c>
      <x:c r="CH24" s="252" t="str">
        <x:f>IF(COUNTA(CC24:CD24)=0,"",N(CC24)-N(CG24))</x:f>
      </x:c>
      <x:c r="CI24" s="260" t="str">
        <x:f>IF(COUNTA(CC24:CD24)=0,"",IF(ABS(CH24)&lt;=0.01,IF(ABS(CF24)&gt;0.01,"СОШЛОСЬ ПОСЛЕ КОРР.","СОШЛОСЬ"),IF(ABS(CF24)&gt;0.01,"ЧАСТИЧНО","НЕОПРЕДЕЛЕНО")))</x:f>
      </x:c>
    </x:row>
    <x:row r="25">
      <x:c r="A25" s="166" t="str">
        <x:v>R020</x:v>
      </x:c>
      <x:c r="B25" s="166" t="str">
        <x:v>        Абонентское обслуживание ПО (1С, Windows и пр)</x:v>
      </x:c>
      <x:c r="C25" s="170" t="str">
        <x:v>        Абонентское обслуживание ПО (1С, Windows и пр)</x:v>
      </x:c>
      <x:c r="D25" s="190"/>
      <x:c r="E25" s="202"/>
      <x:c r="F25" s="214" t="str">
        <x:f>IF(COUNTA(D25:E25)=0,"",N(D25)-N(E25))</x:f>
      </x:c>
      <x:c r="G25" s="226" t="str">
        <x:f>IF(COUNTA(D25:E25)=0,"",SUMIFS('04_Влияние_ОПИУ'!$F$2:$F$2000,'04_Влияние_ОПИУ'!$B$2:$B$2000,"2025-01",'04_Влияние_ОПИУ'!$C$2:$C$2000,$A25,'04_Влияние_ОПИУ'!$G$2:$G$2000,"Да"))</x:f>
      </x:c>
      <x:c r="H25" s="238" t="str">
        <x:f>IF(COUNTA(D25:E25)=0,"",N(E25)+N(G25))</x:f>
      </x:c>
      <x:c r="I25" s="252" t="str">
        <x:f>IF(COUNTA(D25:E25)=0,"",N(D25)-N(H25))</x:f>
      </x:c>
      <x:c r="J25" s="260" t="str">
        <x:f>IF(COUNTA(D25:E25)=0,"",IF(ABS(I25)&lt;=0.01,IF(ABS(G25)&gt;0.01,"СОШЛОСЬ ПОСЛЕ КОРР.","СОШЛОСЬ"),IF(ABS(G25)&gt;0.01,"ЧАСТИЧНО","НЕОПРЕДЕЛЕНО")))</x:f>
      </x:c>
      <x:c r="K25" s="190"/>
      <x:c r="L25" s="202"/>
      <x:c r="M25" s="214" t="str">
        <x:f>IF(COUNTA(K25:L25)=0,"",N(K25)-N(L25))</x:f>
      </x:c>
      <x:c r="N25" s="226" t="str">
        <x:f>IF(COUNTA(K25:L25)=0,"",SUMIFS('04_Влияние_ОПИУ'!$F$2:$F$2000,'04_Влияние_ОПИУ'!$B$2:$B$2000,"2025-02",'04_Влияние_ОПИУ'!$C$2:$C$2000,$A25,'04_Влияние_ОПИУ'!$G$2:$G$2000,"Да"))</x:f>
      </x:c>
      <x:c r="O25" s="238" t="str">
        <x:f>IF(COUNTA(K25:L25)=0,"",N(L25)+N(N25))</x:f>
      </x:c>
      <x:c r="P25" s="252" t="str">
        <x:f>IF(COUNTA(K25:L25)=0,"",N(K25)-N(O25))</x:f>
      </x:c>
      <x:c r="Q25" s="260" t="str">
        <x:f>IF(COUNTA(K25:L25)=0,"",IF(ABS(P25)&lt;=0.01,IF(ABS(N25)&gt;0.01,"СОШЛОСЬ ПОСЛЕ КОРР.","СОШЛОСЬ"),IF(ABS(N25)&gt;0.01,"ЧАСТИЧНО","НЕОПРЕДЕЛЕНО")))</x:f>
      </x:c>
      <x:c r="R25" s="190"/>
      <x:c r="S25" s="202"/>
      <x:c r="T25" s="214" t="str">
        <x:f>IF(COUNTA(R25:S25)=0,"",N(R25)-N(S25))</x:f>
      </x:c>
      <x:c r="U25" s="226" t="str">
        <x:f>IF(COUNTA(R25:S25)=0,"",SUMIFS('04_Влияние_ОПИУ'!$F$2:$F$2000,'04_Влияние_ОПИУ'!$B$2:$B$2000,"2025-03",'04_Влияние_ОПИУ'!$C$2:$C$2000,$A25,'04_Влияние_ОПИУ'!$G$2:$G$2000,"Да"))</x:f>
      </x:c>
      <x:c r="V25" s="238" t="str">
        <x:f>IF(COUNTA(R25:S25)=0,"",N(S25)+N(U25))</x:f>
      </x:c>
      <x:c r="W25" s="252" t="str">
        <x:f>IF(COUNTA(R25:S25)=0,"",N(R25)-N(V25))</x:f>
      </x:c>
      <x:c r="X25" s="260" t="str">
        <x:f>IF(COUNTA(R25:S25)=0,"",IF(ABS(W25)&lt;=0.01,IF(ABS(U25)&gt;0.01,"СОШЛОСЬ ПОСЛЕ КОРР.","СОШЛОСЬ"),IF(ABS(U25)&gt;0.01,"ЧАСТИЧНО","НЕОПРЕДЕЛЕНО")))</x:f>
      </x:c>
      <x:c r="Y25" s="190"/>
      <x:c r="Z25" s="202"/>
      <x:c r="AA25" s="214" t="str">
        <x:f>IF(COUNTA(Y25:Z25)=0,"",N(Y25)-N(Z25))</x:f>
      </x:c>
      <x:c r="AB25" s="226" t="str">
        <x:f>IF(COUNTA(Y25:Z25)=0,"",SUMIFS('04_Влияние_ОПИУ'!$F$2:$F$2000,'04_Влияние_ОПИУ'!$B$2:$B$2000,"2025-04",'04_Влияние_ОПИУ'!$C$2:$C$2000,$A25,'04_Влияние_ОПИУ'!$G$2:$G$2000,"Да"))</x:f>
      </x:c>
      <x:c r="AC25" s="238" t="str">
        <x:f>IF(COUNTA(Y25:Z25)=0,"",N(Z25)+N(AB25))</x:f>
      </x:c>
      <x:c r="AD25" s="252" t="str">
        <x:f>IF(COUNTA(Y25:Z25)=0,"",N(Y25)-N(AC25))</x:f>
      </x:c>
      <x:c r="AE25" s="260" t="str">
        <x:f>IF(COUNTA(Y25:Z25)=0,"",IF(ABS(AD25)&lt;=0.01,IF(ABS(AB25)&gt;0.01,"СОШЛОСЬ ПОСЛЕ КОРР.","СОШЛОСЬ"),IF(ABS(AB25)&gt;0.01,"ЧАСТИЧНО","НЕОПРЕДЕЛЕНО")))</x:f>
      </x:c>
      <x:c r="AF25" s="190"/>
      <x:c r="AG25" s="202"/>
      <x:c r="AH25" s="214" t="str">
        <x:f>IF(COUNTA(AF25:AG25)=0,"",N(AF25)-N(AG25))</x:f>
      </x:c>
      <x:c r="AI25" s="226" t="str">
        <x:f>IF(COUNTA(AF25:AG25)=0,"",SUMIFS('04_Влияние_ОПИУ'!$F$2:$F$2000,'04_Влияние_ОПИУ'!$B$2:$B$2000,"2025-05",'04_Влияние_ОПИУ'!$C$2:$C$2000,$A25,'04_Влияние_ОПИУ'!$G$2:$G$2000,"Да"))</x:f>
      </x:c>
      <x:c r="AJ25" s="238" t="str">
        <x:f>IF(COUNTA(AF25:AG25)=0,"",N(AG25)+N(AI25))</x:f>
      </x:c>
      <x:c r="AK25" s="252" t="str">
        <x:f>IF(COUNTA(AF25:AG25)=0,"",N(AF25)-N(AJ25))</x:f>
      </x:c>
      <x:c r="AL25" s="260" t="str">
        <x:f>IF(COUNTA(AF25:AG25)=0,"",IF(ABS(AK25)&lt;=0.01,IF(ABS(AI25)&gt;0.01,"СОШЛОСЬ ПОСЛЕ КОРР.","СОШЛОСЬ"),IF(ABS(AI25)&gt;0.01,"ЧАСТИЧНО","НЕОПРЕДЕЛЕНО")))</x:f>
      </x:c>
      <x:c r="AM25" s="190"/>
      <x:c r="AN25" s="202"/>
      <x:c r="AO25" s="214" t="str">
        <x:f>IF(COUNTA(AM25:AN25)=0,"",N(AM25)-N(AN25))</x:f>
      </x:c>
      <x:c r="AP25" s="226" t="str">
        <x:f>IF(COUNTA(AM25:AN25)=0,"",SUMIFS('04_Влияние_ОПИУ'!$F$2:$F$2000,'04_Влияние_ОПИУ'!$B$2:$B$2000,"2025-06",'04_Влияние_ОПИУ'!$C$2:$C$2000,$A25,'04_Влияние_ОПИУ'!$G$2:$G$2000,"Да"))</x:f>
      </x:c>
      <x:c r="AQ25" s="238" t="str">
        <x:f>IF(COUNTA(AM25:AN25)=0,"",N(AN25)+N(AP25))</x:f>
      </x:c>
      <x:c r="AR25" s="252" t="str">
        <x:f>IF(COUNTA(AM25:AN25)=0,"",N(AM25)-N(AQ25))</x:f>
      </x:c>
      <x:c r="AS25" s="260" t="str">
        <x:f>IF(COUNTA(AM25:AN25)=0,"",IF(ABS(AR25)&lt;=0.01,IF(ABS(AP25)&gt;0.01,"СОШЛОСЬ ПОСЛЕ КОРР.","СОШЛОСЬ"),IF(ABS(AP25)&gt;0.01,"ЧАСТИЧНО","НЕОПРЕДЕЛЕНО")))</x:f>
      </x:c>
      <x:c r="AT25" s="190"/>
      <x:c r="AU25" s="202"/>
      <x:c r="AV25" s="214" t="str">
        <x:f>IF(COUNTA(AT25:AU25)=0,"",N(AT25)-N(AU25))</x:f>
      </x:c>
      <x:c r="AW25" s="226" t="str">
        <x:f>IF(COUNTA(AT25:AU25)=0,"",SUMIFS('04_Влияние_ОПИУ'!$F$2:$F$2000,'04_Влияние_ОПИУ'!$B$2:$B$2000,"2025-07",'04_Влияние_ОПИУ'!$C$2:$C$2000,$A25,'04_Влияние_ОПИУ'!$G$2:$G$2000,"Да"))</x:f>
      </x:c>
      <x:c r="AX25" s="238" t="str">
        <x:f>IF(COUNTA(AT25:AU25)=0,"",N(AU25)+N(AW25))</x:f>
      </x:c>
      <x:c r="AY25" s="252" t="str">
        <x:f>IF(COUNTA(AT25:AU25)=0,"",N(AT25)-N(AX25))</x:f>
      </x:c>
      <x:c r="AZ25" s="260" t="str">
        <x:f>IF(COUNTA(AT25:AU25)=0,"",IF(ABS(AY25)&lt;=0.01,IF(ABS(AW25)&gt;0.01,"СОШЛОСЬ ПОСЛЕ КОРР.","СОШЛОСЬ"),IF(ABS(AW25)&gt;0.01,"ЧАСТИЧНО","НЕОПРЕДЕЛЕНО")))</x:f>
      </x:c>
      <x:c r="BA25" s="190"/>
      <x:c r="BB25" s="202"/>
      <x:c r="BC25" s="214" t="str">
        <x:f>IF(COUNTA(BA25:BB25)=0,"",N(BA25)-N(BB25))</x:f>
      </x:c>
      <x:c r="BD25" s="226" t="str">
        <x:f>IF(COUNTA(BA25:BB25)=0,"",SUMIFS('04_Влияние_ОПИУ'!$F$2:$F$2000,'04_Влияние_ОПИУ'!$B$2:$B$2000,"2025-08",'04_Влияние_ОПИУ'!$C$2:$C$2000,$A25,'04_Влияние_ОПИУ'!$G$2:$G$2000,"Да"))</x:f>
      </x:c>
      <x:c r="BE25" s="238" t="str">
        <x:f>IF(COUNTA(BA25:BB25)=0,"",N(BB25)+N(BD25))</x:f>
      </x:c>
      <x:c r="BF25" s="252" t="str">
        <x:f>IF(COUNTA(BA25:BB25)=0,"",N(BA25)-N(BE25))</x:f>
      </x:c>
      <x:c r="BG25" s="260" t="str">
        <x:f>IF(COUNTA(BA25:BB25)=0,"",IF(ABS(BF25)&lt;=0.01,IF(ABS(BD25)&gt;0.01,"СОШЛОСЬ ПОСЛЕ КОРР.","СОШЛОСЬ"),IF(ABS(BD25)&gt;0.01,"ЧАСТИЧНО","НЕОПРЕДЕЛЕНО")))</x:f>
      </x:c>
      <x:c r="BH25" s="190"/>
      <x:c r="BI25" s="202"/>
      <x:c r="BJ25" s="214" t="str">
        <x:f>IF(COUNTA(BH25:BI25)=0,"",N(BH25)-N(BI25))</x:f>
      </x:c>
      <x:c r="BK25" s="226" t="str">
        <x:f>IF(COUNTA(BH25:BI25)=0,"",SUMIFS('04_Влияние_ОПИУ'!$F$2:$F$2000,'04_Влияние_ОПИУ'!$B$2:$B$2000,"2025-09",'04_Влияние_ОПИУ'!$C$2:$C$2000,$A25,'04_Влияние_ОПИУ'!$G$2:$G$2000,"Да"))</x:f>
      </x:c>
      <x:c r="BL25" s="238" t="str">
        <x:f>IF(COUNTA(BH25:BI25)=0,"",N(BI25)+N(BK25))</x:f>
      </x:c>
      <x:c r="BM25" s="252" t="str">
        <x:f>IF(COUNTA(BH25:BI25)=0,"",N(BH25)-N(BL25))</x:f>
      </x:c>
      <x:c r="BN25" s="260" t="str">
        <x:f>IF(COUNTA(BH25:BI25)=0,"",IF(ABS(BM25)&lt;=0.01,IF(ABS(BK25)&gt;0.01,"СОШЛОСЬ ПОСЛЕ КОРР.","СОШЛОСЬ"),IF(ABS(BK25)&gt;0.01,"ЧАСТИЧНО","НЕОПРЕДЕЛЕНО")))</x:f>
      </x:c>
      <x:c r="BO25" s="190"/>
      <x:c r="BP25" s="202"/>
      <x:c r="BQ25" s="214" t="str">
        <x:f>IF(COUNTA(BO25:BP25)=0,"",N(BO25)-N(BP25))</x:f>
      </x:c>
      <x:c r="BR25" s="226" t="str">
        <x:f>IF(COUNTA(BO25:BP25)=0,"",SUMIFS('04_Влияние_ОПИУ'!$F$2:$F$2000,'04_Влияние_ОПИУ'!$B$2:$B$2000,"2025-10",'04_Влияние_ОПИУ'!$C$2:$C$2000,$A25,'04_Влияние_ОПИУ'!$G$2:$G$2000,"Да"))</x:f>
      </x:c>
      <x:c r="BS25" s="238" t="str">
        <x:f>IF(COUNTA(BO25:BP25)=0,"",N(BP25)+N(BR25))</x:f>
      </x:c>
      <x:c r="BT25" s="252" t="str">
        <x:f>IF(COUNTA(BO25:BP25)=0,"",N(BO25)-N(BS25))</x:f>
      </x:c>
      <x:c r="BU25" s="260" t="str">
        <x:f>IF(COUNTA(BO25:BP25)=0,"",IF(ABS(BT25)&lt;=0.01,IF(ABS(BR25)&gt;0.01,"СОШЛОСЬ ПОСЛЕ КОРР.","СОШЛОСЬ"),IF(ABS(BR25)&gt;0.01,"ЧАСТИЧНО","НЕОПРЕДЕЛЕНО")))</x:f>
      </x:c>
      <x:c r="BV25" s="190"/>
      <x:c r="BW25" s="202"/>
      <x:c r="BX25" s="214" t="str">
        <x:f>IF(COUNTA(BV25:BW25)=0,"",N(BV25)-N(BW25))</x:f>
      </x:c>
      <x:c r="BY25" s="226" t="str">
        <x:f>IF(COUNTA(BV25:BW25)=0,"",SUMIFS('04_Влияние_ОПИУ'!$F$2:$F$2000,'04_Влияние_ОПИУ'!$B$2:$B$2000,"2025-11",'04_Влияние_ОПИУ'!$C$2:$C$2000,$A25,'04_Влияние_ОПИУ'!$G$2:$G$2000,"Да"))</x:f>
      </x:c>
      <x:c r="BZ25" s="238" t="str">
        <x:f>IF(COUNTA(BV25:BW25)=0,"",N(BW25)+N(BY25))</x:f>
      </x:c>
      <x:c r="CA25" s="252" t="str">
        <x:f>IF(COUNTA(BV25:BW25)=0,"",N(BV25)-N(BZ25))</x:f>
      </x:c>
      <x:c r="CB25" s="260" t="str">
        <x:f>IF(COUNTA(BV25:BW25)=0,"",IF(ABS(CA25)&lt;=0.01,IF(ABS(BY25)&gt;0.01,"СОШЛОСЬ ПОСЛЕ КОРР.","СОШЛОСЬ"),IF(ABS(BY25)&gt;0.01,"ЧАСТИЧНО","НЕОПРЕДЕЛЕНО")))</x:f>
      </x:c>
      <x:c r="CC25" s="190"/>
      <x:c r="CD25" s="202"/>
      <x:c r="CE25" s="214" t="str">
        <x:f>IF(COUNTA(CC25:CD25)=0,"",N(CC25)-N(CD25))</x:f>
      </x:c>
      <x:c r="CF25" s="226" t="str">
        <x:f>IF(COUNTA(CC25:CD25)=0,"",SUMIFS('04_Влияние_ОПИУ'!$F$2:$F$2000,'04_Влияние_ОПИУ'!$B$2:$B$2000,"2025-12",'04_Влияние_ОПИУ'!$C$2:$C$2000,$A25,'04_Влияние_ОПИУ'!$G$2:$G$2000,"Да"))</x:f>
      </x:c>
      <x:c r="CG25" s="238" t="str">
        <x:f>IF(COUNTA(CC25:CD25)=0,"",N(CD25)+N(CF25))</x:f>
      </x:c>
      <x:c r="CH25" s="252" t="str">
        <x:f>IF(COUNTA(CC25:CD25)=0,"",N(CC25)-N(CG25))</x:f>
      </x:c>
      <x:c r="CI25" s="260" t="str">
        <x:f>IF(COUNTA(CC25:CD25)=0,"",IF(ABS(CH25)&lt;=0.01,IF(ABS(CF25)&gt;0.01,"СОШЛОСЬ ПОСЛЕ КОРР.","СОШЛОСЬ"),IF(ABS(CF25)&gt;0.01,"ЧАСТИЧНО","НЕОПРЕДЕЛЕНО")))</x:f>
      </x:c>
    </x:row>
    <x:row r="26">
      <x:c r="A26" s="166" t="str">
        <x:v>R021</x:v>
      </x:c>
      <x:c r="B26" s="166" t="str">
        <x:v>        Обслуживание орг.техники</x:v>
      </x:c>
      <x:c r="C26" s="170" t="str">
        <x:v>        Обслуживание орг.техники</x:v>
      </x:c>
      <x:c r="D26" s="190"/>
      <x:c r="E26" s="202"/>
      <x:c r="F26" s="214" t="str">
        <x:f>IF(COUNTA(D26:E26)=0,"",N(D26)-N(E26))</x:f>
      </x:c>
      <x:c r="G26" s="226" t="str">
        <x:f>IF(COUNTA(D26:E26)=0,"",SUMIFS('04_Влияние_ОПИУ'!$F$2:$F$2000,'04_Влияние_ОПИУ'!$B$2:$B$2000,"2025-01",'04_Влияние_ОПИУ'!$C$2:$C$2000,$A26,'04_Влияние_ОПИУ'!$G$2:$G$2000,"Да"))</x:f>
      </x:c>
      <x:c r="H26" s="238" t="str">
        <x:f>IF(COUNTA(D26:E26)=0,"",N(E26)+N(G26))</x:f>
      </x:c>
      <x:c r="I26" s="252" t="str">
        <x:f>IF(COUNTA(D26:E26)=0,"",N(D26)-N(H26))</x:f>
      </x:c>
      <x:c r="J26" s="260" t="str">
        <x:f>IF(COUNTA(D26:E26)=0,"",IF(ABS(I26)&lt;=0.01,IF(ABS(G26)&gt;0.01,"СОШЛОСЬ ПОСЛЕ КОРР.","СОШЛОСЬ"),IF(ABS(G26)&gt;0.01,"ЧАСТИЧНО","НЕОПРЕДЕЛЕНО")))</x:f>
      </x:c>
      <x:c r="K26" s="190"/>
      <x:c r="L26" s="202"/>
      <x:c r="M26" s="214" t="str">
        <x:f>IF(COUNTA(K26:L26)=0,"",N(K26)-N(L26))</x:f>
      </x:c>
      <x:c r="N26" s="226" t="str">
        <x:f>IF(COUNTA(K26:L26)=0,"",SUMIFS('04_Влияние_ОПИУ'!$F$2:$F$2000,'04_Влияние_ОПИУ'!$B$2:$B$2000,"2025-02",'04_Влияние_ОПИУ'!$C$2:$C$2000,$A26,'04_Влияние_ОПИУ'!$G$2:$G$2000,"Да"))</x:f>
      </x:c>
      <x:c r="O26" s="238" t="str">
        <x:f>IF(COUNTA(K26:L26)=0,"",N(L26)+N(N26))</x:f>
      </x:c>
      <x:c r="P26" s="252" t="str">
        <x:f>IF(COUNTA(K26:L26)=0,"",N(K26)-N(O26))</x:f>
      </x:c>
      <x:c r="Q26" s="260" t="str">
        <x:f>IF(COUNTA(K26:L26)=0,"",IF(ABS(P26)&lt;=0.01,IF(ABS(N26)&gt;0.01,"СОШЛОСЬ ПОСЛЕ КОРР.","СОШЛОСЬ"),IF(ABS(N26)&gt;0.01,"ЧАСТИЧНО","НЕОПРЕДЕЛЕНО")))</x:f>
      </x:c>
      <x:c r="R26" s="190"/>
      <x:c r="S26" s="202"/>
      <x:c r="T26" s="214" t="str">
        <x:f>IF(COUNTA(R26:S26)=0,"",N(R26)-N(S26))</x:f>
      </x:c>
      <x:c r="U26" s="226" t="str">
        <x:f>IF(COUNTA(R26:S26)=0,"",SUMIFS('04_Влияние_ОПИУ'!$F$2:$F$2000,'04_Влияние_ОПИУ'!$B$2:$B$2000,"2025-03",'04_Влияние_ОПИУ'!$C$2:$C$2000,$A26,'04_Влияние_ОПИУ'!$G$2:$G$2000,"Да"))</x:f>
      </x:c>
      <x:c r="V26" s="238" t="str">
        <x:f>IF(COUNTA(R26:S26)=0,"",N(S26)+N(U26))</x:f>
      </x:c>
      <x:c r="W26" s="252" t="str">
        <x:f>IF(COUNTA(R26:S26)=0,"",N(R26)-N(V26))</x:f>
      </x:c>
      <x:c r="X26" s="260" t="str">
        <x:f>IF(COUNTA(R26:S26)=0,"",IF(ABS(W26)&lt;=0.01,IF(ABS(U26)&gt;0.01,"СОШЛОСЬ ПОСЛЕ КОРР.","СОШЛОСЬ"),IF(ABS(U26)&gt;0.01,"ЧАСТИЧНО","НЕОПРЕДЕЛЕНО")))</x:f>
      </x:c>
      <x:c r="Y26" s="190"/>
      <x:c r="Z26" s="202"/>
      <x:c r="AA26" s="214" t="str">
        <x:f>IF(COUNTA(Y26:Z26)=0,"",N(Y26)-N(Z26))</x:f>
      </x:c>
      <x:c r="AB26" s="226" t="str">
        <x:f>IF(COUNTA(Y26:Z26)=0,"",SUMIFS('04_Влияние_ОПИУ'!$F$2:$F$2000,'04_Влияние_ОПИУ'!$B$2:$B$2000,"2025-04",'04_Влияние_ОПИУ'!$C$2:$C$2000,$A26,'04_Влияние_ОПИУ'!$G$2:$G$2000,"Да"))</x:f>
      </x:c>
      <x:c r="AC26" s="238" t="str">
        <x:f>IF(COUNTA(Y26:Z26)=0,"",N(Z26)+N(AB26))</x:f>
      </x:c>
      <x:c r="AD26" s="252" t="str">
        <x:f>IF(COUNTA(Y26:Z26)=0,"",N(Y26)-N(AC26))</x:f>
      </x:c>
      <x:c r="AE26" s="260" t="str">
        <x:f>IF(COUNTA(Y26:Z26)=0,"",IF(ABS(AD26)&lt;=0.01,IF(ABS(AB26)&gt;0.01,"СОШЛОСЬ ПОСЛЕ КОРР.","СОШЛОСЬ"),IF(ABS(AB26)&gt;0.01,"ЧАСТИЧНО","НЕОПРЕДЕЛЕНО")))</x:f>
      </x:c>
      <x:c r="AF26" s="190"/>
      <x:c r="AG26" s="202"/>
      <x:c r="AH26" s="214" t="str">
        <x:f>IF(COUNTA(AF26:AG26)=0,"",N(AF26)-N(AG26))</x:f>
      </x:c>
      <x:c r="AI26" s="226" t="str">
        <x:f>IF(COUNTA(AF26:AG26)=0,"",SUMIFS('04_Влияние_ОПИУ'!$F$2:$F$2000,'04_Влияние_ОПИУ'!$B$2:$B$2000,"2025-05",'04_Влияние_ОПИУ'!$C$2:$C$2000,$A26,'04_Влияние_ОПИУ'!$G$2:$G$2000,"Да"))</x:f>
      </x:c>
      <x:c r="AJ26" s="238" t="str">
        <x:f>IF(COUNTA(AF26:AG26)=0,"",N(AG26)+N(AI26))</x:f>
      </x:c>
      <x:c r="AK26" s="252" t="str">
        <x:f>IF(COUNTA(AF26:AG26)=0,"",N(AF26)-N(AJ26))</x:f>
      </x:c>
      <x:c r="AL26" s="260" t="str">
        <x:f>IF(COUNTA(AF26:AG26)=0,"",IF(ABS(AK26)&lt;=0.01,IF(ABS(AI26)&gt;0.01,"СОШЛОСЬ ПОСЛЕ КОРР.","СОШЛОСЬ"),IF(ABS(AI26)&gt;0.01,"ЧАСТИЧНО","НЕОПРЕДЕЛЕНО")))</x:f>
      </x:c>
      <x:c r="AM26" s="190"/>
      <x:c r="AN26" s="202"/>
      <x:c r="AO26" s="214" t="str">
        <x:f>IF(COUNTA(AM26:AN26)=0,"",N(AM26)-N(AN26))</x:f>
      </x:c>
      <x:c r="AP26" s="226" t="str">
        <x:f>IF(COUNTA(AM26:AN26)=0,"",SUMIFS('04_Влияние_ОПИУ'!$F$2:$F$2000,'04_Влияние_ОПИУ'!$B$2:$B$2000,"2025-06",'04_Влияние_ОПИУ'!$C$2:$C$2000,$A26,'04_Влияние_ОПИУ'!$G$2:$G$2000,"Да"))</x:f>
      </x:c>
      <x:c r="AQ26" s="238" t="str">
        <x:f>IF(COUNTA(AM26:AN26)=0,"",N(AN26)+N(AP26))</x:f>
      </x:c>
      <x:c r="AR26" s="252" t="str">
        <x:f>IF(COUNTA(AM26:AN26)=0,"",N(AM26)-N(AQ26))</x:f>
      </x:c>
      <x:c r="AS26" s="260" t="str">
        <x:f>IF(COUNTA(AM26:AN26)=0,"",IF(ABS(AR26)&lt;=0.01,IF(ABS(AP26)&gt;0.01,"СОШЛОСЬ ПОСЛЕ КОРР.","СОШЛОСЬ"),IF(ABS(AP26)&gt;0.01,"ЧАСТИЧНО","НЕОПРЕДЕЛЕНО")))</x:f>
      </x:c>
      <x:c r="AT26" s="190"/>
      <x:c r="AU26" s="202"/>
      <x:c r="AV26" s="214" t="str">
        <x:f>IF(COUNTA(AT26:AU26)=0,"",N(AT26)-N(AU26))</x:f>
      </x:c>
      <x:c r="AW26" s="226" t="str">
        <x:f>IF(COUNTA(AT26:AU26)=0,"",SUMIFS('04_Влияние_ОПИУ'!$F$2:$F$2000,'04_Влияние_ОПИУ'!$B$2:$B$2000,"2025-07",'04_Влияние_ОПИУ'!$C$2:$C$2000,$A26,'04_Влияние_ОПИУ'!$G$2:$G$2000,"Да"))</x:f>
      </x:c>
      <x:c r="AX26" s="238" t="str">
        <x:f>IF(COUNTA(AT26:AU26)=0,"",N(AU26)+N(AW26))</x:f>
      </x:c>
      <x:c r="AY26" s="252" t="str">
        <x:f>IF(COUNTA(AT26:AU26)=0,"",N(AT26)-N(AX26))</x:f>
      </x:c>
      <x:c r="AZ26" s="260" t="str">
        <x:f>IF(COUNTA(AT26:AU26)=0,"",IF(ABS(AY26)&lt;=0.01,IF(ABS(AW26)&gt;0.01,"СОШЛОСЬ ПОСЛЕ КОРР.","СОШЛОСЬ"),IF(ABS(AW26)&gt;0.01,"ЧАСТИЧНО","НЕОПРЕДЕЛЕНО")))</x:f>
      </x:c>
      <x:c r="BA26" s="190"/>
      <x:c r="BB26" s="202"/>
      <x:c r="BC26" s="214" t="str">
        <x:f>IF(COUNTA(BA26:BB26)=0,"",N(BA26)-N(BB26))</x:f>
      </x:c>
      <x:c r="BD26" s="226" t="str">
        <x:f>IF(COUNTA(BA26:BB26)=0,"",SUMIFS('04_Влияние_ОПИУ'!$F$2:$F$2000,'04_Влияние_ОПИУ'!$B$2:$B$2000,"2025-08",'04_Влияние_ОПИУ'!$C$2:$C$2000,$A26,'04_Влияние_ОПИУ'!$G$2:$G$2000,"Да"))</x:f>
      </x:c>
      <x:c r="BE26" s="238" t="str">
        <x:f>IF(COUNTA(BA26:BB26)=0,"",N(BB26)+N(BD26))</x:f>
      </x:c>
      <x:c r="BF26" s="252" t="str">
        <x:f>IF(COUNTA(BA26:BB26)=0,"",N(BA26)-N(BE26))</x:f>
      </x:c>
      <x:c r="BG26" s="260" t="str">
        <x:f>IF(COUNTA(BA26:BB26)=0,"",IF(ABS(BF26)&lt;=0.01,IF(ABS(BD26)&gt;0.01,"СОШЛОСЬ ПОСЛЕ КОРР.","СОШЛОСЬ"),IF(ABS(BD26)&gt;0.01,"ЧАСТИЧНО","НЕОПРЕДЕЛЕНО")))</x:f>
      </x:c>
      <x:c r="BH26" s="190"/>
      <x:c r="BI26" s="202"/>
      <x:c r="BJ26" s="214" t="str">
        <x:f>IF(COUNTA(BH26:BI26)=0,"",N(BH26)-N(BI26))</x:f>
      </x:c>
      <x:c r="BK26" s="226" t="str">
        <x:f>IF(COUNTA(BH26:BI26)=0,"",SUMIFS('04_Влияние_ОПИУ'!$F$2:$F$2000,'04_Влияние_ОПИУ'!$B$2:$B$2000,"2025-09",'04_Влияние_ОПИУ'!$C$2:$C$2000,$A26,'04_Влияние_ОПИУ'!$G$2:$G$2000,"Да"))</x:f>
      </x:c>
      <x:c r="BL26" s="238" t="str">
        <x:f>IF(COUNTA(BH26:BI26)=0,"",N(BI26)+N(BK26))</x:f>
      </x:c>
      <x:c r="BM26" s="252" t="str">
        <x:f>IF(COUNTA(BH26:BI26)=0,"",N(BH26)-N(BL26))</x:f>
      </x:c>
      <x:c r="BN26" s="260" t="str">
        <x:f>IF(COUNTA(BH26:BI26)=0,"",IF(ABS(BM26)&lt;=0.01,IF(ABS(BK26)&gt;0.01,"СОШЛОСЬ ПОСЛЕ КОРР.","СОШЛОСЬ"),IF(ABS(BK26)&gt;0.01,"ЧАСТИЧНО","НЕОПРЕДЕЛЕНО")))</x:f>
      </x:c>
      <x:c r="BO26" s="190"/>
      <x:c r="BP26" s="202"/>
      <x:c r="BQ26" s="214" t="str">
        <x:f>IF(COUNTA(BO26:BP26)=0,"",N(BO26)-N(BP26))</x:f>
      </x:c>
      <x:c r="BR26" s="226" t="str">
        <x:f>IF(COUNTA(BO26:BP26)=0,"",SUMIFS('04_Влияние_ОПИУ'!$F$2:$F$2000,'04_Влияние_ОПИУ'!$B$2:$B$2000,"2025-10",'04_Влияние_ОПИУ'!$C$2:$C$2000,$A26,'04_Влияние_ОПИУ'!$G$2:$G$2000,"Да"))</x:f>
      </x:c>
      <x:c r="BS26" s="238" t="str">
        <x:f>IF(COUNTA(BO26:BP26)=0,"",N(BP26)+N(BR26))</x:f>
      </x:c>
      <x:c r="BT26" s="252" t="str">
        <x:f>IF(COUNTA(BO26:BP26)=0,"",N(BO26)-N(BS26))</x:f>
      </x:c>
      <x:c r="BU26" s="260" t="str">
        <x:f>IF(COUNTA(BO26:BP26)=0,"",IF(ABS(BT26)&lt;=0.01,IF(ABS(BR26)&gt;0.01,"СОШЛОСЬ ПОСЛЕ КОРР.","СОШЛОСЬ"),IF(ABS(BR26)&gt;0.01,"ЧАСТИЧНО","НЕОПРЕДЕЛЕНО")))</x:f>
      </x:c>
      <x:c r="BV26" s="190"/>
      <x:c r="BW26" s="202"/>
      <x:c r="BX26" s="214" t="str">
        <x:f>IF(COUNTA(BV26:BW26)=0,"",N(BV26)-N(BW26))</x:f>
      </x:c>
      <x:c r="BY26" s="226" t="str">
        <x:f>IF(COUNTA(BV26:BW26)=0,"",SUMIFS('04_Влияние_ОПИУ'!$F$2:$F$2000,'04_Влияние_ОПИУ'!$B$2:$B$2000,"2025-11",'04_Влияние_ОПИУ'!$C$2:$C$2000,$A26,'04_Влияние_ОПИУ'!$G$2:$G$2000,"Да"))</x:f>
      </x:c>
      <x:c r="BZ26" s="238" t="str">
        <x:f>IF(COUNTA(BV26:BW26)=0,"",N(BW26)+N(BY26))</x:f>
      </x:c>
      <x:c r="CA26" s="252" t="str">
        <x:f>IF(COUNTA(BV26:BW26)=0,"",N(BV26)-N(BZ26))</x:f>
      </x:c>
      <x:c r="CB26" s="260" t="str">
        <x:f>IF(COUNTA(BV26:BW26)=0,"",IF(ABS(CA26)&lt;=0.01,IF(ABS(BY26)&gt;0.01,"СОШЛОСЬ ПОСЛЕ КОРР.","СОШЛОСЬ"),IF(ABS(BY26)&gt;0.01,"ЧАСТИЧНО","НЕОПРЕДЕЛЕНО")))</x:f>
      </x:c>
      <x:c r="CC26" s="190"/>
      <x:c r="CD26" s="202"/>
      <x:c r="CE26" s="214" t="str">
        <x:f>IF(COUNTA(CC26:CD26)=0,"",N(CC26)-N(CD26))</x:f>
      </x:c>
      <x:c r="CF26" s="226" t="str">
        <x:f>IF(COUNTA(CC26:CD26)=0,"",SUMIFS('04_Влияние_ОПИУ'!$F$2:$F$2000,'04_Влияние_ОПИУ'!$B$2:$B$2000,"2025-12",'04_Влияние_ОПИУ'!$C$2:$C$2000,$A26,'04_Влияние_ОПИУ'!$G$2:$G$2000,"Да"))</x:f>
      </x:c>
      <x:c r="CG26" s="238" t="str">
        <x:f>IF(COUNTA(CC26:CD26)=0,"",N(CD26)+N(CF26))</x:f>
      </x:c>
      <x:c r="CH26" s="252" t="str">
        <x:f>IF(COUNTA(CC26:CD26)=0,"",N(CC26)-N(CG26))</x:f>
      </x:c>
      <x:c r="CI26" s="260" t="str">
        <x:f>IF(COUNTA(CC26:CD26)=0,"",IF(ABS(CH26)&lt;=0.01,IF(ABS(CF26)&gt;0.01,"СОШЛОСЬ ПОСЛЕ КОРР.","СОШЛОСЬ"),IF(ABS(CF26)&gt;0.01,"ЧАСТИЧНО","НЕОПРЕДЕЛЕНО")))</x:f>
      </x:c>
    </x:row>
    <x:row r="27">
      <x:c r="A27" s="166" t="str">
        <x:v>R022</x:v>
      </x:c>
      <x:c r="B27" s="166" t="str">
        <x:v>        Орг.техника и комплектующие</x:v>
      </x:c>
      <x:c r="C27" s="170" t="str">
        <x:v>        Орг.техника и комплектующие</x:v>
      </x:c>
      <x:c r="D27" s="190"/>
      <x:c r="E27" s="202"/>
      <x:c r="F27" s="214" t="str">
        <x:f>IF(COUNTA(D27:E27)=0,"",N(D27)-N(E27))</x:f>
      </x:c>
      <x:c r="G27" s="226" t="str">
        <x:f>IF(COUNTA(D27:E27)=0,"",SUMIFS('04_Влияние_ОПИУ'!$F$2:$F$2000,'04_Влияние_ОПИУ'!$B$2:$B$2000,"2025-01",'04_Влияние_ОПИУ'!$C$2:$C$2000,$A27,'04_Влияние_ОПИУ'!$G$2:$G$2000,"Да"))</x:f>
      </x:c>
      <x:c r="H27" s="238" t="str">
        <x:f>IF(COUNTA(D27:E27)=0,"",N(E27)+N(G27))</x:f>
      </x:c>
      <x:c r="I27" s="252" t="str">
        <x:f>IF(COUNTA(D27:E27)=0,"",N(D27)-N(H27))</x:f>
      </x:c>
      <x:c r="J27" s="260" t="str">
        <x:f>IF(COUNTA(D27:E27)=0,"",IF(ABS(I27)&lt;=0.01,IF(ABS(G27)&gt;0.01,"СОШЛОСЬ ПОСЛЕ КОРР.","СОШЛОСЬ"),IF(ABS(G27)&gt;0.01,"ЧАСТИЧНО","НЕОПРЕДЕЛЕНО")))</x:f>
      </x:c>
      <x:c r="K27" s="190"/>
      <x:c r="L27" s="202"/>
      <x:c r="M27" s="214" t="str">
        <x:f>IF(COUNTA(K27:L27)=0,"",N(K27)-N(L27))</x:f>
      </x:c>
      <x:c r="N27" s="226" t="str">
        <x:f>IF(COUNTA(K27:L27)=0,"",SUMIFS('04_Влияние_ОПИУ'!$F$2:$F$2000,'04_Влияние_ОПИУ'!$B$2:$B$2000,"2025-02",'04_Влияние_ОПИУ'!$C$2:$C$2000,$A27,'04_Влияние_ОПИУ'!$G$2:$G$2000,"Да"))</x:f>
      </x:c>
      <x:c r="O27" s="238" t="str">
        <x:f>IF(COUNTA(K27:L27)=0,"",N(L27)+N(N27))</x:f>
      </x:c>
      <x:c r="P27" s="252" t="str">
        <x:f>IF(COUNTA(K27:L27)=0,"",N(K27)-N(O27))</x:f>
      </x:c>
      <x:c r="Q27" s="260" t="str">
        <x:f>IF(COUNTA(K27:L27)=0,"",IF(ABS(P27)&lt;=0.01,IF(ABS(N27)&gt;0.01,"СОШЛОСЬ ПОСЛЕ КОРР.","СОШЛОСЬ"),IF(ABS(N27)&gt;0.01,"ЧАСТИЧНО","НЕОПРЕДЕЛЕНО")))</x:f>
      </x:c>
      <x:c r="R27" s="190"/>
      <x:c r="S27" s="202"/>
      <x:c r="T27" s="214" t="str">
        <x:f>IF(COUNTA(R27:S27)=0,"",N(R27)-N(S27))</x:f>
      </x:c>
      <x:c r="U27" s="226" t="str">
        <x:f>IF(COUNTA(R27:S27)=0,"",SUMIFS('04_Влияние_ОПИУ'!$F$2:$F$2000,'04_Влияние_ОПИУ'!$B$2:$B$2000,"2025-03",'04_Влияние_ОПИУ'!$C$2:$C$2000,$A27,'04_Влияние_ОПИУ'!$G$2:$G$2000,"Да"))</x:f>
      </x:c>
      <x:c r="V27" s="238" t="str">
        <x:f>IF(COUNTA(R27:S27)=0,"",N(S27)+N(U27))</x:f>
      </x:c>
      <x:c r="W27" s="252" t="str">
        <x:f>IF(COUNTA(R27:S27)=0,"",N(R27)-N(V27))</x:f>
      </x:c>
      <x:c r="X27" s="260" t="str">
        <x:f>IF(COUNTA(R27:S27)=0,"",IF(ABS(W27)&lt;=0.01,IF(ABS(U27)&gt;0.01,"СОШЛОСЬ ПОСЛЕ КОРР.","СОШЛОСЬ"),IF(ABS(U27)&gt;0.01,"ЧАСТИЧНО","НЕОПРЕДЕЛЕНО")))</x:f>
      </x:c>
      <x:c r="Y27" s="190"/>
      <x:c r="Z27" s="202"/>
      <x:c r="AA27" s="214" t="str">
        <x:f>IF(COUNTA(Y27:Z27)=0,"",N(Y27)-N(Z27))</x:f>
      </x:c>
      <x:c r="AB27" s="226" t="str">
        <x:f>IF(COUNTA(Y27:Z27)=0,"",SUMIFS('04_Влияние_ОПИУ'!$F$2:$F$2000,'04_Влияние_ОПИУ'!$B$2:$B$2000,"2025-04",'04_Влияние_ОПИУ'!$C$2:$C$2000,$A27,'04_Влияние_ОПИУ'!$G$2:$G$2000,"Да"))</x:f>
      </x:c>
      <x:c r="AC27" s="238" t="str">
        <x:f>IF(COUNTA(Y27:Z27)=0,"",N(Z27)+N(AB27))</x:f>
      </x:c>
      <x:c r="AD27" s="252" t="str">
        <x:f>IF(COUNTA(Y27:Z27)=0,"",N(Y27)-N(AC27))</x:f>
      </x:c>
      <x:c r="AE27" s="260" t="str">
        <x:f>IF(COUNTA(Y27:Z27)=0,"",IF(ABS(AD27)&lt;=0.01,IF(ABS(AB27)&gt;0.01,"СОШЛОСЬ ПОСЛЕ КОРР.","СОШЛОСЬ"),IF(ABS(AB27)&gt;0.01,"ЧАСТИЧНО","НЕОПРЕДЕЛЕНО")))</x:f>
      </x:c>
      <x:c r="AF27" s="190"/>
      <x:c r="AG27" s="202"/>
      <x:c r="AH27" s="214" t="str">
        <x:f>IF(COUNTA(AF27:AG27)=0,"",N(AF27)-N(AG27))</x:f>
      </x:c>
      <x:c r="AI27" s="226" t="str">
        <x:f>IF(COUNTA(AF27:AG27)=0,"",SUMIFS('04_Влияние_ОПИУ'!$F$2:$F$2000,'04_Влияние_ОПИУ'!$B$2:$B$2000,"2025-05",'04_Влияние_ОПИУ'!$C$2:$C$2000,$A27,'04_Влияние_ОПИУ'!$G$2:$G$2000,"Да"))</x:f>
      </x:c>
      <x:c r="AJ27" s="238" t="str">
        <x:f>IF(COUNTA(AF27:AG27)=0,"",N(AG27)+N(AI27))</x:f>
      </x:c>
      <x:c r="AK27" s="252" t="str">
        <x:f>IF(COUNTA(AF27:AG27)=0,"",N(AF27)-N(AJ27))</x:f>
      </x:c>
      <x:c r="AL27" s="260" t="str">
        <x:f>IF(COUNTA(AF27:AG27)=0,"",IF(ABS(AK27)&lt;=0.01,IF(ABS(AI27)&gt;0.01,"СОШЛОСЬ ПОСЛЕ КОРР.","СОШЛОСЬ"),IF(ABS(AI27)&gt;0.01,"ЧАСТИЧНО","НЕОПРЕДЕЛЕНО")))</x:f>
      </x:c>
      <x:c r="AM27" s="190"/>
      <x:c r="AN27" s="202"/>
      <x:c r="AO27" s="214" t="str">
        <x:f>IF(COUNTA(AM27:AN27)=0,"",N(AM27)-N(AN27))</x:f>
      </x:c>
      <x:c r="AP27" s="226" t="str">
        <x:f>IF(COUNTA(AM27:AN27)=0,"",SUMIFS('04_Влияние_ОПИУ'!$F$2:$F$2000,'04_Влияние_ОПИУ'!$B$2:$B$2000,"2025-06",'04_Влияние_ОПИУ'!$C$2:$C$2000,$A27,'04_Влияние_ОПИУ'!$G$2:$G$2000,"Да"))</x:f>
      </x:c>
      <x:c r="AQ27" s="238" t="str">
        <x:f>IF(COUNTA(AM27:AN27)=0,"",N(AN27)+N(AP27))</x:f>
      </x:c>
      <x:c r="AR27" s="252" t="str">
        <x:f>IF(COUNTA(AM27:AN27)=0,"",N(AM27)-N(AQ27))</x:f>
      </x:c>
      <x:c r="AS27" s="260" t="str">
        <x:f>IF(COUNTA(AM27:AN27)=0,"",IF(ABS(AR27)&lt;=0.01,IF(ABS(AP27)&gt;0.01,"СОШЛОСЬ ПОСЛЕ КОРР.","СОШЛОСЬ"),IF(ABS(AP27)&gt;0.01,"ЧАСТИЧНО","НЕОПРЕДЕЛЕНО")))</x:f>
      </x:c>
      <x:c r="AT27" s="190"/>
      <x:c r="AU27" s="202"/>
      <x:c r="AV27" s="214" t="str">
        <x:f>IF(COUNTA(AT27:AU27)=0,"",N(AT27)-N(AU27))</x:f>
      </x:c>
      <x:c r="AW27" s="226" t="str">
        <x:f>IF(COUNTA(AT27:AU27)=0,"",SUMIFS('04_Влияние_ОПИУ'!$F$2:$F$2000,'04_Влияние_ОПИУ'!$B$2:$B$2000,"2025-07",'04_Влияние_ОПИУ'!$C$2:$C$2000,$A27,'04_Влияние_ОПИУ'!$G$2:$G$2000,"Да"))</x:f>
      </x:c>
      <x:c r="AX27" s="238" t="str">
        <x:f>IF(COUNTA(AT27:AU27)=0,"",N(AU27)+N(AW27))</x:f>
      </x:c>
      <x:c r="AY27" s="252" t="str">
        <x:f>IF(COUNTA(AT27:AU27)=0,"",N(AT27)-N(AX27))</x:f>
      </x:c>
      <x:c r="AZ27" s="260" t="str">
        <x:f>IF(COUNTA(AT27:AU27)=0,"",IF(ABS(AY27)&lt;=0.01,IF(ABS(AW27)&gt;0.01,"СОШЛОСЬ ПОСЛЕ КОРР.","СОШЛОСЬ"),IF(ABS(AW27)&gt;0.01,"ЧАСТИЧНО","НЕОПРЕДЕЛЕНО")))</x:f>
      </x:c>
      <x:c r="BA27" s="190"/>
      <x:c r="BB27" s="202"/>
      <x:c r="BC27" s="214" t="str">
        <x:f>IF(COUNTA(BA27:BB27)=0,"",N(BA27)-N(BB27))</x:f>
      </x:c>
      <x:c r="BD27" s="226" t="str">
        <x:f>IF(COUNTA(BA27:BB27)=0,"",SUMIFS('04_Влияние_ОПИУ'!$F$2:$F$2000,'04_Влияние_ОПИУ'!$B$2:$B$2000,"2025-08",'04_Влияние_ОПИУ'!$C$2:$C$2000,$A27,'04_Влияние_ОПИУ'!$G$2:$G$2000,"Да"))</x:f>
      </x:c>
      <x:c r="BE27" s="238" t="str">
        <x:f>IF(COUNTA(BA27:BB27)=0,"",N(BB27)+N(BD27))</x:f>
      </x:c>
      <x:c r="BF27" s="252" t="str">
        <x:f>IF(COUNTA(BA27:BB27)=0,"",N(BA27)-N(BE27))</x:f>
      </x:c>
      <x:c r="BG27" s="260" t="str">
        <x:f>IF(COUNTA(BA27:BB27)=0,"",IF(ABS(BF27)&lt;=0.01,IF(ABS(BD27)&gt;0.01,"СОШЛОСЬ ПОСЛЕ КОРР.","СОШЛОСЬ"),IF(ABS(BD27)&gt;0.01,"ЧАСТИЧНО","НЕОПРЕДЕЛЕНО")))</x:f>
      </x:c>
      <x:c r="BH27" s="190"/>
      <x:c r="BI27" s="202"/>
      <x:c r="BJ27" s="214" t="str">
        <x:f>IF(COUNTA(BH27:BI27)=0,"",N(BH27)-N(BI27))</x:f>
      </x:c>
      <x:c r="BK27" s="226" t="str">
        <x:f>IF(COUNTA(BH27:BI27)=0,"",SUMIFS('04_Влияние_ОПИУ'!$F$2:$F$2000,'04_Влияние_ОПИУ'!$B$2:$B$2000,"2025-09",'04_Влияние_ОПИУ'!$C$2:$C$2000,$A27,'04_Влияние_ОПИУ'!$G$2:$G$2000,"Да"))</x:f>
      </x:c>
      <x:c r="BL27" s="238" t="str">
        <x:f>IF(COUNTA(BH27:BI27)=0,"",N(BI27)+N(BK27))</x:f>
      </x:c>
      <x:c r="BM27" s="252" t="str">
        <x:f>IF(COUNTA(BH27:BI27)=0,"",N(BH27)-N(BL27))</x:f>
      </x:c>
      <x:c r="BN27" s="260" t="str">
        <x:f>IF(COUNTA(BH27:BI27)=0,"",IF(ABS(BM27)&lt;=0.01,IF(ABS(BK27)&gt;0.01,"СОШЛОСЬ ПОСЛЕ КОРР.","СОШЛОСЬ"),IF(ABS(BK27)&gt;0.01,"ЧАСТИЧНО","НЕОПРЕДЕЛЕНО")))</x:f>
      </x:c>
      <x:c r="BO27" s="190"/>
      <x:c r="BP27" s="202"/>
      <x:c r="BQ27" s="214" t="str">
        <x:f>IF(COUNTA(BO27:BP27)=0,"",N(BO27)-N(BP27))</x:f>
      </x:c>
      <x:c r="BR27" s="226" t="str">
        <x:f>IF(COUNTA(BO27:BP27)=0,"",SUMIFS('04_Влияние_ОПИУ'!$F$2:$F$2000,'04_Влияние_ОПИУ'!$B$2:$B$2000,"2025-10",'04_Влияние_ОПИУ'!$C$2:$C$2000,$A27,'04_Влияние_ОПИУ'!$G$2:$G$2000,"Да"))</x:f>
      </x:c>
      <x:c r="BS27" s="238" t="str">
        <x:f>IF(COUNTA(BO27:BP27)=0,"",N(BP27)+N(BR27))</x:f>
      </x:c>
      <x:c r="BT27" s="252" t="str">
        <x:f>IF(COUNTA(BO27:BP27)=0,"",N(BO27)-N(BS27))</x:f>
      </x:c>
      <x:c r="BU27" s="260" t="str">
        <x:f>IF(COUNTA(BO27:BP27)=0,"",IF(ABS(BT27)&lt;=0.01,IF(ABS(BR27)&gt;0.01,"СОШЛОСЬ ПОСЛЕ КОРР.","СОШЛОСЬ"),IF(ABS(BR27)&gt;0.01,"ЧАСТИЧНО","НЕОПРЕДЕЛЕНО")))</x:f>
      </x:c>
      <x:c r="BV27" s="190"/>
      <x:c r="BW27" s="202"/>
      <x:c r="BX27" s="214" t="str">
        <x:f>IF(COUNTA(BV27:BW27)=0,"",N(BV27)-N(BW27))</x:f>
      </x:c>
      <x:c r="BY27" s="226" t="str">
        <x:f>IF(COUNTA(BV27:BW27)=0,"",SUMIFS('04_Влияние_ОПИУ'!$F$2:$F$2000,'04_Влияние_ОПИУ'!$B$2:$B$2000,"2025-11",'04_Влияние_ОПИУ'!$C$2:$C$2000,$A27,'04_Влияние_ОПИУ'!$G$2:$G$2000,"Да"))</x:f>
      </x:c>
      <x:c r="BZ27" s="238" t="str">
        <x:f>IF(COUNTA(BV27:BW27)=0,"",N(BW27)+N(BY27))</x:f>
      </x:c>
      <x:c r="CA27" s="252" t="str">
        <x:f>IF(COUNTA(BV27:BW27)=0,"",N(BV27)-N(BZ27))</x:f>
      </x:c>
      <x:c r="CB27" s="260" t="str">
        <x:f>IF(COUNTA(BV27:BW27)=0,"",IF(ABS(CA27)&lt;=0.01,IF(ABS(BY27)&gt;0.01,"СОШЛОСЬ ПОСЛЕ КОРР.","СОШЛОСЬ"),IF(ABS(BY27)&gt;0.01,"ЧАСТИЧНО","НЕОПРЕДЕЛЕНО")))</x:f>
      </x:c>
      <x:c r="CC27" s="190"/>
      <x:c r="CD27" s="202"/>
      <x:c r="CE27" s="214" t="str">
        <x:f>IF(COUNTA(CC27:CD27)=0,"",N(CC27)-N(CD27))</x:f>
      </x:c>
      <x:c r="CF27" s="226" t="str">
        <x:f>IF(COUNTA(CC27:CD27)=0,"",SUMIFS('04_Влияние_ОПИУ'!$F$2:$F$2000,'04_Влияние_ОПИУ'!$B$2:$B$2000,"2025-12",'04_Влияние_ОПИУ'!$C$2:$C$2000,$A27,'04_Влияние_ОПИУ'!$G$2:$G$2000,"Да"))</x:f>
      </x:c>
      <x:c r="CG27" s="238" t="str">
        <x:f>IF(COUNTA(CC27:CD27)=0,"",N(CD27)+N(CF27))</x:f>
      </x:c>
      <x:c r="CH27" s="252" t="str">
        <x:f>IF(COUNTA(CC27:CD27)=0,"",N(CC27)-N(CG27))</x:f>
      </x:c>
      <x:c r="CI27" s="260" t="str">
        <x:f>IF(COUNTA(CC27:CD27)=0,"",IF(ABS(CH27)&lt;=0.01,IF(ABS(CF27)&gt;0.01,"СОШЛОСЬ ПОСЛЕ КОРР.","СОШЛОСЬ"),IF(ABS(CF27)&gt;0.01,"ЧАСТИЧНО","НЕОПРЕДЕЛЕНО")))</x:f>
      </x:c>
    </x:row>
    <x:row r="28">
      <x:c r="A28" s="166" t="str">
        <x:v>R023</x:v>
      </x:c>
      <x:c r="B28" s="166" t="str">
        <x:v>      Расходы на персонал</x:v>
      </x:c>
      <x:c r="C28" s="170" t="str">
        <x:v>      Расходы на персонал</x:v>
      </x:c>
      <x:c r="D28" s="190"/>
      <x:c r="E28" s="202"/>
      <x:c r="F28" s="214" t="str">
        <x:f>IF(COUNTA(D28:E28)=0,"",N(D28)-N(E28))</x:f>
      </x:c>
      <x:c r="G28" s="226" t="str">
        <x:f>IF(COUNTA(D28:E28)=0,"",SUMIFS('04_Влияние_ОПИУ'!$F$2:$F$2000,'04_Влияние_ОПИУ'!$B$2:$B$2000,"2025-01",'04_Влияние_ОПИУ'!$C$2:$C$2000,$A28,'04_Влияние_ОПИУ'!$G$2:$G$2000,"Да"))</x:f>
      </x:c>
      <x:c r="H28" s="238" t="str">
        <x:f>IF(COUNTA(D28:E28)=0,"",N(E28)+N(G28))</x:f>
      </x:c>
      <x:c r="I28" s="252" t="str">
        <x:f>IF(COUNTA(D28:E28)=0,"",N(D28)-N(H28))</x:f>
      </x:c>
      <x:c r="J28" s="260" t="str">
        <x:f>IF(COUNTA(D28:E28)=0,"",IF(ABS(I28)&lt;=0.01,IF(ABS(G28)&gt;0.01,"СОШЛОСЬ ПОСЛЕ КОРР.","СОШЛОСЬ"),IF(ABS(G28)&gt;0.01,"ЧАСТИЧНО","НЕОПРЕДЕЛЕНО")))</x:f>
      </x:c>
      <x:c r="K28" s="190"/>
      <x:c r="L28" s="202"/>
      <x:c r="M28" s="214" t="str">
        <x:f>IF(COUNTA(K28:L28)=0,"",N(K28)-N(L28))</x:f>
      </x:c>
      <x:c r="N28" s="226" t="str">
        <x:f>IF(COUNTA(K28:L28)=0,"",SUMIFS('04_Влияние_ОПИУ'!$F$2:$F$2000,'04_Влияние_ОПИУ'!$B$2:$B$2000,"2025-02",'04_Влияние_ОПИУ'!$C$2:$C$2000,$A28,'04_Влияние_ОПИУ'!$G$2:$G$2000,"Да"))</x:f>
      </x:c>
      <x:c r="O28" s="238" t="str">
        <x:f>IF(COUNTA(K28:L28)=0,"",N(L28)+N(N28))</x:f>
      </x:c>
      <x:c r="P28" s="252" t="str">
        <x:f>IF(COUNTA(K28:L28)=0,"",N(K28)-N(O28))</x:f>
      </x:c>
      <x:c r="Q28" s="260" t="str">
        <x:f>IF(COUNTA(K28:L28)=0,"",IF(ABS(P28)&lt;=0.01,IF(ABS(N28)&gt;0.01,"СОШЛОСЬ ПОСЛЕ КОРР.","СОШЛОСЬ"),IF(ABS(N28)&gt;0.01,"ЧАСТИЧНО","НЕОПРЕДЕЛЕНО")))</x:f>
      </x:c>
      <x:c r="R28" s="190"/>
      <x:c r="S28" s="202"/>
      <x:c r="T28" s="214" t="str">
        <x:f>IF(COUNTA(R28:S28)=0,"",N(R28)-N(S28))</x:f>
      </x:c>
      <x:c r="U28" s="226" t="str">
        <x:f>IF(COUNTA(R28:S28)=0,"",SUMIFS('04_Влияние_ОПИУ'!$F$2:$F$2000,'04_Влияние_ОПИУ'!$B$2:$B$2000,"2025-03",'04_Влияние_ОПИУ'!$C$2:$C$2000,$A28,'04_Влияние_ОПИУ'!$G$2:$G$2000,"Да"))</x:f>
      </x:c>
      <x:c r="V28" s="238" t="str">
        <x:f>IF(COUNTA(R28:S28)=0,"",N(S28)+N(U28))</x:f>
      </x:c>
      <x:c r="W28" s="252" t="str">
        <x:f>IF(COUNTA(R28:S28)=0,"",N(R28)-N(V28))</x:f>
      </x:c>
      <x:c r="X28" s="260" t="str">
        <x:f>IF(COUNTA(R28:S28)=0,"",IF(ABS(W28)&lt;=0.01,IF(ABS(U28)&gt;0.01,"СОШЛОСЬ ПОСЛЕ КОРР.","СОШЛОСЬ"),IF(ABS(U28)&gt;0.01,"ЧАСТИЧНО","НЕОПРЕДЕЛЕНО")))</x:f>
      </x:c>
      <x:c r="Y28" s="190"/>
      <x:c r="Z28" s="202"/>
      <x:c r="AA28" s="214" t="str">
        <x:f>IF(COUNTA(Y28:Z28)=0,"",N(Y28)-N(Z28))</x:f>
      </x:c>
      <x:c r="AB28" s="226" t="str">
        <x:f>IF(COUNTA(Y28:Z28)=0,"",SUMIFS('04_Влияние_ОПИУ'!$F$2:$F$2000,'04_Влияние_ОПИУ'!$B$2:$B$2000,"2025-04",'04_Влияние_ОПИУ'!$C$2:$C$2000,$A28,'04_Влияние_ОПИУ'!$G$2:$G$2000,"Да"))</x:f>
      </x:c>
      <x:c r="AC28" s="238" t="str">
        <x:f>IF(COUNTA(Y28:Z28)=0,"",N(Z28)+N(AB28))</x:f>
      </x:c>
      <x:c r="AD28" s="252" t="str">
        <x:f>IF(COUNTA(Y28:Z28)=0,"",N(Y28)-N(AC28))</x:f>
      </x:c>
      <x:c r="AE28" s="260" t="str">
        <x:f>IF(COUNTA(Y28:Z28)=0,"",IF(ABS(AD28)&lt;=0.01,IF(ABS(AB28)&gt;0.01,"СОШЛОСЬ ПОСЛЕ КОРР.","СОШЛОСЬ"),IF(ABS(AB28)&gt;0.01,"ЧАСТИЧНО","НЕОПРЕДЕЛЕНО")))</x:f>
      </x:c>
      <x:c r="AF28" s="190"/>
      <x:c r="AG28" s="202"/>
      <x:c r="AH28" s="214" t="str">
        <x:f>IF(COUNTA(AF28:AG28)=0,"",N(AF28)-N(AG28))</x:f>
      </x:c>
      <x:c r="AI28" s="226" t="str">
        <x:f>IF(COUNTA(AF28:AG28)=0,"",SUMIFS('04_Влияние_ОПИУ'!$F$2:$F$2000,'04_Влияние_ОПИУ'!$B$2:$B$2000,"2025-05",'04_Влияние_ОПИУ'!$C$2:$C$2000,$A28,'04_Влияние_ОПИУ'!$G$2:$G$2000,"Да"))</x:f>
      </x:c>
      <x:c r="AJ28" s="238" t="str">
        <x:f>IF(COUNTA(AF28:AG28)=0,"",N(AG28)+N(AI28))</x:f>
      </x:c>
      <x:c r="AK28" s="252" t="str">
        <x:f>IF(COUNTA(AF28:AG28)=0,"",N(AF28)-N(AJ28))</x:f>
      </x:c>
      <x:c r="AL28" s="260" t="str">
        <x:f>IF(COUNTA(AF28:AG28)=0,"",IF(ABS(AK28)&lt;=0.01,IF(ABS(AI28)&gt;0.01,"СОШЛОСЬ ПОСЛЕ КОРР.","СОШЛОСЬ"),IF(ABS(AI28)&gt;0.01,"ЧАСТИЧНО","НЕОПРЕДЕЛЕНО")))</x:f>
      </x:c>
      <x:c r="AM28" s="190"/>
      <x:c r="AN28" s="202"/>
      <x:c r="AO28" s="214" t="str">
        <x:f>IF(COUNTA(AM28:AN28)=0,"",N(AM28)-N(AN28))</x:f>
      </x:c>
      <x:c r="AP28" s="226" t="str">
        <x:f>IF(COUNTA(AM28:AN28)=0,"",SUMIFS('04_Влияние_ОПИУ'!$F$2:$F$2000,'04_Влияние_ОПИУ'!$B$2:$B$2000,"2025-06",'04_Влияние_ОПИУ'!$C$2:$C$2000,$A28,'04_Влияние_ОПИУ'!$G$2:$G$2000,"Да"))</x:f>
      </x:c>
      <x:c r="AQ28" s="238" t="str">
        <x:f>IF(COUNTA(AM28:AN28)=0,"",N(AN28)+N(AP28))</x:f>
      </x:c>
      <x:c r="AR28" s="252" t="str">
        <x:f>IF(COUNTA(AM28:AN28)=0,"",N(AM28)-N(AQ28))</x:f>
      </x:c>
      <x:c r="AS28" s="260" t="str">
        <x:f>IF(COUNTA(AM28:AN28)=0,"",IF(ABS(AR28)&lt;=0.01,IF(ABS(AP28)&gt;0.01,"СОШЛОСЬ ПОСЛЕ КОРР.","СОШЛОСЬ"),IF(ABS(AP28)&gt;0.01,"ЧАСТИЧНО","НЕОПРЕДЕЛЕНО")))</x:f>
      </x:c>
      <x:c r="AT28" s="190"/>
      <x:c r="AU28" s="202"/>
      <x:c r="AV28" s="214" t="str">
        <x:f>IF(COUNTA(AT28:AU28)=0,"",N(AT28)-N(AU28))</x:f>
      </x:c>
      <x:c r="AW28" s="226" t="str">
        <x:f>IF(COUNTA(AT28:AU28)=0,"",SUMIFS('04_Влияние_ОПИУ'!$F$2:$F$2000,'04_Влияние_ОПИУ'!$B$2:$B$2000,"2025-07",'04_Влияние_ОПИУ'!$C$2:$C$2000,$A28,'04_Влияние_ОПИУ'!$G$2:$G$2000,"Да"))</x:f>
      </x:c>
      <x:c r="AX28" s="238" t="str">
        <x:f>IF(COUNTA(AT28:AU28)=0,"",N(AU28)+N(AW28))</x:f>
      </x:c>
      <x:c r="AY28" s="252" t="str">
        <x:f>IF(COUNTA(AT28:AU28)=0,"",N(AT28)-N(AX28))</x:f>
      </x:c>
      <x:c r="AZ28" s="260" t="str">
        <x:f>IF(COUNTA(AT28:AU28)=0,"",IF(ABS(AY28)&lt;=0.01,IF(ABS(AW28)&gt;0.01,"СОШЛОСЬ ПОСЛЕ КОРР.","СОШЛОСЬ"),IF(ABS(AW28)&gt;0.01,"ЧАСТИЧНО","НЕОПРЕДЕЛЕНО")))</x:f>
      </x:c>
      <x:c r="BA28" s="190"/>
      <x:c r="BB28" s="202"/>
      <x:c r="BC28" s="214" t="str">
        <x:f>IF(COUNTA(BA28:BB28)=0,"",N(BA28)-N(BB28))</x:f>
      </x:c>
      <x:c r="BD28" s="226" t="str">
        <x:f>IF(COUNTA(BA28:BB28)=0,"",SUMIFS('04_Влияние_ОПИУ'!$F$2:$F$2000,'04_Влияние_ОПИУ'!$B$2:$B$2000,"2025-08",'04_Влияние_ОПИУ'!$C$2:$C$2000,$A28,'04_Влияние_ОПИУ'!$G$2:$G$2000,"Да"))</x:f>
      </x:c>
      <x:c r="BE28" s="238" t="str">
        <x:f>IF(COUNTA(BA28:BB28)=0,"",N(BB28)+N(BD28))</x:f>
      </x:c>
      <x:c r="BF28" s="252" t="str">
        <x:f>IF(COUNTA(BA28:BB28)=0,"",N(BA28)-N(BE28))</x:f>
      </x:c>
      <x:c r="BG28" s="260" t="str">
        <x:f>IF(COUNTA(BA28:BB28)=0,"",IF(ABS(BF28)&lt;=0.01,IF(ABS(BD28)&gt;0.01,"СОШЛОСЬ ПОСЛЕ КОРР.","СОШЛОСЬ"),IF(ABS(BD28)&gt;0.01,"ЧАСТИЧНО","НЕОПРЕДЕЛЕНО")))</x:f>
      </x:c>
      <x:c r="BH28" s="190"/>
      <x:c r="BI28" s="202"/>
      <x:c r="BJ28" s="214" t="str">
        <x:f>IF(COUNTA(BH28:BI28)=0,"",N(BH28)-N(BI28))</x:f>
      </x:c>
      <x:c r="BK28" s="226" t="str">
        <x:f>IF(COUNTA(BH28:BI28)=0,"",SUMIFS('04_Влияние_ОПИУ'!$F$2:$F$2000,'04_Влияние_ОПИУ'!$B$2:$B$2000,"2025-09",'04_Влияние_ОПИУ'!$C$2:$C$2000,$A28,'04_Влияние_ОПИУ'!$G$2:$G$2000,"Да"))</x:f>
      </x:c>
      <x:c r="BL28" s="238" t="str">
        <x:f>IF(COUNTA(BH28:BI28)=0,"",N(BI28)+N(BK28))</x:f>
      </x:c>
      <x:c r="BM28" s="252" t="str">
        <x:f>IF(COUNTA(BH28:BI28)=0,"",N(BH28)-N(BL28))</x:f>
      </x:c>
      <x:c r="BN28" s="260" t="str">
        <x:f>IF(COUNTA(BH28:BI28)=0,"",IF(ABS(BM28)&lt;=0.01,IF(ABS(BK28)&gt;0.01,"СОШЛОСЬ ПОСЛЕ КОРР.","СОШЛОСЬ"),IF(ABS(BK28)&gt;0.01,"ЧАСТИЧНО","НЕОПРЕДЕЛЕНО")))</x:f>
      </x:c>
      <x:c r="BO28" s="190"/>
      <x:c r="BP28" s="202"/>
      <x:c r="BQ28" s="214" t="str">
        <x:f>IF(COUNTA(BO28:BP28)=0,"",N(BO28)-N(BP28))</x:f>
      </x:c>
      <x:c r="BR28" s="226" t="str">
        <x:f>IF(COUNTA(BO28:BP28)=0,"",SUMIFS('04_Влияние_ОПИУ'!$F$2:$F$2000,'04_Влияние_ОПИУ'!$B$2:$B$2000,"2025-10",'04_Влияние_ОПИУ'!$C$2:$C$2000,$A28,'04_Влияние_ОПИУ'!$G$2:$G$2000,"Да"))</x:f>
      </x:c>
      <x:c r="BS28" s="238" t="str">
        <x:f>IF(COUNTA(BO28:BP28)=0,"",N(BP28)+N(BR28))</x:f>
      </x:c>
      <x:c r="BT28" s="252" t="str">
        <x:f>IF(COUNTA(BO28:BP28)=0,"",N(BO28)-N(BS28))</x:f>
      </x:c>
      <x:c r="BU28" s="260" t="str">
        <x:f>IF(COUNTA(BO28:BP28)=0,"",IF(ABS(BT28)&lt;=0.01,IF(ABS(BR28)&gt;0.01,"СОШЛОСЬ ПОСЛЕ КОРР.","СОШЛОСЬ"),IF(ABS(BR28)&gt;0.01,"ЧАСТИЧНО","НЕОПРЕДЕЛЕНО")))</x:f>
      </x:c>
      <x:c r="BV28" s="190"/>
      <x:c r="BW28" s="202"/>
      <x:c r="BX28" s="214" t="str">
        <x:f>IF(COUNTA(BV28:BW28)=0,"",N(BV28)-N(BW28))</x:f>
      </x:c>
      <x:c r="BY28" s="226" t="str">
        <x:f>IF(COUNTA(BV28:BW28)=0,"",SUMIFS('04_Влияние_ОПИУ'!$F$2:$F$2000,'04_Влияние_ОПИУ'!$B$2:$B$2000,"2025-11",'04_Влияние_ОПИУ'!$C$2:$C$2000,$A28,'04_Влияние_ОПИУ'!$G$2:$G$2000,"Да"))</x:f>
      </x:c>
      <x:c r="BZ28" s="238" t="str">
        <x:f>IF(COUNTA(BV28:BW28)=0,"",N(BW28)+N(BY28))</x:f>
      </x:c>
      <x:c r="CA28" s="252" t="str">
        <x:f>IF(COUNTA(BV28:BW28)=0,"",N(BV28)-N(BZ28))</x:f>
      </x:c>
      <x:c r="CB28" s="260" t="str">
        <x:f>IF(COUNTA(BV28:BW28)=0,"",IF(ABS(CA28)&lt;=0.01,IF(ABS(BY28)&gt;0.01,"СОШЛОСЬ ПОСЛЕ КОРР.","СОШЛОСЬ"),IF(ABS(BY28)&gt;0.01,"ЧАСТИЧНО","НЕОПРЕДЕЛЕНО")))</x:f>
      </x:c>
      <x:c r="CC28" s="190"/>
      <x:c r="CD28" s="202"/>
      <x:c r="CE28" s="214" t="str">
        <x:f>IF(COUNTA(CC28:CD28)=0,"",N(CC28)-N(CD28))</x:f>
      </x:c>
      <x:c r="CF28" s="226" t="str">
        <x:f>IF(COUNTA(CC28:CD28)=0,"",SUMIFS('04_Влияние_ОПИУ'!$F$2:$F$2000,'04_Влияние_ОПИУ'!$B$2:$B$2000,"2025-12",'04_Влияние_ОПИУ'!$C$2:$C$2000,$A28,'04_Влияние_ОПИУ'!$G$2:$G$2000,"Да"))</x:f>
      </x:c>
      <x:c r="CG28" s="238" t="str">
        <x:f>IF(COUNTA(CC28:CD28)=0,"",N(CD28)+N(CF28))</x:f>
      </x:c>
      <x:c r="CH28" s="252" t="str">
        <x:f>IF(COUNTA(CC28:CD28)=0,"",N(CC28)-N(CG28))</x:f>
      </x:c>
      <x:c r="CI28" s="260" t="str">
        <x:f>IF(COUNTA(CC28:CD28)=0,"",IF(ABS(CH28)&lt;=0.01,IF(ABS(CF28)&gt;0.01,"СОШЛОСЬ ПОСЛЕ КОРР.","СОШЛОСЬ"),IF(ABS(CF28)&gt;0.01,"ЧАСТИЧНО","НЕОПРЕДЕЛЕНО")))</x:f>
      </x:c>
    </x:row>
    <x:row r="29">
      <x:c r="A29" s="166" t="str">
        <x:v>R024</x:v>
      </x:c>
      <x:c r="B29" s="166" t="str">
        <x:v>        Корпоративные мероприятия</x:v>
      </x:c>
      <x:c r="C29" s="170" t="str">
        <x:v>        Корпоративные мероприятия</x:v>
      </x:c>
      <x:c r="D29" s="190"/>
      <x:c r="E29" s="202"/>
      <x:c r="F29" s="214" t="str">
        <x:f>IF(COUNTA(D29:E29)=0,"",N(D29)-N(E29))</x:f>
      </x:c>
      <x:c r="G29" s="226" t="str">
        <x:f>IF(COUNTA(D29:E29)=0,"",SUMIFS('04_Влияние_ОПИУ'!$F$2:$F$2000,'04_Влияние_ОПИУ'!$B$2:$B$2000,"2025-01",'04_Влияние_ОПИУ'!$C$2:$C$2000,$A29,'04_Влияние_ОПИУ'!$G$2:$G$2000,"Да"))</x:f>
      </x:c>
      <x:c r="H29" s="238" t="str">
        <x:f>IF(COUNTA(D29:E29)=0,"",N(E29)+N(G29))</x:f>
      </x:c>
      <x:c r="I29" s="252" t="str">
        <x:f>IF(COUNTA(D29:E29)=0,"",N(D29)-N(H29))</x:f>
      </x:c>
      <x:c r="J29" s="260" t="str">
        <x:f>IF(COUNTA(D29:E29)=0,"",IF(ABS(I29)&lt;=0.01,IF(ABS(G29)&gt;0.01,"СОШЛОСЬ ПОСЛЕ КОРР.","СОШЛОСЬ"),IF(ABS(G29)&gt;0.01,"ЧАСТИЧНО","НЕОПРЕДЕЛЕНО")))</x:f>
      </x:c>
      <x:c r="K29" s="190"/>
      <x:c r="L29" s="202"/>
      <x:c r="M29" s="214" t="str">
        <x:f>IF(COUNTA(K29:L29)=0,"",N(K29)-N(L29))</x:f>
      </x:c>
      <x:c r="N29" s="226" t="str">
        <x:f>IF(COUNTA(K29:L29)=0,"",SUMIFS('04_Влияние_ОПИУ'!$F$2:$F$2000,'04_Влияние_ОПИУ'!$B$2:$B$2000,"2025-02",'04_Влияние_ОПИУ'!$C$2:$C$2000,$A29,'04_Влияние_ОПИУ'!$G$2:$G$2000,"Да"))</x:f>
      </x:c>
      <x:c r="O29" s="238" t="str">
        <x:f>IF(COUNTA(K29:L29)=0,"",N(L29)+N(N29))</x:f>
      </x:c>
      <x:c r="P29" s="252" t="str">
        <x:f>IF(COUNTA(K29:L29)=0,"",N(K29)-N(O29))</x:f>
      </x:c>
      <x:c r="Q29" s="260" t="str">
        <x:f>IF(COUNTA(K29:L29)=0,"",IF(ABS(P29)&lt;=0.01,IF(ABS(N29)&gt;0.01,"СОШЛОСЬ ПОСЛЕ КОРР.","СОШЛОСЬ"),IF(ABS(N29)&gt;0.01,"ЧАСТИЧНО","НЕОПРЕДЕЛЕНО")))</x:f>
      </x:c>
      <x:c r="R29" s="190"/>
      <x:c r="S29" s="202"/>
      <x:c r="T29" s="214" t="str">
        <x:f>IF(COUNTA(R29:S29)=0,"",N(R29)-N(S29))</x:f>
      </x:c>
      <x:c r="U29" s="226" t="str">
        <x:f>IF(COUNTA(R29:S29)=0,"",SUMIFS('04_Влияние_ОПИУ'!$F$2:$F$2000,'04_Влияние_ОПИУ'!$B$2:$B$2000,"2025-03",'04_Влияние_ОПИУ'!$C$2:$C$2000,$A29,'04_Влияние_ОПИУ'!$G$2:$G$2000,"Да"))</x:f>
      </x:c>
      <x:c r="V29" s="238" t="str">
        <x:f>IF(COUNTA(R29:S29)=0,"",N(S29)+N(U29))</x:f>
      </x:c>
      <x:c r="W29" s="252" t="str">
        <x:f>IF(COUNTA(R29:S29)=0,"",N(R29)-N(V29))</x:f>
      </x:c>
      <x:c r="X29" s="260" t="str">
        <x:f>IF(COUNTA(R29:S29)=0,"",IF(ABS(W29)&lt;=0.01,IF(ABS(U29)&gt;0.01,"СОШЛОСЬ ПОСЛЕ КОРР.","СОШЛОСЬ"),IF(ABS(U29)&gt;0.01,"ЧАСТИЧНО","НЕОПРЕДЕЛЕНО")))</x:f>
      </x:c>
      <x:c r="Y29" s="190"/>
      <x:c r="Z29" s="202"/>
      <x:c r="AA29" s="214" t="str">
        <x:f>IF(COUNTA(Y29:Z29)=0,"",N(Y29)-N(Z29))</x:f>
      </x:c>
      <x:c r="AB29" s="226" t="str">
        <x:f>IF(COUNTA(Y29:Z29)=0,"",SUMIFS('04_Влияние_ОПИУ'!$F$2:$F$2000,'04_Влияние_ОПИУ'!$B$2:$B$2000,"2025-04",'04_Влияние_ОПИУ'!$C$2:$C$2000,$A29,'04_Влияние_ОПИУ'!$G$2:$G$2000,"Да"))</x:f>
      </x:c>
      <x:c r="AC29" s="238" t="str">
        <x:f>IF(COUNTA(Y29:Z29)=0,"",N(Z29)+N(AB29))</x:f>
      </x:c>
      <x:c r="AD29" s="252" t="str">
        <x:f>IF(COUNTA(Y29:Z29)=0,"",N(Y29)-N(AC29))</x:f>
      </x:c>
      <x:c r="AE29" s="260" t="str">
        <x:f>IF(COUNTA(Y29:Z29)=0,"",IF(ABS(AD29)&lt;=0.01,IF(ABS(AB29)&gt;0.01,"СОШЛОСЬ ПОСЛЕ КОРР.","СОШЛОСЬ"),IF(ABS(AB29)&gt;0.01,"ЧАСТИЧНО","НЕОПРЕДЕЛЕНО")))</x:f>
      </x:c>
      <x:c r="AF29" s="190"/>
      <x:c r="AG29" s="202"/>
      <x:c r="AH29" s="214" t="str">
        <x:f>IF(COUNTA(AF29:AG29)=0,"",N(AF29)-N(AG29))</x:f>
      </x:c>
      <x:c r="AI29" s="226" t="str">
        <x:f>IF(COUNTA(AF29:AG29)=0,"",SUMIFS('04_Влияние_ОПИУ'!$F$2:$F$2000,'04_Влияние_ОПИУ'!$B$2:$B$2000,"2025-05",'04_Влияние_ОПИУ'!$C$2:$C$2000,$A29,'04_Влияние_ОПИУ'!$G$2:$G$2000,"Да"))</x:f>
      </x:c>
      <x:c r="AJ29" s="238" t="str">
        <x:f>IF(COUNTA(AF29:AG29)=0,"",N(AG29)+N(AI29))</x:f>
      </x:c>
      <x:c r="AK29" s="252" t="str">
        <x:f>IF(COUNTA(AF29:AG29)=0,"",N(AF29)-N(AJ29))</x:f>
      </x:c>
      <x:c r="AL29" s="260" t="str">
        <x:f>IF(COUNTA(AF29:AG29)=0,"",IF(ABS(AK29)&lt;=0.01,IF(ABS(AI29)&gt;0.01,"СОШЛОСЬ ПОСЛЕ КОРР.","СОШЛОСЬ"),IF(ABS(AI29)&gt;0.01,"ЧАСТИЧНО","НЕОПРЕДЕЛЕНО")))</x:f>
      </x:c>
      <x:c r="AM29" s="190"/>
      <x:c r="AN29" s="202"/>
      <x:c r="AO29" s="214" t="str">
        <x:f>IF(COUNTA(AM29:AN29)=0,"",N(AM29)-N(AN29))</x:f>
      </x:c>
      <x:c r="AP29" s="226" t="str">
        <x:f>IF(COUNTA(AM29:AN29)=0,"",SUMIFS('04_Влияние_ОПИУ'!$F$2:$F$2000,'04_Влияние_ОПИУ'!$B$2:$B$2000,"2025-06",'04_Влияние_ОПИУ'!$C$2:$C$2000,$A29,'04_Влияние_ОПИУ'!$G$2:$G$2000,"Да"))</x:f>
      </x:c>
      <x:c r="AQ29" s="238" t="str">
        <x:f>IF(COUNTA(AM29:AN29)=0,"",N(AN29)+N(AP29))</x:f>
      </x:c>
      <x:c r="AR29" s="252" t="str">
        <x:f>IF(COUNTA(AM29:AN29)=0,"",N(AM29)-N(AQ29))</x:f>
      </x:c>
      <x:c r="AS29" s="260" t="str">
        <x:f>IF(COUNTA(AM29:AN29)=0,"",IF(ABS(AR29)&lt;=0.01,IF(ABS(AP29)&gt;0.01,"СОШЛОСЬ ПОСЛЕ КОРР.","СОШЛОСЬ"),IF(ABS(AP29)&gt;0.01,"ЧАСТИЧНО","НЕОПРЕДЕЛЕНО")))</x:f>
      </x:c>
      <x:c r="AT29" s="190"/>
      <x:c r="AU29" s="202"/>
      <x:c r="AV29" s="214" t="str">
        <x:f>IF(COUNTA(AT29:AU29)=0,"",N(AT29)-N(AU29))</x:f>
      </x:c>
      <x:c r="AW29" s="226" t="str">
        <x:f>IF(COUNTA(AT29:AU29)=0,"",SUMIFS('04_Влияние_ОПИУ'!$F$2:$F$2000,'04_Влияние_ОПИУ'!$B$2:$B$2000,"2025-07",'04_Влияние_ОПИУ'!$C$2:$C$2000,$A29,'04_Влияние_ОПИУ'!$G$2:$G$2000,"Да"))</x:f>
      </x:c>
      <x:c r="AX29" s="238" t="str">
        <x:f>IF(COUNTA(AT29:AU29)=0,"",N(AU29)+N(AW29))</x:f>
      </x:c>
      <x:c r="AY29" s="252" t="str">
        <x:f>IF(COUNTA(AT29:AU29)=0,"",N(AT29)-N(AX29))</x:f>
      </x:c>
      <x:c r="AZ29" s="260" t="str">
        <x:f>IF(COUNTA(AT29:AU29)=0,"",IF(ABS(AY29)&lt;=0.01,IF(ABS(AW29)&gt;0.01,"СОШЛОСЬ ПОСЛЕ КОРР.","СОШЛОСЬ"),IF(ABS(AW29)&gt;0.01,"ЧАСТИЧНО","НЕОПРЕДЕЛЕНО")))</x:f>
      </x:c>
      <x:c r="BA29" s="190"/>
      <x:c r="BB29" s="202"/>
      <x:c r="BC29" s="214" t="str">
        <x:f>IF(COUNTA(BA29:BB29)=0,"",N(BA29)-N(BB29))</x:f>
      </x:c>
      <x:c r="BD29" s="226" t="str">
        <x:f>IF(COUNTA(BA29:BB29)=0,"",SUMIFS('04_Влияние_ОПИУ'!$F$2:$F$2000,'04_Влияние_ОПИУ'!$B$2:$B$2000,"2025-08",'04_Влияние_ОПИУ'!$C$2:$C$2000,$A29,'04_Влияние_ОПИУ'!$G$2:$G$2000,"Да"))</x:f>
      </x:c>
      <x:c r="BE29" s="238" t="str">
        <x:f>IF(COUNTA(BA29:BB29)=0,"",N(BB29)+N(BD29))</x:f>
      </x:c>
      <x:c r="BF29" s="252" t="str">
        <x:f>IF(COUNTA(BA29:BB29)=0,"",N(BA29)-N(BE29))</x:f>
      </x:c>
      <x:c r="BG29" s="260" t="str">
        <x:f>IF(COUNTA(BA29:BB29)=0,"",IF(ABS(BF29)&lt;=0.01,IF(ABS(BD29)&gt;0.01,"СОШЛОСЬ ПОСЛЕ КОРР.","СОШЛОСЬ"),IF(ABS(BD29)&gt;0.01,"ЧАСТИЧНО","НЕОПРЕДЕЛЕНО")))</x:f>
      </x:c>
      <x:c r="BH29" s="190"/>
      <x:c r="BI29" s="202"/>
      <x:c r="BJ29" s="214" t="str">
        <x:f>IF(COUNTA(BH29:BI29)=0,"",N(BH29)-N(BI29))</x:f>
      </x:c>
      <x:c r="BK29" s="226" t="str">
        <x:f>IF(COUNTA(BH29:BI29)=0,"",SUMIFS('04_Влияние_ОПИУ'!$F$2:$F$2000,'04_Влияние_ОПИУ'!$B$2:$B$2000,"2025-09",'04_Влияние_ОПИУ'!$C$2:$C$2000,$A29,'04_Влияние_ОПИУ'!$G$2:$G$2000,"Да"))</x:f>
      </x:c>
      <x:c r="BL29" s="238" t="str">
        <x:f>IF(COUNTA(BH29:BI29)=0,"",N(BI29)+N(BK29))</x:f>
      </x:c>
      <x:c r="BM29" s="252" t="str">
        <x:f>IF(COUNTA(BH29:BI29)=0,"",N(BH29)-N(BL29))</x:f>
      </x:c>
      <x:c r="BN29" s="260" t="str">
        <x:f>IF(COUNTA(BH29:BI29)=0,"",IF(ABS(BM29)&lt;=0.01,IF(ABS(BK29)&gt;0.01,"СОШЛОСЬ ПОСЛЕ КОРР.","СОШЛОСЬ"),IF(ABS(BK29)&gt;0.01,"ЧАСТИЧНО","НЕОПРЕДЕЛЕНО")))</x:f>
      </x:c>
      <x:c r="BO29" s="190"/>
      <x:c r="BP29" s="202"/>
      <x:c r="BQ29" s="214" t="str">
        <x:f>IF(COUNTA(BO29:BP29)=0,"",N(BO29)-N(BP29))</x:f>
      </x:c>
      <x:c r="BR29" s="226" t="str">
        <x:f>IF(COUNTA(BO29:BP29)=0,"",SUMIFS('04_Влияние_ОПИУ'!$F$2:$F$2000,'04_Влияние_ОПИУ'!$B$2:$B$2000,"2025-10",'04_Влияние_ОПИУ'!$C$2:$C$2000,$A29,'04_Влияние_ОПИУ'!$G$2:$G$2000,"Да"))</x:f>
      </x:c>
      <x:c r="BS29" s="238" t="str">
        <x:f>IF(COUNTA(BO29:BP29)=0,"",N(BP29)+N(BR29))</x:f>
      </x:c>
      <x:c r="BT29" s="252" t="str">
        <x:f>IF(COUNTA(BO29:BP29)=0,"",N(BO29)-N(BS29))</x:f>
      </x:c>
      <x:c r="BU29" s="260" t="str">
        <x:f>IF(COUNTA(BO29:BP29)=0,"",IF(ABS(BT29)&lt;=0.01,IF(ABS(BR29)&gt;0.01,"СОШЛОСЬ ПОСЛЕ КОРР.","СОШЛОСЬ"),IF(ABS(BR29)&gt;0.01,"ЧАСТИЧНО","НЕОПРЕДЕЛЕНО")))</x:f>
      </x:c>
      <x:c r="BV29" s="190"/>
      <x:c r="BW29" s="202"/>
      <x:c r="BX29" s="214" t="str">
        <x:f>IF(COUNTA(BV29:BW29)=0,"",N(BV29)-N(BW29))</x:f>
      </x:c>
      <x:c r="BY29" s="226" t="str">
        <x:f>IF(COUNTA(BV29:BW29)=0,"",SUMIFS('04_Влияние_ОПИУ'!$F$2:$F$2000,'04_Влияние_ОПИУ'!$B$2:$B$2000,"2025-11",'04_Влияние_ОПИУ'!$C$2:$C$2000,$A29,'04_Влияние_ОПИУ'!$G$2:$G$2000,"Да"))</x:f>
      </x:c>
      <x:c r="BZ29" s="238" t="str">
        <x:f>IF(COUNTA(BV29:BW29)=0,"",N(BW29)+N(BY29))</x:f>
      </x:c>
      <x:c r="CA29" s="252" t="str">
        <x:f>IF(COUNTA(BV29:BW29)=0,"",N(BV29)-N(BZ29))</x:f>
      </x:c>
      <x:c r="CB29" s="260" t="str">
        <x:f>IF(COUNTA(BV29:BW29)=0,"",IF(ABS(CA29)&lt;=0.01,IF(ABS(BY29)&gt;0.01,"СОШЛОСЬ ПОСЛЕ КОРР.","СОШЛОСЬ"),IF(ABS(BY29)&gt;0.01,"ЧАСТИЧНО","НЕОПРЕДЕЛЕНО")))</x:f>
      </x:c>
      <x:c r="CC29" s="190"/>
      <x:c r="CD29" s="202"/>
      <x:c r="CE29" s="214" t="str">
        <x:f>IF(COUNTA(CC29:CD29)=0,"",N(CC29)-N(CD29))</x:f>
      </x:c>
      <x:c r="CF29" s="226" t="str">
        <x:f>IF(COUNTA(CC29:CD29)=0,"",SUMIFS('04_Влияние_ОПИУ'!$F$2:$F$2000,'04_Влияние_ОПИУ'!$B$2:$B$2000,"2025-12",'04_Влияние_ОПИУ'!$C$2:$C$2000,$A29,'04_Влияние_ОПИУ'!$G$2:$G$2000,"Да"))</x:f>
      </x:c>
      <x:c r="CG29" s="238" t="str">
        <x:f>IF(COUNTA(CC29:CD29)=0,"",N(CD29)+N(CF29))</x:f>
      </x:c>
      <x:c r="CH29" s="252" t="str">
        <x:f>IF(COUNTA(CC29:CD29)=0,"",N(CC29)-N(CG29))</x:f>
      </x:c>
      <x:c r="CI29" s="260" t="str">
        <x:f>IF(COUNTA(CC29:CD29)=0,"",IF(ABS(CH29)&lt;=0.01,IF(ABS(CF29)&gt;0.01,"СОШЛОСЬ ПОСЛЕ КОРР.","СОШЛОСЬ"),IF(ABS(CF29)&gt;0.01,"ЧАСТИЧНО","НЕОПРЕДЕЛЕНО")))</x:f>
      </x:c>
    </x:row>
    <x:row r="30">
      <x:c r="A30" s="166" t="str">
        <x:v>R025</x:v>
      </x:c>
      <x:c r="B30" s="166" t="str">
        <x:v>        Мат помощь и прочие выплаты</x:v>
      </x:c>
      <x:c r="C30" s="170" t="str">
        <x:v>        Мат помощь и прочие выплаты</x:v>
      </x:c>
      <x:c r="D30" s="190"/>
      <x:c r="E30" s="202"/>
      <x:c r="F30" s="214" t="str">
        <x:f>IF(COUNTA(D30:E30)=0,"",N(D30)-N(E30))</x:f>
      </x:c>
      <x:c r="G30" s="226" t="str">
        <x:f>IF(COUNTA(D30:E30)=0,"",SUMIFS('04_Влияние_ОПИУ'!$F$2:$F$2000,'04_Влияние_ОПИУ'!$B$2:$B$2000,"2025-01",'04_Влияние_ОПИУ'!$C$2:$C$2000,$A30,'04_Влияние_ОПИУ'!$G$2:$G$2000,"Да"))</x:f>
      </x:c>
      <x:c r="H30" s="238" t="str">
        <x:f>IF(COUNTA(D30:E30)=0,"",N(E30)+N(G30))</x:f>
      </x:c>
      <x:c r="I30" s="252" t="str">
        <x:f>IF(COUNTA(D30:E30)=0,"",N(D30)-N(H30))</x:f>
      </x:c>
      <x:c r="J30" s="260" t="str">
        <x:f>IF(COUNTA(D30:E30)=0,"",IF(ABS(I30)&lt;=0.01,IF(ABS(G30)&gt;0.01,"СОШЛОСЬ ПОСЛЕ КОРР.","СОШЛОСЬ"),IF(ABS(G30)&gt;0.01,"ЧАСТИЧНО","НЕОПРЕДЕЛЕНО")))</x:f>
      </x:c>
      <x:c r="K30" s="190"/>
      <x:c r="L30" s="202"/>
      <x:c r="M30" s="214" t="str">
        <x:f>IF(COUNTA(K30:L30)=0,"",N(K30)-N(L30))</x:f>
      </x:c>
      <x:c r="N30" s="226" t="str">
        <x:f>IF(COUNTA(K30:L30)=0,"",SUMIFS('04_Влияние_ОПИУ'!$F$2:$F$2000,'04_Влияние_ОПИУ'!$B$2:$B$2000,"2025-02",'04_Влияние_ОПИУ'!$C$2:$C$2000,$A30,'04_Влияние_ОПИУ'!$G$2:$G$2000,"Да"))</x:f>
      </x:c>
      <x:c r="O30" s="238" t="str">
        <x:f>IF(COUNTA(K30:L30)=0,"",N(L30)+N(N30))</x:f>
      </x:c>
      <x:c r="P30" s="252" t="str">
        <x:f>IF(COUNTA(K30:L30)=0,"",N(K30)-N(O30))</x:f>
      </x:c>
      <x:c r="Q30" s="260" t="str">
        <x:f>IF(COUNTA(K30:L30)=0,"",IF(ABS(P30)&lt;=0.01,IF(ABS(N30)&gt;0.01,"СОШЛОСЬ ПОСЛЕ КОРР.","СОШЛОСЬ"),IF(ABS(N30)&gt;0.01,"ЧАСТИЧНО","НЕОПРЕДЕЛЕНО")))</x:f>
      </x:c>
      <x:c r="R30" s="190"/>
      <x:c r="S30" s="202"/>
      <x:c r="T30" s="214" t="str">
        <x:f>IF(COUNTA(R30:S30)=0,"",N(R30)-N(S30))</x:f>
      </x:c>
      <x:c r="U30" s="226" t="str">
        <x:f>IF(COUNTA(R30:S30)=0,"",SUMIFS('04_Влияние_ОПИУ'!$F$2:$F$2000,'04_Влияние_ОПИУ'!$B$2:$B$2000,"2025-03",'04_Влияние_ОПИУ'!$C$2:$C$2000,$A30,'04_Влияние_ОПИУ'!$G$2:$G$2000,"Да"))</x:f>
      </x:c>
      <x:c r="V30" s="238" t="str">
        <x:f>IF(COUNTA(R30:S30)=0,"",N(S30)+N(U30))</x:f>
      </x:c>
      <x:c r="W30" s="252" t="str">
        <x:f>IF(COUNTA(R30:S30)=0,"",N(R30)-N(V30))</x:f>
      </x:c>
      <x:c r="X30" s="260" t="str">
        <x:f>IF(COUNTA(R30:S30)=0,"",IF(ABS(W30)&lt;=0.01,IF(ABS(U30)&gt;0.01,"СОШЛОСЬ ПОСЛЕ КОРР.","СОШЛОСЬ"),IF(ABS(U30)&gt;0.01,"ЧАСТИЧНО","НЕОПРЕДЕЛЕНО")))</x:f>
      </x:c>
      <x:c r="Y30" s="190"/>
      <x:c r="Z30" s="202"/>
      <x:c r="AA30" s="214" t="str">
        <x:f>IF(COUNTA(Y30:Z30)=0,"",N(Y30)-N(Z30))</x:f>
      </x:c>
      <x:c r="AB30" s="226" t="str">
        <x:f>IF(COUNTA(Y30:Z30)=0,"",SUMIFS('04_Влияние_ОПИУ'!$F$2:$F$2000,'04_Влияние_ОПИУ'!$B$2:$B$2000,"2025-04",'04_Влияние_ОПИУ'!$C$2:$C$2000,$A30,'04_Влияние_ОПИУ'!$G$2:$G$2000,"Да"))</x:f>
      </x:c>
      <x:c r="AC30" s="238" t="str">
        <x:f>IF(COUNTA(Y30:Z30)=0,"",N(Z30)+N(AB30))</x:f>
      </x:c>
      <x:c r="AD30" s="252" t="str">
        <x:f>IF(COUNTA(Y30:Z30)=0,"",N(Y30)-N(AC30))</x:f>
      </x:c>
      <x:c r="AE30" s="260" t="str">
        <x:f>IF(COUNTA(Y30:Z30)=0,"",IF(ABS(AD30)&lt;=0.01,IF(ABS(AB30)&gt;0.01,"СОШЛОСЬ ПОСЛЕ КОРР.","СОШЛОСЬ"),IF(ABS(AB30)&gt;0.01,"ЧАСТИЧНО","НЕОПРЕДЕЛЕНО")))</x:f>
      </x:c>
      <x:c r="AF30" s="190"/>
      <x:c r="AG30" s="202"/>
      <x:c r="AH30" s="214" t="str">
        <x:f>IF(COUNTA(AF30:AG30)=0,"",N(AF30)-N(AG30))</x:f>
      </x:c>
      <x:c r="AI30" s="226" t="str">
        <x:f>IF(COUNTA(AF30:AG30)=0,"",SUMIFS('04_Влияние_ОПИУ'!$F$2:$F$2000,'04_Влияние_ОПИУ'!$B$2:$B$2000,"2025-05",'04_Влияние_ОПИУ'!$C$2:$C$2000,$A30,'04_Влияние_ОПИУ'!$G$2:$G$2000,"Да"))</x:f>
      </x:c>
      <x:c r="AJ30" s="238" t="str">
        <x:f>IF(COUNTA(AF30:AG30)=0,"",N(AG30)+N(AI30))</x:f>
      </x:c>
      <x:c r="AK30" s="252" t="str">
        <x:f>IF(COUNTA(AF30:AG30)=0,"",N(AF30)-N(AJ30))</x:f>
      </x:c>
      <x:c r="AL30" s="260" t="str">
        <x:f>IF(COUNTA(AF30:AG30)=0,"",IF(ABS(AK30)&lt;=0.01,IF(ABS(AI30)&gt;0.01,"СОШЛОСЬ ПОСЛЕ КОРР.","СОШЛОСЬ"),IF(ABS(AI30)&gt;0.01,"ЧАСТИЧНО","НЕОПРЕДЕЛЕНО")))</x:f>
      </x:c>
      <x:c r="AM30" s="190"/>
      <x:c r="AN30" s="202"/>
      <x:c r="AO30" s="214" t="str">
        <x:f>IF(COUNTA(AM30:AN30)=0,"",N(AM30)-N(AN30))</x:f>
      </x:c>
      <x:c r="AP30" s="226" t="str">
        <x:f>IF(COUNTA(AM30:AN30)=0,"",SUMIFS('04_Влияние_ОПИУ'!$F$2:$F$2000,'04_Влияние_ОПИУ'!$B$2:$B$2000,"2025-06",'04_Влияние_ОПИУ'!$C$2:$C$2000,$A30,'04_Влияние_ОПИУ'!$G$2:$G$2000,"Да"))</x:f>
      </x:c>
      <x:c r="AQ30" s="238" t="str">
        <x:f>IF(COUNTA(AM30:AN30)=0,"",N(AN30)+N(AP30))</x:f>
      </x:c>
      <x:c r="AR30" s="252" t="str">
        <x:f>IF(COUNTA(AM30:AN30)=0,"",N(AM30)-N(AQ30))</x:f>
      </x:c>
      <x:c r="AS30" s="260" t="str">
        <x:f>IF(COUNTA(AM30:AN30)=0,"",IF(ABS(AR30)&lt;=0.01,IF(ABS(AP30)&gt;0.01,"СОШЛОСЬ ПОСЛЕ КОРР.","СОШЛОСЬ"),IF(ABS(AP30)&gt;0.01,"ЧАСТИЧНО","НЕОПРЕДЕЛЕНО")))</x:f>
      </x:c>
      <x:c r="AT30" s="190"/>
      <x:c r="AU30" s="202"/>
      <x:c r="AV30" s="214" t="str">
        <x:f>IF(COUNTA(AT30:AU30)=0,"",N(AT30)-N(AU30))</x:f>
      </x:c>
      <x:c r="AW30" s="226" t="str">
        <x:f>IF(COUNTA(AT30:AU30)=0,"",SUMIFS('04_Влияние_ОПИУ'!$F$2:$F$2000,'04_Влияние_ОПИУ'!$B$2:$B$2000,"2025-07",'04_Влияние_ОПИУ'!$C$2:$C$2000,$A30,'04_Влияние_ОПИУ'!$G$2:$G$2000,"Да"))</x:f>
      </x:c>
      <x:c r="AX30" s="238" t="str">
        <x:f>IF(COUNTA(AT30:AU30)=0,"",N(AU30)+N(AW30))</x:f>
      </x:c>
      <x:c r="AY30" s="252" t="str">
        <x:f>IF(COUNTA(AT30:AU30)=0,"",N(AT30)-N(AX30))</x:f>
      </x:c>
      <x:c r="AZ30" s="260" t="str">
        <x:f>IF(COUNTA(AT30:AU30)=0,"",IF(ABS(AY30)&lt;=0.01,IF(ABS(AW30)&gt;0.01,"СОШЛОСЬ ПОСЛЕ КОРР.","СОШЛОСЬ"),IF(ABS(AW30)&gt;0.01,"ЧАСТИЧНО","НЕОПРЕДЕЛЕНО")))</x:f>
      </x:c>
      <x:c r="BA30" s="190"/>
      <x:c r="BB30" s="202"/>
      <x:c r="BC30" s="214" t="str">
        <x:f>IF(COUNTA(BA30:BB30)=0,"",N(BA30)-N(BB30))</x:f>
      </x:c>
      <x:c r="BD30" s="226" t="str">
        <x:f>IF(COUNTA(BA30:BB30)=0,"",SUMIFS('04_Влияние_ОПИУ'!$F$2:$F$2000,'04_Влияние_ОПИУ'!$B$2:$B$2000,"2025-08",'04_Влияние_ОПИУ'!$C$2:$C$2000,$A30,'04_Влияние_ОПИУ'!$G$2:$G$2000,"Да"))</x:f>
      </x:c>
      <x:c r="BE30" s="238" t="str">
        <x:f>IF(COUNTA(BA30:BB30)=0,"",N(BB30)+N(BD30))</x:f>
      </x:c>
      <x:c r="BF30" s="252" t="str">
        <x:f>IF(COUNTA(BA30:BB30)=0,"",N(BA30)-N(BE30))</x:f>
      </x:c>
      <x:c r="BG30" s="260" t="str">
        <x:f>IF(COUNTA(BA30:BB30)=0,"",IF(ABS(BF30)&lt;=0.01,IF(ABS(BD30)&gt;0.01,"СОШЛОСЬ ПОСЛЕ КОРР.","СОШЛОСЬ"),IF(ABS(BD30)&gt;0.01,"ЧАСТИЧНО","НЕОПРЕДЕЛЕНО")))</x:f>
      </x:c>
      <x:c r="BH30" s="190"/>
      <x:c r="BI30" s="202"/>
      <x:c r="BJ30" s="214" t="str">
        <x:f>IF(COUNTA(BH30:BI30)=0,"",N(BH30)-N(BI30))</x:f>
      </x:c>
      <x:c r="BK30" s="226" t="str">
        <x:f>IF(COUNTA(BH30:BI30)=0,"",SUMIFS('04_Влияние_ОПИУ'!$F$2:$F$2000,'04_Влияние_ОПИУ'!$B$2:$B$2000,"2025-09",'04_Влияние_ОПИУ'!$C$2:$C$2000,$A30,'04_Влияние_ОПИУ'!$G$2:$G$2000,"Да"))</x:f>
      </x:c>
      <x:c r="BL30" s="238" t="str">
        <x:f>IF(COUNTA(BH30:BI30)=0,"",N(BI30)+N(BK30))</x:f>
      </x:c>
      <x:c r="BM30" s="252" t="str">
        <x:f>IF(COUNTA(BH30:BI30)=0,"",N(BH30)-N(BL30))</x:f>
      </x:c>
      <x:c r="BN30" s="260" t="str">
        <x:f>IF(COUNTA(BH30:BI30)=0,"",IF(ABS(BM30)&lt;=0.01,IF(ABS(BK30)&gt;0.01,"СОШЛОСЬ ПОСЛЕ КОРР.","СОШЛОСЬ"),IF(ABS(BK30)&gt;0.01,"ЧАСТИЧНО","НЕОПРЕДЕЛЕНО")))</x:f>
      </x:c>
      <x:c r="BO30" s="190"/>
      <x:c r="BP30" s="202"/>
      <x:c r="BQ30" s="214" t="str">
        <x:f>IF(COUNTA(BO30:BP30)=0,"",N(BO30)-N(BP30))</x:f>
      </x:c>
      <x:c r="BR30" s="226" t="str">
        <x:f>IF(COUNTA(BO30:BP30)=0,"",SUMIFS('04_Влияние_ОПИУ'!$F$2:$F$2000,'04_Влияние_ОПИУ'!$B$2:$B$2000,"2025-10",'04_Влияние_ОПИУ'!$C$2:$C$2000,$A30,'04_Влияние_ОПИУ'!$G$2:$G$2000,"Да"))</x:f>
      </x:c>
      <x:c r="BS30" s="238" t="str">
        <x:f>IF(COUNTA(BO30:BP30)=0,"",N(BP30)+N(BR30))</x:f>
      </x:c>
      <x:c r="BT30" s="252" t="str">
        <x:f>IF(COUNTA(BO30:BP30)=0,"",N(BO30)-N(BS30))</x:f>
      </x:c>
      <x:c r="BU30" s="260" t="str">
        <x:f>IF(COUNTA(BO30:BP30)=0,"",IF(ABS(BT30)&lt;=0.01,IF(ABS(BR30)&gt;0.01,"СОШЛОСЬ ПОСЛЕ КОРР.","СОШЛОСЬ"),IF(ABS(BR30)&gt;0.01,"ЧАСТИЧНО","НЕОПРЕДЕЛЕНО")))</x:f>
      </x:c>
      <x:c r="BV30" s="190"/>
      <x:c r="BW30" s="202"/>
      <x:c r="BX30" s="214" t="str">
        <x:f>IF(COUNTA(BV30:BW30)=0,"",N(BV30)-N(BW30))</x:f>
      </x:c>
      <x:c r="BY30" s="226" t="str">
        <x:f>IF(COUNTA(BV30:BW30)=0,"",SUMIFS('04_Влияние_ОПИУ'!$F$2:$F$2000,'04_Влияние_ОПИУ'!$B$2:$B$2000,"2025-11",'04_Влияние_ОПИУ'!$C$2:$C$2000,$A30,'04_Влияние_ОПИУ'!$G$2:$G$2000,"Да"))</x:f>
      </x:c>
      <x:c r="BZ30" s="238" t="str">
        <x:f>IF(COUNTA(BV30:BW30)=0,"",N(BW30)+N(BY30))</x:f>
      </x:c>
      <x:c r="CA30" s="252" t="str">
        <x:f>IF(COUNTA(BV30:BW30)=0,"",N(BV30)-N(BZ30))</x:f>
      </x:c>
      <x:c r="CB30" s="260" t="str">
        <x:f>IF(COUNTA(BV30:BW30)=0,"",IF(ABS(CA30)&lt;=0.01,IF(ABS(BY30)&gt;0.01,"СОШЛОСЬ ПОСЛЕ КОРР.","СОШЛОСЬ"),IF(ABS(BY30)&gt;0.01,"ЧАСТИЧНО","НЕОПРЕДЕЛЕНО")))</x:f>
      </x:c>
      <x:c r="CC30" s="190"/>
      <x:c r="CD30" s="202"/>
      <x:c r="CE30" s="214" t="str">
        <x:f>IF(COUNTA(CC30:CD30)=0,"",N(CC30)-N(CD30))</x:f>
      </x:c>
      <x:c r="CF30" s="226" t="str">
        <x:f>IF(COUNTA(CC30:CD30)=0,"",SUMIFS('04_Влияние_ОПИУ'!$F$2:$F$2000,'04_Влияние_ОПИУ'!$B$2:$B$2000,"2025-12",'04_Влияние_ОПИУ'!$C$2:$C$2000,$A30,'04_Влияние_ОПИУ'!$G$2:$G$2000,"Да"))</x:f>
      </x:c>
      <x:c r="CG30" s="238" t="str">
        <x:f>IF(COUNTA(CC30:CD30)=0,"",N(CD30)+N(CF30))</x:f>
      </x:c>
      <x:c r="CH30" s="252" t="str">
        <x:f>IF(COUNTA(CC30:CD30)=0,"",N(CC30)-N(CG30))</x:f>
      </x:c>
      <x:c r="CI30" s="260" t="str">
        <x:f>IF(COUNTA(CC30:CD30)=0,"",IF(ABS(CH30)&lt;=0.01,IF(ABS(CF30)&gt;0.01,"СОШЛОСЬ ПОСЛЕ КОРР.","СОШЛОСЬ"),IF(ABS(CF30)&gt;0.01,"ЧАСТИЧНО","НЕОПРЕДЕЛЕНО")))</x:f>
      </x:c>
    </x:row>
    <x:row r="31">
      <x:c r="A31" s="166" t="str">
        <x:v>R026</x:v>
      </x:c>
      <x:c r="B31" s="166" t="str">
        <x:v>        Обучение сотрудников</x:v>
      </x:c>
      <x:c r="C31" s="170" t="str">
        <x:v>        Обучение сотрудников</x:v>
      </x:c>
      <x:c r="D31" s="190"/>
      <x:c r="E31" s="202"/>
      <x:c r="F31" s="214" t="str">
        <x:f>IF(COUNTA(D31:E31)=0,"",N(D31)-N(E31))</x:f>
      </x:c>
      <x:c r="G31" s="226" t="str">
        <x:f>IF(COUNTA(D31:E31)=0,"",SUMIFS('04_Влияние_ОПИУ'!$F$2:$F$2000,'04_Влияние_ОПИУ'!$B$2:$B$2000,"2025-01",'04_Влияние_ОПИУ'!$C$2:$C$2000,$A31,'04_Влияние_ОПИУ'!$G$2:$G$2000,"Да"))</x:f>
      </x:c>
      <x:c r="H31" s="238" t="str">
        <x:f>IF(COUNTA(D31:E31)=0,"",N(E31)+N(G31))</x:f>
      </x:c>
      <x:c r="I31" s="252" t="str">
        <x:f>IF(COUNTA(D31:E31)=0,"",N(D31)-N(H31))</x:f>
      </x:c>
      <x:c r="J31" s="260" t="str">
        <x:f>IF(COUNTA(D31:E31)=0,"",IF(ABS(I31)&lt;=0.01,IF(ABS(G31)&gt;0.01,"СОШЛОСЬ ПОСЛЕ КОРР.","СОШЛОСЬ"),IF(ABS(G31)&gt;0.01,"ЧАСТИЧНО","НЕОПРЕДЕЛЕНО")))</x:f>
      </x:c>
      <x:c r="K31" s="190"/>
      <x:c r="L31" s="202"/>
      <x:c r="M31" s="214" t="str">
        <x:f>IF(COUNTA(K31:L31)=0,"",N(K31)-N(L31))</x:f>
      </x:c>
      <x:c r="N31" s="226" t="str">
        <x:f>IF(COUNTA(K31:L31)=0,"",SUMIFS('04_Влияние_ОПИУ'!$F$2:$F$2000,'04_Влияние_ОПИУ'!$B$2:$B$2000,"2025-02",'04_Влияние_ОПИУ'!$C$2:$C$2000,$A31,'04_Влияние_ОПИУ'!$G$2:$G$2000,"Да"))</x:f>
      </x:c>
      <x:c r="O31" s="238" t="str">
        <x:f>IF(COUNTA(K31:L31)=0,"",N(L31)+N(N31))</x:f>
      </x:c>
      <x:c r="P31" s="252" t="str">
        <x:f>IF(COUNTA(K31:L31)=0,"",N(K31)-N(O31))</x:f>
      </x:c>
      <x:c r="Q31" s="260" t="str">
        <x:f>IF(COUNTA(K31:L31)=0,"",IF(ABS(P31)&lt;=0.01,IF(ABS(N31)&gt;0.01,"СОШЛОСЬ ПОСЛЕ КОРР.","СОШЛОСЬ"),IF(ABS(N31)&gt;0.01,"ЧАСТИЧНО","НЕОПРЕДЕЛЕНО")))</x:f>
      </x:c>
      <x:c r="R31" s="190"/>
      <x:c r="S31" s="202"/>
      <x:c r="T31" s="214" t="str">
        <x:f>IF(COUNTA(R31:S31)=0,"",N(R31)-N(S31))</x:f>
      </x:c>
      <x:c r="U31" s="226" t="str">
        <x:f>IF(COUNTA(R31:S31)=0,"",SUMIFS('04_Влияние_ОПИУ'!$F$2:$F$2000,'04_Влияние_ОПИУ'!$B$2:$B$2000,"2025-03",'04_Влияние_ОПИУ'!$C$2:$C$2000,$A31,'04_Влияние_ОПИУ'!$G$2:$G$2000,"Да"))</x:f>
      </x:c>
      <x:c r="V31" s="238" t="str">
        <x:f>IF(COUNTA(R31:S31)=0,"",N(S31)+N(U31))</x:f>
      </x:c>
      <x:c r="W31" s="252" t="str">
        <x:f>IF(COUNTA(R31:S31)=0,"",N(R31)-N(V31))</x:f>
      </x:c>
      <x:c r="X31" s="260" t="str">
        <x:f>IF(COUNTA(R31:S31)=0,"",IF(ABS(W31)&lt;=0.01,IF(ABS(U31)&gt;0.01,"СОШЛОСЬ ПОСЛЕ КОРР.","СОШЛОСЬ"),IF(ABS(U31)&gt;0.01,"ЧАСТИЧНО","НЕОПРЕДЕЛЕНО")))</x:f>
      </x:c>
      <x:c r="Y31" s="190"/>
      <x:c r="Z31" s="202"/>
      <x:c r="AA31" s="214" t="str">
        <x:f>IF(COUNTA(Y31:Z31)=0,"",N(Y31)-N(Z31))</x:f>
      </x:c>
      <x:c r="AB31" s="226" t="str">
        <x:f>IF(COUNTA(Y31:Z31)=0,"",SUMIFS('04_Влияние_ОПИУ'!$F$2:$F$2000,'04_Влияние_ОПИУ'!$B$2:$B$2000,"2025-04",'04_Влияние_ОПИУ'!$C$2:$C$2000,$A31,'04_Влияние_ОПИУ'!$G$2:$G$2000,"Да"))</x:f>
      </x:c>
      <x:c r="AC31" s="238" t="str">
        <x:f>IF(COUNTA(Y31:Z31)=0,"",N(Z31)+N(AB31))</x:f>
      </x:c>
      <x:c r="AD31" s="252" t="str">
        <x:f>IF(COUNTA(Y31:Z31)=0,"",N(Y31)-N(AC31))</x:f>
      </x:c>
      <x:c r="AE31" s="260" t="str">
        <x:f>IF(COUNTA(Y31:Z31)=0,"",IF(ABS(AD31)&lt;=0.01,IF(ABS(AB31)&gt;0.01,"СОШЛОСЬ ПОСЛЕ КОРР.","СОШЛОСЬ"),IF(ABS(AB31)&gt;0.01,"ЧАСТИЧНО","НЕОПРЕДЕЛЕНО")))</x:f>
      </x:c>
      <x:c r="AF31" s="190"/>
      <x:c r="AG31" s="202"/>
      <x:c r="AH31" s="214" t="str">
        <x:f>IF(COUNTA(AF31:AG31)=0,"",N(AF31)-N(AG31))</x:f>
      </x:c>
      <x:c r="AI31" s="226" t="str">
        <x:f>IF(COUNTA(AF31:AG31)=0,"",SUMIFS('04_Влияние_ОПИУ'!$F$2:$F$2000,'04_Влияние_ОПИУ'!$B$2:$B$2000,"2025-05",'04_Влияние_ОПИУ'!$C$2:$C$2000,$A31,'04_Влияние_ОПИУ'!$G$2:$G$2000,"Да"))</x:f>
      </x:c>
      <x:c r="AJ31" s="238" t="str">
        <x:f>IF(COUNTA(AF31:AG31)=0,"",N(AG31)+N(AI31))</x:f>
      </x:c>
      <x:c r="AK31" s="252" t="str">
        <x:f>IF(COUNTA(AF31:AG31)=0,"",N(AF31)-N(AJ31))</x:f>
      </x:c>
      <x:c r="AL31" s="260" t="str">
        <x:f>IF(COUNTA(AF31:AG31)=0,"",IF(ABS(AK31)&lt;=0.01,IF(ABS(AI31)&gt;0.01,"СОШЛОСЬ ПОСЛЕ КОРР.","СОШЛОСЬ"),IF(ABS(AI31)&gt;0.01,"ЧАСТИЧНО","НЕОПРЕДЕЛЕНО")))</x:f>
      </x:c>
      <x:c r="AM31" s="190"/>
      <x:c r="AN31" s="202"/>
      <x:c r="AO31" s="214" t="str">
        <x:f>IF(COUNTA(AM31:AN31)=0,"",N(AM31)-N(AN31))</x:f>
      </x:c>
      <x:c r="AP31" s="226" t="str">
        <x:f>IF(COUNTA(AM31:AN31)=0,"",SUMIFS('04_Влияние_ОПИУ'!$F$2:$F$2000,'04_Влияние_ОПИУ'!$B$2:$B$2000,"2025-06",'04_Влияние_ОПИУ'!$C$2:$C$2000,$A31,'04_Влияние_ОПИУ'!$G$2:$G$2000,"Да"))</x:f>
      </x:c>
      <x:c r="AQ31" s="238" t="str">
        <x:f>IF(COUNTA(AM31:AN31)=0,"",N(AN31)+N(AP31))</x:f>
      </x:c>
      <x:c r="AR31" s="252" t="str">
        <x:f>IF(COUNTA(AM31:AN31)=0,"",N(AM31)-N(AQ31))</x:f>
      </x:c>
      <x:c r="AS31" s="260" t="str">
        <x:f>IF(COUNTA(AM31:AN31)=0,"",IF(ABS(AR31)&lt;=0.01,IF(ABS(AP31)&gt;0.01,"СОШЛОСЬ ПОСЛЕ КОРР.","СОШЛОСЬ"),IF(ABS(AP31)&gt;0.01,"ЧАСТИЧНО","НЕОПРЕДЕЛЕНО")))</x:f>
      </x:c>
      <x:c r="AT31" s="190"/>
      <x:c r="AU31" s="202"/>
      <x:c r="AV31" s="214" t="str">
        <x:f>IF(COUNTA(AT31:AU31)=0,"",N(AT31)-N(AU31))</x:f>
      </x:c>
      <x:c r="AW31" s="226" t="str">
        <x:f>IF(COUNTA(AT31:AU31)=0,"",SUMIFS('04_Влияние_ОПИУ'!$F$2:$F$2000,'04_Влияние_ОПИУ'!$B$2:$B$2000,"2025-07",'04_Влияние_ОПИУ'!$C$2:$C$2000,$A31,'04_Влияние_ОПИУ'!$G$2:$G$2000,"Да"))</x:f>
      </x:c>
      <x:c r="AX31" s="238" t="str">
        <x:f>IF(COUNTA(AT31:AU31)=0,"",N(AU31)+N(AW31))</x:f>
      </x:c>
      <x:c r="AY31" s="252" t="str">
        <x:f>IF(COUNTA(AT31:AU31)=0,"",N(AT31)-N(AX31))</x:f>
      </x:c>
      <x:c r="AZ31" s="260" t="str">
        <x:f>IF(COUNTA(AT31:AU31)=0,"",IF(ABS(AY31)&lt;=0.01,IF(ABS(AW31)&gt;0.01,"СОШЛОСЬ ПОСЛЕ КОРР.","СОШЛОСЬ"),IF(ABS(AW31)&gt;0.01,"ЧАСТИЧНО","НЕОПРЕДЕЛЕНО")))</x:f>
      </x:c>
      <x:c r="BA31" s="190"/>
      <x:c r="BB31" s="202"/>
      <x:c r="BC31" s="214" t="str">
        <x:f>IF(COUNTA(BA31:BB31)=0,"",N(BA31)-N(BB31))</x:f>
      </x:c>
      <x:c r="BD31" s="226" t="str">
        <x:f>IF(COUNTA(BA31:BB31)=0,"",SUMIFS('04_Влияние_ОПИУ'!$F$2:$F$2000,'04_Влияние_ОПИУ'!$B$2:$B$2000,"2025-08",'04_Влияние_ОПИУ'!$C$2:$C$2000,$A31,'04_Влияние_ОПИУ'!$G$2:$G$2000,"Да"))</x:f>
      </x:c>
      <x:c r="BE31" s="238" t="str">
        <x:f>IF(COUNTA(BA31:BB31)=0,"",N(BB31)+N(BD31))</x:f>
      </x:c>
      <x:c r="BF31" s="252" t="str">
        <x:f>IF(COUNTA(BA31:BB31)=0,"",N(BA31)-N(BE31))</x:f>
      </x:c>
      <x:c r="BG31" s="260" t="str">
        <x:f>IF(COUNTA(BA31:BB31)=0,"",IF(ABS(BF31)&lt;=0.01,IF(ABS(BD31)&gt;0.01,"СОШЛОСЬ ПОСЛЕ КОРР.","СОШЛОСЬ"),IF(ABS(BD31)&gt;0.01,"ЧАСТИЧНО","НЕОПРЕДЕЛЕНО")))</x:f>
      </x:c>
      <x:c r="BH31" s="190"/>
      <x:c r="BI31" s="202"/>
      <x:c r="BJ31" s="214" t="str">
        <x:f>IF(COUNTA(BH31:BI31)=0,"",N(BH31)-N(BI31))</x:f>
      </x:c>
      <x:c r="BK31" s="226" t="str">
        <x:f>IF(COUNTA(BH31:BI31)=0,"",SUMIFS('04_Влияние_ОПИУ'!$F$2:$F$2000,'04_Влияние_ОПИУ'!$B$2:$B$2000,"2025-09",'04_Влияние_ОПИУ'!$C$2:$C$2000,$A31,'04_Влияние_ОПИУ'!$G$2:$G$2000,"Да"))</x:f>
      </x:c>
      <x:c r="BL31" s="238" t="str">
        <x:f>IF(COUNTA(BH31:BI31)=0,"",N(BI31)+N(BK31))</x:f>
      </x:c>
      <x:c r="BM31" s="252" t="str">
        <x:f>IF(COUNTA(BH31:BI31)=0,"",N(BH31)-N(BL31))</x:f>
      </x:c>
      <x:c r="BN31" s="260" t="str">
        <x:f>IF(COUNTA(BH31:BI31)=0,"",IF(ABS(BM31)&lt;=0.01,IF(ABS(BK31)&gt;0.01,"СОШЛОСЬ ПОСЛЕ КОРР.","СОШЛОСЬ"),IF(ABS(BK31)&gt;0.01,"ЧАСТИЧНО","НЕОПРЕДЕЛЕНО")))</x:f>
      </x:c>
      <x:c r="BO31" s="190"/>
      <x:c r="BP31" s="202"/>
      <x:c r="BQ31" s="214" t="str">
        <x:f>IF(COUNTA(BO31:BP31)=0,"",N(BO31)-N(BP31))</x:f>
      </x:c>
      <x:c r="BR31" s="226" t="str">
        <x:f>IF(COUNTA(BO31:BP31)=0,"",SUMIFS('04_Влияние_ОПИУ'!$F$2:$F$2000,'04_Влияние_ОПИУ'!$B$2:$B$2000,"2025-10",'04_Влияние_ОПИУ'!$C$2:$C$2000,$A31,'04_Влияние_ОПИУ'!$G$2:$G$2000,"Да"))</x:f>
      </x:c>
      <x:c r="BS31" s="238" t="str">
        <x:f>IF(COUNTA(BO31:BP31)=0,"",N(BP31)+N(BR31))</x:f>
      </x:c>
      <x:c r="BT31" s="252" t="str">
        <x:f>IF(COUNTA(BO31:BP31)=0,"",N(BO31)-N(BS31))</x:f>
      </x:c>
      <x:c r="BU31" s="260" t="str">
        <x:f>IF(COUNTA(BO31:BP31)=0,"",IF(ABS(BT31)&lt;=0.01,IF(ABS(BR31)&gt;0.01,"СОШЛОСЬ ПОСЛЕ КОРР.","СОШЛОСЬ"),IF(ABS(BR31)&gt;0.01,"ЧАСТИЧНО","НЕОПРЕДЕЛЕНО")))</x:f>
      </x:c>
      <x:c r="BV31" s="190"/>
      <x:c r="BW31" s="202"/>
      <x:c r="BX31" s="214" t="str">
        <x:f>IF(COUNTA(BV31:BW31)=0,"",N(BV31)-N(BW31))</x:f>
      </x:c>
      <x:c r="BY31" s="226" t="str">
        <x:f>IF(COUNTA(BV31:BW31)=0,"",SUMIFS('04_Влияние_ОПИУ'!$F$2:$F$2000,'04_Влияние_ОПИУ'!$B$2:$B$2000,"2025-11",'04_Влияние_ОПИУ'!$C$2:$C$2000,$A31,'04_Влияние_ОПИУ'!$G$2:$G$2000,"Да"))</x:f>
      </x:c>
      <x:c r="BZ31" s="238" t="str">
        <x:f>IF(COUNTA(BV31:BW31)=0,"",N(BW31)+N(BY31))</x:f>
      </x:c>
      <x:c r="CA31" s="252" t="str">
        <x:f>IF(COUNTA(BV31:BW31)=0,"",N(BV31)-N(BZ31))</x:f>
      </x:c>
      <x:c r="CB31" s="260" t="str">
        <x:f>IF(COUNTA(BV31:BW31)=0,"",IF(ABS(CA31)&lt;=0.01,IF(ABS(BY31)&gt;0.01,"СОШЛОСЬ ПОСЛЕ КОРР.","СОШЛОСЬ"),IF(ABS(BY31)&gt;0.01,"ЧАСТИЧНО","НЕОПРЕДЕЛЕНО")))</x:f>
      </x:c>
      <x:c r="CC31" s="190"/>
      <x:c r="CD31" s="202"/>
      <x:c r="CE31" s="214" t="str">
        <x:f>IF(COUNTA(CC31:CD31)=0,"",N(CC31)-N(CD31))</x:f>
      </x:c>
      <x:c r="CF31" s="226" t="str">
        <x:f>IF(COUNTA(CC31:CD31)=0,"",SUMIFS('04_Влияние_ОПИУ'!$F$2:$F$2000,'04_Влияние_ОПИУ'!$B$2:$B$2000,"2025-12",'04_Влияние_ОПИУ'!$C$2:$C$2000,$A31,'04_Влияние_ОПИУ'!$G$2:$G$2000,"Да"))</x:f>
      </x:c>
      <x:c r="CG31" s="238" t="str">
        <x:f>IF(COUNTA(CC31:CD31)=0,"",N(CD31)+N(CF31))</x:f>
      </x:c>
      <x:c r="CH31" s="252" t="str">
        <x:f>IF(COUNTA(CC31:CD31)=0,"",N(CC31)-N(CG31))</x:f>
      </x:c>
      <x:c r="CI31" s="260" t="str">
        <x:f>IF(COUNTA(CC31:CD31)=0,"",IF(ABS(CH31)&lt;=0.01,IF(ABS(CF31)&gt;0.01,"СОШЛОСЬ ПОСЛЕ КОРР.","СОШЛОСЬ"),IF(ABS(CF31)&gt;0.01,"ЧАСТИЧНО","НЕОПРЕДЕЛЕНО")))</x:f>
      </x:c>
    </x:row>
    <x:row r="32">
      <x:c r="A32" s="166" t="str">
        <x:v>R027</x:v>
      </x:c>
      <x:c r="B32" s="166" t="str">
        <x:v>        Подбор персонала</x:v>
      </x:c>
      <x:c r="C32" s="170" t="str">
        <x:v>        Подбор персонала</x:v>
      </x:c>
      <x:c r="D32" s="190"/>
      <x:c r="E32" s="202"/>
      <x:c r="F32" s="214" t="str">
        <x:f>IF(COUNTA(D32:E32)=0,"",N(D32)-N(E32))</x:f>
      </x:c>
      <x:c r="G32" s="226" t="str">
        <x:f>IF(COUNTA(D32:E32)=0,"",SUMIFS('04_Влияние_ОПИУ'!$F$2:$F$2000,'04_Влияние_ОПИУ'!$B$2:$B$2000,"2025-01",'04_Влияние_ОПИУ'!$C$2:$C$2000,$A32,'04_Влияние_ОПИУ'!$G$2:$G$2000,"Да"))</x:f>
      </x:c>
      <x:c r="H32" s="238" t="str">
        <x:f>IF(COUNTA(D32:E32)=0,"",N(E32)+N(G32))</x:f>
      </x:c>
      <x:c r="I32" s="252" t="str">
        <x:f>IF(COUNTA(D32:E32)=0,"",N(D32)-N(H32))</x:f>
      </x:c>
      <x:c r="J32" s="260" t="str">
        <x:f>IF(COUNTA(D32:E32)=0,"",IF(ABS(I32)&lt;=0.01,IF(ABS(G32)&gt;0.01,"СОШЛОСЬ ПОСЛЕ КОРР.","СОШЛОСЬ"),IF(ABS(G32)&gt;0.01,"ЧАСТИЧНО","НЕОПРЕДЕЛЕНО")))</x:f>
      </x:c>
      <x:c r="K32" s="190"/>
      <x:c r="L32" s="202"/>
      <x:c r="M32" s="214" t="str">
        <x:f>IF(COUNTA(K32:L32)=0,"",N(K32)-N(L32))</x:f>
      </x:c>
      <x:c r="N32" s="226" t="str">
        <x:f>IF(COUNTA(K32:L32)=0,"",SUMIFS('04_Влияние_ОПИУ'!$F$2:$F$2000,'04_Влияние_ОПИУ'!$B$2:$B$2000,"2025-02",'04_Влияние_ОПИУ'!$C$2:$C$2000,$A32,'04_Влияние_ОПИУ'!$G$2:$G$2000,"Да"))</x:f>
      </x:c>
      <x:c r="O32" s="238" t="str">
        <x:f>IF(COUNTA(K32:L32)=0,"",N(L32)+N(N32))</x:f>
      </x:c>
      <x:c r="P32" s="252" t="str">
        <x:f>IF(COUNTA(K32:L32)=0,"",N(K32)-N(O32))</x:f>
      </x:c>
      <x:c r="Q32" s="260" t="str">
        <x:f>IF(COUNTA(K32:L32)=0,"",IF(ABS(P32)&lt;=0.01,IF(ABS(N32)&gt;0.01,"СОШЛОСЬ ПОСЛЕ КОРР.","СОШЛОСЬ"),IF(ABS(N32)&gt;0.01,"ЧАСТИЧНО","НЕОПРЕДЕЛЕНО")))</x:f>
      </x:c>
      <x:c r="R32" s="190"/>
      <x:c r="S32" s="202"/>
      <x:c r="T32" s="214" t="str">
        <x:f>IF(COUNTA(R32:S32)=0,"",N(R32)-N(S32))</x:f>
      </x:c>
      <x:c r="U32" s="226" t="str">
        <x:f>IF(COUNTA(R32:S32)=0,"",SUMIFS('04_Влияние_ОПИУ'!$F$2:$F$2000,'04_Влияние_ОПИУ'!$B$2:$B$2000,"2025-03",'04_Влияние_ОПИУ'!$C$2:$C$2000,$A32,'04_Влияние_ОПИУ'!$G$2:$G$2000,"Да"))</x:f>
      </x:c>
      <x:c r="V32" s="238" t="str">
        <x:f>IF(COUNTA(R32:S32)=0,"",N(S32)+N(U32))</x:f>
      </x:c>
      <x:c r="W32" s="252" t="str">
        <x:f>IF(COUNTA(R32:S32)=0,"",N(R32)-N(V32))</x:f>
      </x:c>
      <x:c r="X32" s="260" t="str">
        <x:f>IF(COUNTA(R32:S32)=0,"",IF(ABS(W32)&lt;=0.01,IF(ABS(U32)&gt;0.01,"СОШЛОСЬ ПОСЛЕ КОРР.","СОШЛОСЬ"),IF(ABS(U32)&gt;0.01,"ЧАСТИЧНО","НЕОПРЕДЕЛЕНО")))</x:f>
      </x:c>
      <x:c r="Y32" s="190"/>
      <x:c r="Z32" s="202"/>
      <x:c r="AA32" s="214" t="str">
        <x:f>IF(COUNTA(Y32:Z32)=0,"",N(Y32)-N(Z32))</x:f>
      </x:c>
      <x:c r="AB32" s="226" t="str">
        <x:f>IF(COUNTA(Y32:Z32)=0,"",SUMIFS('04_Влияние_ОПИУ'!$F$2:$F$2000,'04_Влияние_ОПИУ'!$B$2:$B$2000,"2025-04",'04_Влияние_ОПИУ'!$C$2:$C$2000,$A32,'04_Влияние_ОПИУ'!$G$2:$G$2000,"Да"))</x:f>
      </x:c>
      <x:c r="AC32" s="238" t="str">
        <x:f>IF(COUNTA(Y32:Z32)=0,"",N(Z32)+N(AB32))</x:f>
      </x:c>
      <x:c r="AD32" s="252" t="str">
        <x:f>IF(COUNTA(Y32:Z32)=0,"",N(Y32)-N(AC32))</x:f>
      </x:c>
      <x:c r="AE32" s="260" t="str">
        <x:f>IF(COUNTA(Y32:Z32)=0,"",IF(ABS(AD32)&lt;=0.01,IF(ABS(AB32)&gt;0.01,"СОШЛОСЬ ПОСЛЕ КОРР.","СОШЛОСЬ"),IF(ABS(AB32)&gt;0.01,"ЧАСТИЧНО","НЕОПРЕДЕЛЕНО")))</x:f>
      </x:c>
      <x:c r="AF32" s="190"/>
      <x:c r="AG32" s="202"/>
      <x:c r="AH32" s="214" t="str">
        <x:f>IF(COUNTA(AF32:AG32)=0,"",N(AF32)-N(AG32))</x:f>
      </x:c>
      <x:c r="AI32" s="226" t="str">
        <x:f>IF(COUNTA(AF32:AG32)=0,"",SUMIFS('04_Влияние_ОПИУ'!$F$2:$F$2000,'04_Влияние_ОПИУ'!$B$2:$B$2000,"2025-05",'04_Влияние_ОПИУ'!$C$2:$C$2000,$A32,'04_Влияние_ОПИУ'!$G$2:$G$2000,"Да"))</x:f>
      </x:c>
      <x:c r="AJ32" s="238" t="str">
        <x:f>IF(COUNTA(AF32:AG32)=0,"",N(AG32)+N(AI32))</x:f>
      </x:c>
      <x:c r="AK32" s="252" t="str">
        <x:f>IF(COUNTA(AF32:AG32)=0,"",N(AF32)-N(AJ32))</x:f>
      </x:c>
      <x:c r="AL32" s="260" t="str">
        <x:f>IF(COUNTA(AF32:AG32)=0,"",IF(ABS(AK32)&lt;=0.01,IF(ABS(AI32)&gt;0.01,"СОШЛОСЬ ПОСЛЕ КОРР.","СОШЛОСЬ"),IF(ABS(AI32)&gt;0.01,"ЧАСТИЧНО","НЕОПРЕДЕЛЕНО")))</x:f>
      </x:c>
      <x:c r="AM32" s="190"/>
      <x:c r="AN32" s="202"/>
      <x:c r="AO32" s="214" t="str">
        <x:f>IF(COUNTA(AM32:AN32)=0,"",N(AM32)-N(AN32))</x:f>
      </x:c>
      <x:c r="AP32" s="226" t="str">
        <x:f>IF(COUNTA(AM32:AN32)=0,"",SUMIFS('04_Влияние_ОПИУ'!$F$2:$F$2000,'04_Влияние_ОПИУ'!$B$2:$B$2000,"2025-06",'04_Влияние_ОПИУ'!$C$2:$C$2000,$A32,'04_Влияние_ОПИУ'!$G$2:$G$2000,"Да"))</x:f>
      </x:c>
      <x:c r="AQ32" s="238" t="str">
        <x:f>IF(COUNTA(AM32:AN32)=0,"",N(AN32)+N(AP32))</x:f>
      </x:c>
      <x:c r="AR32" s="252" t="str">
        <x:f>IF(COUNTA(AM32:AN32)=0,"",N(AM32)-N(AQ32))</x:f>
      </x:c>
      <x:c r="AS32" s="260" t="str">
        <x:f>IF(COUNTA(AM32:AN32)=0,"",IF(ABS(AR32)&lt;=0.01,IF(ABS(AP32)&gt;0.01,"СОШЛОСЬ ПОСЛЕ КОРР.","СОШЛОСЬ"),IF(ABS(AP32)&gt;0.01,"ЧАСТИЧНО","НЕОПРЕДЕЛЕНО")))</x:f>
      </x:c>
      <x:c r="AT32" s="190"/>
      <x:c r="AU32" s="202"/>
      <x:c r="AV32" s="214" t="str">
        <x:f>IF(COUNTA(AT32:AU32)=0,"",N(AT32)-N(AU32))</x:f>
      </x:c>
      <x:c r="AW32" s="226" t="str">
        <x:f>IF(COUNTA(AT32:AU32)=0,"",SUMIFS('04_Влияние_ОПИУ'!$F$2:$F$2000,'04_Влияние_ОПИУ'!$B$2:$B$2000,"2025-07",'04_Влияние_ОПИУ'!$C$2:$C$2000,$A32,'04_Влияние_ОПИУ'!$G$2:$G$2000,"Да"))</x:f>
      </x:c>
      <x:c r="AX32" s="238" t="str">
        <x:f>IF(COUNTA(AT32:AU32)=0,"",N(AU32)+N(AW32))</x:f>
      </x:c>
      <x:c r="AY32" s="252" t="str">
        <x:f>IF(COUNTA(AT32:AU32)=0,"",N(AT32)-N(AX32))</x:f>
      </x:c>
      <x:c r="AZ32" s="260" t="str">
        <x:f>IF(COUNTA(AT32:AU32)=0,"",IF(ABS(AY32)&lt;=0.01,IF(ABS(AW32)&gt;0.01,"СОШЛОСЬ ПОСЛЕ КОРР.","СОШЛОСЬ"),IF(ABS(AW32)&gt;0.01,"ЧАСТИЧНО","НЕОПРЕДЕЛЕНО")))</x:f>
      </x:c>
      <x:c r="BA32" s="190"/>
      <x:c r="BB32" s="202"/>
      <x:c r="BC32" s="214" t="str">
        <x:f>IF(COUNTA(BA32:BB32)=0,"",N(BA32)-N(BB32))</x:f>
      </x:c>
      <x:c r="BD32" s="226" t="str">
        <x:f>IF(COUNTA(BA32:BB32)=0,"",SUMIFS('04_Влияние_ОПИУ'!$F$2:$F$2000,'04_Влияние_ОПИУ'!$B$2:$B$2000,"2025-08",'04_Влияние_ОПИУ'!$C$2:$C$2000,$A32,'04_Влияние_ОПИУ'!$G$2:$G$2000,"Да"))</x:f>
      </x:c>
      <x:c r="BE32" s="238" t="str">
        <x:f>IF(COUNTA(BA32:BB32)=0,"",N(BB32)+N(BD32))</x:f>
      </x:c>
      <x:c r="BF32" s="252" t="str">
        <x:f>IF(COUNTA(BA32:BB32)=0,"",N(BA32)-N(BE32))</x:f>
      </x:c>
      <x:c r="BG32" s="260" t="str">
        <x:f>IF(COUNTA(BA32:BB32)=0,"",IF(ABS(BF32)&lt;=0.01,IF(ABS(BD32)&gt;0.01,"СОШЛОСЬ ПОСЛЕ КОРР.","СОШЛОСЬ"),IF(ABS(BD32)&gt;0.01,"ЧАСТИЧНО","НЕОПРЕДЕЛЕНО")))</x:f>
      </x:c>
      <x:c r="BH32" s="190"/>
      <x:c r="BI32" s="202"/>
      <x:c r="BJ32" s="214" t="str">
        <x:f>IF(COUNTA(BH32:BI32)=0,"",N(BH32)-N(BI32))</x:f>
      </x:c>
      <x:c r="BK32" s="226" t="str">
        <x:f>IF(COUNTA(BH32:BI32)=0,"",SUMIFS('04_Влияние_ОПИУ'!$F$2:$F$2000,'04_Влияние_ОПИУ'!$B$2:$B$2000,"2025-09",'04_Влияние_ОПИУ'!$C$2:$C$2000,$A32,'04_Влияние_ОПИУ'!$G$2:$G$2000,"Да"))</x:f>
      </x:c>
      <x:c r="BL32" s="238" t="str">
        <x:f>IF(COUNTA(BH32:BI32)=0,"",N(BI32)+N(BK32))</x:f>
      </x:c>
      <x:c r="BM32" s="252" t="str">
        <x:f>IF(COUNTA(BH32:BI32)=0,"",N(BH32)-N(BL32))</x:f>
      </x:c>
      <x:c r="BN32" s="260" t="str">
        <x:f>IF(COUNTA(BH32:BI32)=0,"",IF(ABS(BM32)&lt;=0.01,IF(ABS(BK32)&gt;0.01,"СОШЛОСЬ ПОСЛЕ КОРР.","СОШЛОСЬ"),IF(ABS(BK32)&gt;0.01,"ЧАСТИЧНО","НЕОПРЕДЕЛЕНО")))</x:f>
      </x:c>
      <x:c r="BO32" s="190"/>
      <x:c r="BP32" s="202"/>
      <x:c r="BQ32" s="214" t="str">
        <x:f>IF(COUNTA(BO32:BP32)=0,"",N(BO32)-N(BP32))</x:f>
      </x:c>
      <x:c r="BR32" s="226" t="str">
        <x:f>IF(COUNTA(BO32:BP32)=0,"",SUMIFS('04_Влияние_ОПИУ'!$F$2:$F$2000,'04_Влияние_ОПИУ'!$B$2:$B$2000,"2025-10",'04_Влияние_ОПИУ'!$C$2:$C$2000,$A32,'04_Влияние_ОПИУ'!$G$2:$G$2000,"Да"))</x:f>
      </x:c>
      <x:c r="BS32" s="238" t="str">
        <x:f>IF(COUNTA(BO32:BP32)=0,"",N(BP32)+N(BR32))</x:f>
      </x:c>
      <x:c r="BT32" s="252" t="str">
        <x:f>IF(COUNTA(BO32:BP32)=0,"",N(BO32)-N(BS32))</x:f>
      </x:c>
      <x:c r="BU32" s="260" t="str">
        <x:f>IF(COUNTA(BO32:BP32)=0,"",IF(ABS(BT32)&lt;=0.01,IF(ABS(BR32)&gt;0.01,"СОШЛОСЬ ПОСЛЕ КОРР.","СОШЛОСЬ"),IF(ABS(BR32)&gt;0.01,"ЧАСТИЧНО","НЕОПРЕДЕЛЕНО")))</x:f>
      </x:c>
      <x:c r="BV32" s="190"/>
      <x:c r="BW32" s="202"/>
      <x:c r="BX32" s="214" t="str">
        <x:f>IF(COUNTA(BV32:BW32)=0,"",N(BV32)-N(BW32))</x:f>
      </x:c>
      <x:c r="BY32" s="226" t="str">
        <x:f>IF(COUNTA(BV32:BW32)=0,"",SUMIFS('04_Влияние_ОПИУ'!$F$2:$F$2000,'04_Влияние_ОПИУ'!$B$2:$B$2000,"2025-11",'04_Влияние_ОПИУ'!$C$2:$C$2000,$A32,'04_Влияние_ОПИУ'!$G$2:$G$2000,"Да"))</x:f>
      </x:c>
      <x:c r="BZ32" s="238" t="str">
        <x:f>IF(COUNTA(BV32:BW32)=0,"",N(BW32)+N(BY32))</x:f>
      </x:c>
      <x:c r="CA32" s="252" t="str">
        <x:f>IF(COUNTA(BV32:BW32)=0,"",N(BV32)-N(BZ32))</x:f>
      </x:c>
      <x:c r="CB32" s="260" t="str">
        <x:f>IF(COUNTA(BV32:BW32)=0,"",IF(ABS(CA32)&lt;=0.01,IF(ABS(BY32)&gt;0.01,"СОШЛОСЬ ПОСЛЕ КОРР.","СОШЛОСЬ"),IF(ABS(BY32)&gt;0.01,"ЧАСТИЧНО","НЕОПРЕДЕЛЕНО")))</x:f>
      </x:c>
      <x:c r="CC32" s="190"/>
      <x:c r="CD32" s="202"/>
      <x:c r="CE32" s="214" t="str">
        <x:f>IF(COUNTA(CC32:CD32)=0,"",N(CC32)-N(CD32))</x:f>
      </x:c>
      <x:c r="CF32" s="226" t="str">
        <x:f>IF(COUNTA(CC32:CD32)=0,"",SUMIFS('04_Влияние_ОПИУ'!$F$2:$F$2000,'04_Влияние_ОПИУ'!$B$2:$B$2000,"2025-12",'04_Влияние_ОПИУ'!$C$2:$C$2000,$A32,'04_Влияние_ОПИУ'!$G$2:$G$2000,"Да"))</x:f>
      </x:c>
      <x:c r="CG32" s="238" t="str">
        <x:f>IF(COUNTA(CC32:CD32)=0,"",N(CD32)+N(CF32))</x:f>
      </x:c>
      <x:c r="CH32" s="252" t="str">
        <x:f>IF(COUNTA(CC32:CD32)=0,"",N(CC32)-N(CG32))</x:f>
      </x:c>
      <x:c r="CI32" s="260" t="str">
        <x:f>IF(COUNTA(CC32:CD32)=0,"",IF(ABS(CH32)&lt;=0.01,IF(ABS(CF32)&gt;0.01,"СОШЛОСЬ ПОСЛЕ КОРР.","СОШЛОСЬ"),IF(ABS(CF32)&gt;0.01,"ЧАСТИЧНО","НЕОПРЕДЕЛЕНО")))</x:f>
      </x:c>
    </x:row>
    <x:row r="33">
      <x:c r="A33" s="166" t="str">
        <x:v>R028</x:v>
      </x:c>
      <x:c r="B33" s="166" t="str">
        <x:v>        Прочие расходы на персонал</x:v>
      </x:c>
      <x:c r="C33" s="170" t="str">
        <x:v>        Прочие расходы на персонал</x:v>
      </x:c>
      <x:c r="D33" s="190"/>
      <x:c r="E33" s="202"/>
      <x:c r="F33" s="214" t="str">
        <x:f>IF(COUNTA(D33:E33)=0,"",N(D33)-N(E33))</x:f>
      </x:c>
      <x:c r="G33" s="226" t="str">
        <x:f>IF(COUNTA(D33:E33)=0,"",SUMIFS('04_Влияние_ОПИУ'!$F$2:$F$2000,'04_Влияние_ОПИУ'!$B$2:$B$2000,"2025-01",'04_Влияние_ОПИУ'!$C$2:$C$2000,$A33,'04_Влияние_ОПИУ'!$G$2:$G$2000,"Да"))</x:f>
      </x:c>
      <x:c r="H33" s="238" t="str">
        <x:f>IF(COUNTA(D33:E33)=0,"",N(E33)+N(G33))</x:f>
      </x:c>
      <x:c r="I33" s="252" t="str">
        <x:f>IF(COUNTA(D33:E33)=0,"",N(D33)-N(H33))</x:f>
      </x:c>
      <x:c r="J33" s="260" t="str">
        <x:f>IF(COUNTA(D33:E33)=0,"",IF(ABS(I33)&lt;=0.01,IF(ABS(G33)&gt;0.01,"СОШЛОСЬ ПОСЛЕ КОРР.","СОШЛОСЬ"),IF(ABS(G33)&gt;0.01,"ЧАСТИЧНО","НЕОПРЕДЕЛЕНО")))</x:f>
      </x:c>
      <x:c r="K33" s="190"/>
      <x:c r="L33" s="202"/>
      <x:c r="M33" s="214" t="str">
        <x:f>IF(COUNTA(K33:L33)=0,"",N(K33)-N(L33))</x:f>
      </x:c>
      <x:c r="N33" s="226" t="str">
        <x:f>IF(COUNTA(K33:L33)=0,"",SUMIFS('04_Влияние_ОПИУ'!$F$2:$F$2000,'04_Влияние_ОПИУ'!$B$2:$B$2000,"2025-02",'04_Влияние_ОПИУ'!$C$2:$C$2000,$A33,'04_Влияние_ОПИУ'!$G$2:$G$2000,"Да"))</x:f>
      </x:c>
      <x:c r="O33" s="238" t="str">
        <x:f>IF(COUNTA(K33:L33)=0,"",N(L33)+N(N33))</x:f>
      </x:c>
      <x:c r="P33" s="252" t="str">
        <x:f>IF(COUNTA(K33:L33)=0,"",N(K33)-N(O33))</x:f>
      </x:c>
      <x:c r="Q33" s="260" t="str">
        <x:f>IF(COUNTA(K33:L33)=0,"",IF(ABS(P33)&lt;=0.01,IF(ABS(N33)&gt;0.01,"СОШЛОСЬ ПОСЛЕ КОРР.","СОШЛОСЬ"),IF(ABS(N33)&gt;0.01,"ЧАСТИЧНО","НЕОПРЕДЕЛЕНО")))</x:f>
      </x:c>
      <x:c r="R33" s="190"/>
      <x:c r="S33" s="202"/>
      <x:c r="T33" s="214" t="str">
        <x:f>IF(COUNTA(R33:S33)=0,"",N(R33)-N(S33))</x:f>
      </x:c>
      <x:c r="U33" s="226" t="str">
        <x:f>IF(COUNTA(R33:S33)=0,"",SUMIFS('04_Влияние_ОПИУ'!$F$2:$F$2000,'04_Влияние_ОПИУ'!$B$2:$B$2000,"2025-03",'04_Влияние_ОПИУ'!$C$2:$C$2000,$A33,'04_Влияние_ОПИУ'!$G$2:$G$2000,"Да"))</x:f>
      </x:c>
      <x:c r="V33" s="238" t="str">
        <x:f>IF(COUNTA(R33:S33)=0,"",N(S33)+N(U33))</x:f>
      </x:c>
      <x:c r="W33" s="252" t="str">
        <x:f>IF(COUNTA(R33:S33)=0,"",N(R33)-N(V33))</x:f>
      </x:c>
      <x:c r="X33" s="260" t="str">
        <x:f>IF(COUNTA(R33:S33)=0,"",IF(ABS(W33)&lt;=0.01,IF(ABS(U33)&gt;0.01,"СОШЛОСЬ ПОСЛЕ КОРР.","СОШЛОСЬ"),IF(ABS(U33)&gt;0.01,"ЧАСТИЧНО","НЕОПРЕДЕЛЕНО")))</x:f>
      </x:c>
      <x:c r="Y33" s="190"/>
      <x:c r="Z33" s="202"/>
      <x:c r="AA33" s="214" t="str">
        <x:f>IF(COUNTA(Y33:Z33)=0,"",N(Y33)-N(Z33))</x:f>
      </x:c>
      <x:c r="AB33" s="226" t="str">
        <x:f>IF(COUNTA(Y33:Z33)=0,"",SUMIFS('04_Влияние_ОПИУ'!$F$2:$F$2000,'04_Влияние_ОПИУ'!$B$2:$B$2000,"2025-04",'04_Влияние_ОПИУ'!$C$2:$C$2000,$A33,'04_Влияние_ОПИУ'!$G$2:$G$2000,"Да"))</x:f>
      </x:c>
      <x:c r="AC33" s="238" t="str">
        <x:f>IF(COUNTA(Y33:Z33)=0,"",N(Z33)+N(AB33))</x:f>
      </x:c>
      <x:c r="AD33" s="252" t="str">
        <x:f>IF(COUNTA(Y33:Z33)=0,"",N(Y33)-N(AC33))</x:f>
      </x:c>
      <x:c r="AE33" s="260" t="str">
        <x:f>IF(COUNTA(Y33:Z33)=0,"",IF(ABS(AD33)&lt;=0.01,IF(ABS(AB33)&gt;0.01,"СОШЛОСЬ ПОСЛЕ КОРР.","СОШЛОСЬ"),IF(ABS(AB33)&gt;0.01,"ЧАСТИЧНО","НЕОПРЕДЕЛЕНО")))</x:f>
      </x:c>
      <x:c r="AF33" s="190"/>
      <x:c r="AG33" s="202"/>
      <x:c r="AH33" s="214" t="str">
        <x:f>IF(COUNTA(AF33:AG33)=0,"",N(AF33)-N(AG33))</x:f>
      </x:c>
      <x:c r="AI33" s="226" t="str">
        <x:f>IF(COUNTA(AF33:AG33)=0,"",SUMIFS('04_Влияние_ОПИУ'!$F$2:$F$2000,'04_Влияние_ОПИУ'!$B$2:$B$2000,"2025-05",'04_Влияние_ОПИУ'!$C$2:$C$2000,$A33,'04_Влияние_ОПИУ'!$G$2:$G$2000,"Да"))</x:f>
      </x:c>
      <x:c r="AJ33" s="238" t="str">
        <x:f>IF(COUNTA(AF33:AG33)=0,"",N(AG33)+N(AI33))</x:f>
      </x:c>
      <x:c r="AK33" s="252" t="str">
        <x:f>IF(COUNTA(AF33:AG33)=0,"",N(AF33)-N(AJ33))</x:f>
      </x:c>
      <x:c r="AL33" s="260" t="str">
        <x:f>IF(COUNTA(AF33:AG33)=0,"",IF(ABS(AK33)&lt;=0.01,IF(ABS(AI33)&gt;0.01,"СОШЛОСЬ ПОСЛЕ КОРР.","СОШЛОСЬ"),IF(ABS(AI33)&gt;0.01,"ЧАСТИЧНО","НЕОПРЕДЕЛЕНО")))</x:f>
      </x:c>
      <x:c r="AM33" s="190"/>
      <x:c r="AN33" s="202"/>
      <x:c r="AO33" s="214" t="str">
        <x:f>IF(COUNTA(AM33:AN33)=0,"",N(AM33)-N(AN33))</x:f>
      </x:c>
      <x:c r="AP33" s="226" t="str">
        <x:f>IF(COUNTA(AM33:AN33)=0,"",SUMIFS('04_Влияние_ОПИУ'!$F$2:$F$2000,'04_Влияние_ОПИУ'!$B$2:$B$2000,"2025-06",'04_Влияние_ОПИУ'!$C$2:$C$2000,$A33,'04_Влияние_ОПИУ'!$G$2:$G$2000,"Да"))</x:f>
      </x:c>
      <x:c r="AQ33" s="238" t="str">
        <x:f>IF(COUNTA(AM33:AN33)=0,"",N(AN33)+N(AP33))</x:f>
      </x:c>
      <x:c r="AR33" s="252" t="str">
        <x:f>IF(COUNTA(AM33:AN33)=0,"",N(AM33)-N(AQ33))</x:f>
      </x:c>
      <x:c r="AS33" s="260" t="str">
        <x:f>IF(COUNTA(AM33:AN33)=0,"",IF(ABS(AR33)&lt;=0.01,IF(ABS(AP33)&gt;0.01,"СОШЛОСЬ ПОСЛЕ КОРР.","СОШЛОСЬ"),IF(ABS(AP33)&gt;0.01,"ЧАСТИЧНО","НЕОПРЕДЕЛЕНО")))</x:f>
      </x:c>
      <x:c r="AT33" s="190"/>
      <x:c r="AU33" s="202"/>
      <x:c r="AV33" s="214" t="str">
        <x:f>IF(COUNTA(AT33:AU33)=0,"",N(AT33)-N(AU33))</x:f>
      </x:c>
      <x:c r="AW33" s="226" t="str">
        <x:f>IF(COUNTA(AT33:AU33)=0,"",SUMIFS('04_Влияние_ОПИУ'!$F$2:$F$2000,'04_Влияние_ОПИУ'!$B$2:$B$2000,"2025-07",'04_Влияние_ОПИУ'!$C$2:$C$2000,$A33,'04_Влияние_ОПИУ'!$G$2:$G$2000,"Да"))</x:f>
      </x:c>
      <x:c r="AX33" s="238" t="str">
        <x:f>IF(COUNTA(AT33:AU33)=0,"",N(AU33)+N(AW33))</x:f>
      </x:c>
      <x:c r="AY33" s="252" t="str">
        <x:f>IF(COUNTA(AT33:AU33)=0,"",N(AT33)-N(AX33))</x:f>
      </x:c>
      <x:c r="AZ33" s="260" t="str">
        <x:f>IF(COUNTA(AT33:AU33)=0,"",IF(ABS(AY33)&lt;=0.01,IF(ABS(AW33)&gt;0.01,"СОШЛОСЬ ПОСЛЕ КОРР.","СОШЛОСЬ"),IF(ABS(AW33)&gt;0.01,"ЧАСТИЧНО","НЕОПРЕДЕЛЕНО")))</x:f>
      </x:c>
      <x:c r="BA33" s="190"/>
      <x:c r="BB33" s="202"/>
      <x:c r="BC33" s="214" t="str">
        <x:f>IF(COUNTA(BA33:BB33)=0,"",N(BA33)-N(BB33))</x:f>
      </x:c>
      <x:c r="BD33" s="226" t="str">
        <x:f>IF(COUNTA(BA33:BB33)=0,"",SUMIFS('04_Влияние_ОПИУ'!$F$2:$F$2000,'04_Влияние_ОПИУ'!$B$2:$B$2000,"2025-08",'04_Влияние_ОПИУ'!$C$2:$C$2000,$A33,'04_Влияние_ОПИУ'!$G$2:$G$2000,"Да"))</x:f>
      </x:c>
      <x:c r="BE33" s="238" t="str">
        <x:f>IF(COUNTA(BA33:BB33)=0,"",N(BB33)+N(BD33))</x:f>
      </x:c>
      <x:c r="BF33" s="252" t="str">
        <x:f>IF(COUNTA(BA33:BB33)=0,"",N(BA33)-N(BE33))</x:f>
      </x:c>
      <x:c r="BG33" s="260" t="str">
        <x:f>IF(COUNTA(BA33:BB33)=0,"",IF(ABS(BF33)&lt;=0.01,IF(ABS(BD33)&gt;0.01,"СОШЛОСЬ ПОСЛЕ КОРР.","СОШЛОСЬ"),IF(ABS(BD33)&gt;0.01,"ЧАСТИЧНО","НЕОПРЕДЕЛЕНО")))</x:f>
      </x:c>
      <x:c r="BH33" s="190"/>
      <x:c r="BI33" s="202"/>
      <x:c r="BJ33" s="214" t="str">
        <x:f>IF(COUNTA(BH33:BI33)=0,"",N(BH33)-N(BI33))</x:f>
      </x:c>
      <x:c r="BK33" s="226" t="str">
        <x:f>IF(COUNTA(BH33:BI33)=0,"",SUMIFS('04_Влияние_ОПИУ'!$F$2:$F$2000,'04_Влияние_ОПИУ'!$B$2:$B$2000,"2025-09",'04_Влияние_ОПИУ'!$C$2:$C$2000,$A33,'04_Влияние_ОПИУ'!$G$2:$G$2000,"Да"))</x:f>
      </x:c>
      <x:c r="BL33" s="238" t="str">
        <x:f>IF(COUNTA(BH33:BI33)=0,"",N(BI33)+N(BK33))</x:f>
      </x:c>
      <x:c r="BM33" s="252" t="str">
        <x:f>IF(COUNTA(BH33:BI33)=0,"",N(BH33)-N(BL33))</x:f>
      </x:c>
      <x:c r="BN33" s="260" t="str">
        <x:f>IF(COUNTA(BH33:BI33)=0,"",IF(ABS(BM33)&lt;=0.01,IF(ABS(BK33)&gt;0.01,"СОШЛОСЬ ПОСЛЕ КОРР.","СОШЛОСЬ"),IF(ABS(BK33)&gt;0.01,"ЧАСТИЧНО","НЕОПРЕДЕЛЕНО")))</x:f>
      </x:c>
      <x:c r="BO33" s="190"/>
      <x:c r="BP33" s="202"/>
      <x:c r="BQ33" s="214" t="str">
        <x:f>IF(COUNTA(BO33:BP33)=0,"",N(BO33)-N(BP33))</x:f>
      </x:c>
      <x:c r="BR33" s="226" t="str">
        <x:f>IF(COUNTA(BO33:BP33)=0,"",SUMIFS('04_Влияние_ОПИУ'!$F$2:$F$2000,'04_Влияние_ОПИУ'!$B$2:$B$2000,"2025-10",'04_Влияние_ОПИУ'!$C$2:$C$2000,$A33,'04_Влияние_ОПИУ'!$G$2:$G$2000,"Да"))</x:f>
      </x:c>
      <x:c r="BS33" s="238" t="str">
        <x:f>IF(COUNTA(BO33:BP33)=0,"",N(BP33)+N(BR33))</x:f>
      </x:c>
      <x:c r="BT33" s="252" t="str">
        <x:f>IF(COUNTA(BO33:BP33)=0,"",N(BO33)-N(BS33))</x:f>
      </x:c>
      <x:c r="BU33" s="260" t="str">
        <x:f>IF(COUNTA(BO33:BP33)=0,"",IF(ABS(BT33)&lt;=0.01,IF(ABS(BR33)&gt;0.01,"СОШЛОСЬ ПОСЛЕ КОРР.","СОШЛОСЬ"),IF(ABS(BR33)&gt;0.01,"ЧАСТИЧНО","НЕОПРЕДЕЛЕНО")))</x:f>
      </x:c>
      <x:c r="BV33" s="190"/>
      <x:c r="BW33" s="202"/>
      <x:c r="BX33" s="214" t="str">
        <x:f>IF(COUNTA(BV33:BW33)=0,"",N(BV33)-N(BW33))</x:f>
      </x:c>
      <x:c r="BY33" s="226" t="str">
        <x:f>IF(COUNTA(BV33:BW33)=0,"",SUMIFS('04_Влияние_ОПИУ'!$F$2:$F$2000,'04_Влияние_ОПИУ'!$B$2:$B$2000,"2025-11",'04_Влияние_ОПИУ'!$C$2:$C$2000,$A33,'04_Влияние_ОПИУ'!$G$2:$G$2000,"Да"))</x:f>
      </x:c>
      <x:c r="BZ33" s="238" t="str">
        <x:f>IF(COUNTA(BV33:BW33)=0,"",N(BW33)+N(BY33))</x:f>
      </x:c>
      <x:c r="CA33" s="252" t="str">
        <x:f>IF(COUNTA(BV33:BW33)=0,"",N(BV33)-N(BZ33))</x:f>
      </x:c>
      <x:c r="CB33" s="260" t="str">
        <x:f>IF(COUNTA(BV33:BW33)=0,"",IF(ABS(CA33)&lt;=0.01,IF(ABS(BY33)&gt;0.01,"СОШЛОСЬ ПОСЛЕ КОРР.","СОШЛОСЬ"),IF(ABS(BY33)&gt;0.01,"ЧАСТИЧНО","НЕОПРЕДЕЛЕНО")))</x:f>
      </x:c>
      <x:c r="CC33" s="190"/>
      <x:c r="CD33" s="202"/>
      <x:c r="CE33" s="214" t="str">
        <x:f>IF(COUNTA(CC33:CD33)=0,"",N(CC33)-N(CD33))</x:f>
      </x:c>
      <x:c r="CF33" s="226" t="str">
        <x:f>IF(COUNTA(CC33:CD33)=0,"",SUMIFS('04_Влияние_ОПИУ'!$F$2:$F$2000,'04_Влияние_ОПИУ'!$B$2:$B$2000,"2025-12",'04_Влияние_ОПИУ'!$C$2:$C$2000,$A33,'04_Влияние_ОПИУ'!$G$2:$G$2000,"Да"))</x:f>
      </x:c>
      <x:c r="CG33" s="238" t="str">
        <x:f>IF(COUNTA(CC33:CD33)=0,"",N(CD33)+N(CF33))</x:f>
      </x:c>
      <x:c r="CH33" s="252" t="str">
        <x:f>IF(COUNTA(CC33:CD33)=0,"",N(CC33)-N(CG33))</x:f>
      </x:c>
      <x:c r="CI33" s="260" t="str">
        <x:f>IF(COUNTA(CC33:CD33)=0,"",IF(ABS(CH33)&lt;=0.01,IF(ABS(CF33)&gt;0.01,"СОШЛОСЬ ПОСЛЕ КОРР.","СОШЛОСЬ"),IF(ABS(CF33)&gt;0.01,"ЧАСТИЧНО","НЕОПРЕДЕЛЕНО")))</x:f>
      </x:c>
    </x:row>
    <x:row r="34">
      <x:c r="A34" s="166" t="str">
        <x:v>R029</x:v>
      </x:c>
      <x:c r="B34" s="166" t="str">
        <x:v>      Связь</x:v>
      </x:c>
      <x:c r="C34" s="170" t="str">
        <x:v>      Связь</x:v>
      </x:c>
      <x:c r="D34" s="190"/>
      <x:c r="E34" s="202"/>
      <x:c r="F34" s="214" t="str">
        <x:f>IF(COUNTA(D34:E34)=0,"",N(D34)-N(E34))</x:f>
      </x:c>
      <x:c r="G34" s="226" t="str">
        <x:f>IF(COUNTA(D34:E34)=0,"",SUMIFS('04_Влияние_ОПИУ'!$F$2:$F$2000,'04_Влияние_ОПИУ'!$B$2:$B$2000,"2025-01",'04_Влияние_ОПИУ'!$C$2:$C$2000,$A34,'04_Влияние_ОПИУ'!$G$2:$G$2000,"Да"))</x:f>
      </x:c>
      <x:c r="H34" s="238" t="str">
        <x:f>IF(COUNTA(D34:E34)=0,"",N(E34)+N(G34))</x:f>
      </x:c>
      <x:c r="I34" s="252" t="str">
        <x:f>IF(COUNTA(D34:E34)=0,"",N(D34)-N(H34))</x:f>
      </x:c>
      <x:c r="J34" s="260" t="str">
        <x:f>IF(COUNTA(D34:E34)=0,"",IF(ABS(I34)&lt;=0.01,IF(ABS(G34)&gt;0.01,"СОШЛОСЬ ПОСЛЕ КОРР.","СОШЛОСЬ"),IF(ABS(G34)&gt;0.01,"ЧАСТИЧНО","НЕОПРЕДЕЛЕНО")))</x:f>
      </x:c>
      <x:c r="K34" s="190"/>
      <x:c r="L34" s="202"/>
      <x:c r="M34" s="214" t="str">
        <x:f>IF(COUNTA(K34:L34)=0,"",N(K34)-N(L34))</x:f>
      </x:c>
      <x:c r="N34" s="226" t="str">
        <x:f>IF(COUNTA(K34:L34)=0,"",SUMIFS('04_Влияние_ОПИУ'!$F$2:$F$2000,'04_Влияние_ОПИУ'!$B$2:$B$2000,"2025-02",'04_Влияние_ОПИУ'!$C$2:$C$2000,$A34,'04_Влияние_ОПИУ'!$G$2:$G$2000,"Да"))</x:f>
      </x:c>
      <x:c r="O34" s="238" t="str">
        <x:f>IF(COUNTA(K34:L34)=0,"",N(L34)+N(N34))</x:f>
      </x:c>
      <x:c r="P34" s="252" t="str">
        <x:f>IF(COUNTA(K34:L34)=0,"",N(K34)-N(O34))</x:f>
      </x:c>
      <x:c r="Q34" s="260" t="str">
        <x:f>IF(COUNTA(K34:L34)=0,"",IF(ABS(P34)&lt;=0.01,IF(ABS(N34)&gt;0.01,"СОШЛОСЬ ПОСЛЕ КОРР.","СОШЛОСЬ"),IF(ABS(N34)&gt;0.01,"ЧАСТИЧНО","НЕОПРЕДЕЛЕНО")))</x:f>
      </x:c>
      <x:c r="R34" s="190"/>
      <x:c r="S34" s="202"/>
      <x:c r="T34" s="214" t="str">
        <x:f>IF(COUNTA(R34:S34)=0,"",N(R34)-N(S34))</x:f>
      </x:c>
      <x:c r="U34" s="226" t="str">
        <x:f>IF(COUNTA(R34:S34)=0,"",SUMIFS('04_Влияние_ОПИУ'!$F$2:$F$2000,'04_Влияние_ОПИУ'!$B$2:$B$2000,"2025-03",'04_Влияние_ОПИУ'!$C$2:$C$2000,$A34,'04_Влияние_ОПИУ'!$G$2:$G$2000,"Да"))</x:f>
      </x:c>
      <x:c r="V34" s="238" t="str">
        <x:f>IF(COUNTA(R34:S34)=0,"",N(S34)+N(U34))</x:f>
      </x:c>
      <x:c r="W34" s="252" t="str">
        <x:f>IF(COUNTA(R34:S34)=0,"",N(R34)-N(V34))</x:f>
      </x:c>
      <x:c r="X34" s="260" t="str">
        <x:f>IF(COUNTA(R34:S34)=0,"",IF(ABS(W34)&lt;=0.01,IF(ABS(U34)&gt;0.01,"СОШЛОСЬ ПОСЛЕ КОРР.","СОШЛОСЬ"),IF(ABS(U34)&gt;0.01,"ЧАСТИЧНО","НЕОПРЕДЕЛЕНО")))</x:f>
      </x:c>
      <x:c r="Y34" s="190"/>
      <x:c r="Z34" s="202"/>
      <x:c r="AA34" s="214" t="str">
        <x:f>IF(COUNTA(Y34:Z34)=0,"",N(Y34)-N(Z34))</x:f>
      </x:c>
      <x:c r="AB34" s="226" t="str">
        <x:f>IF(COUNTA(Y34:Z34)=0,"",SUMIFS('04_Влияние_ОПИУ'!$F$2:$F$2000,'04_Влияние_ОПИУ'!$B$2:$B$2000,"2025-04",'04_Влияние_ОПИУ'!$C$2:$C$2000,$A34,'04_Влияние_ОПИУ'!$G$2:$G$2000,"Да"))</x:f>
      </x:c>
      <x:c r="AC34" s="238" t="str">
        <x:f>IF(COUNTA(Y34:Z34)=0,"",N(Z34)+N(AB34))</x:f>
      </x:c>
      <x:c r="AD34" s="252" t="str">
        <x:f>IF(COUNTA(Y34:Z34)=0,"",N(Y34)-N(AC34))</x:f>
      </x:c>
      <x:c r="AE34" s="260" t="str">
        <x:f>IF(COUNTA(Y34:Z34)=0,"",IF(ABS(AD34)&lt;=0.01,IF(ABS(AB34)&gt;0.01,"СОШЛОСЬ ПОСЛЕ КОРР.","СОШЛОСЬ"),IF(ABS(AB34)&gt;0.01,"ЧАСТИЧНО","НЕОПРЕДЕЛЕНО")))</x:f>
      </x:c>
      <x:c r="AF34" s="190"/>
      <x:c r="AG34" s="202"/>
      <x:c r="AH34" s="214" t="str">
        <x:f>IF(COUNTA(AF34:AG34)=0,"",N(AF34)-N(AG34))</x:f>
      </x:c>
      <x:c r="AI34" s="226" t="str">
        <x:f>IF(COUNTA(AF34:AG34)=0,"",SUMIFS('04_Влияние_ОПИУ'!$F$2:$F$2000,'04_Влияние_ОПИУ'!$B$2:$B$2000,"2025-05",'04_Влияние_ОПИУ'!$C$2:$C$2000,$A34,'04_Влияние_ОПИУ'!$G$2:$G$2000,"Да"))</x:f>
      </x:c>
      <x:c r="AJ34" s="238" t="str">
        <x:f>IF(COUNTA(AF34:AG34)=0,"",N(AG34)+N(AI34))</x:f>
      </x:c>
      <x:c r="AK34" s="252" t="str">
        <x:f>IF(COUNTA(AF34:AG34)=0,"",N(AF34)-N(AJ34))</x:f>
      </x:c>
      <x:c r="AL34" s="260" t="str">
        <x:f>IF(COUNTA(AF34:AG34)=0,"",IF(ABS(AK34)&lt;=0.01,IF(ABS(AI34)&gt;0.01,"СОШЛОСЬ ПОСЛЕ КОРР.","СОШЛОСЬ"),IF(ABS(AI34)&gt;0.01,"ЧАСТИЧНО","НЕОПРЕДЕЛЕНО")))</x:f>
      </x:c>
      <x:c r="AM34" s="190"/>
      <x:c r="AN34" s="202"/>
      <x:c r="AO34" s="214" t="str">
        <x:f>IF(COUNTA(AM34:AN34)=0,"",N(AM34)-N(AN34))</x:f>
      </x:c>
      <x:c r="AP34" s="226" t="str">
        <x:f>IF(COUNTA(AM34:AN34)=0,"",SUMIFS('04_Влияние_ОПИУ'!$F$2:$F$2000,'04_Влияние_ОПИУ'!$B$2:$B$2000,"2025-06",'04_Влияние_ОПИУ'!$C$2:$C$2000,$A34,'04_Влияние_ОПИУ'!$G$2:$G$2000,"Да"))</x:f>
      </x:c>
      <x:c r="AQ34" s="238" t="str">
        <x:f>IF(COUNTA(AM34:AN34)=0,"",N(AN34)+N(AP34))</x:f>
      </x:c>
      <x:c r="AR34" s="252" t="str">
        <x:f>IF(COUNTA(AM34:AN34)=0,"",N(AM34)-N(AQ34))</x:f>
      </x:c>
      <x:c r="AS34" s="260" t="str">
        <x:f>IF(COUNTA(AM34:AN34)=0,"",IF(ABS(AR34)&lt;=0.01,IF(ABS(AP34)&gt;0.01,"СОШЛОСЬ ПОСЛЕ КОРР.","СОШЛОСЬ"),IF(ABS(AP34)&gt;0.01,"ЧАСТИЧНО","НЕОПРЕДЕЛЕНО")))</x:f>
      </x:c>
      <x:c r="AT34" s="190"/>
      <x:c r="AU34" s="202"/>
      <x:c r="AV34" s="214" t="str">
        <x:f>IF(COUNTA(AT34:AU34)=0,"",N(AT34)-N(AU34))</x:f>
      </x:c>
      <x:c r="AW34" s="226" t="str">
        <x:f>IF(COUNTA(AT34:AU34)=0,"",SUMIFS('04_Влияние_ОПИУ'!$F$2:$F$2000,'04_Влияние_ОПИУ'!$B$2:$B$2000,"2025-07",'04_Влияние_ОПИУ'!$C$2:$C$2000,$A34,'04_Влияние_ОПИУ'!$G$2:$G$2000,"Да"))</x:f>
      </x:c>
      <x:c r="AX34" s="238" t="str">
        <x:f>IF(COUNTA(AT34:AU34)=0,"",N(AU34)+N(AW34))</x:f>
      </x:c>
      <x:c r="AY34" s="252" t="str">
        <x:f>IF(COUNTA(AT34:AU34)=0,"",N(AT34)-N(AX34))</x:f>
      </x:c>
      <x:c r="AZ34" s="260" t="str">
        <x:f>IF(COUNTA(AT34:AU34)=0,"",IF(ABS(AY34)&lt;=0.01,IF(ABS(AW34)&gt;0.01,"СОШЛОСЬ ПОСЛЕ КОРР.","СОШЛОСЬ"),IF(ABS(AW34)&gt;0.01,"ЧАСТИЧНО","НЕОПРЕДЕЛЕНО")))</x:f>
      </x:c>
      <x:c r="BA34" s="190"/>
      <x:c r="BB34" s="202"/>
      <x:c r="BC34" s="214" t="str">
        <x:f>IF(COUNTA(BA34:BB34)=0,"",N(BA34)-N(BB34))</x:f>
      </x:c>
      <x:c r="BD34" s="226" t="str">
        <x:f>IF(COUNTA(BA34:BB34)=0,"",SUMIFS('04_Влияние_ОПИУ'!$F$2:$F$2000,'04_Влияние_ОПИУ'!$B$2:$B$2000,"2025-08",'04_Влияние_ОПИУ'!$C$2:$C$2000,$A34,'04_Влияние_ОПИУ'!$G$2:$G$2000,"Да"))</x:f>
      </x:c>
      <x:c r="BE34" s="238" t="str">
        <x:f>IF(COUNTA(BA34:BB34)=0,"",N(BB34)+N(BD34))</x:f>
      </x:c>
      <x:c r="BF34" s="252" t="str">
        <x:f>IF(COUNTA(BA34:BB34)=0,"",N(BA34)-N(BE34))</x:f>
      </x:c>
      <x:c r="BG34" s="260" t="str">
        <x:f>IF(COUNTA(BA34:BB34)=0,"",IF(ABS(BF34)&lt;=0.01,IF(ABS(BD34)&gt;0.01,"СОШЛОСЬ ПОСЛЕ КОРР.","СОШЛОСЬ"),IF(ABS(BD34)&gt;0.01,"ЧАСТИЧНО","НЕОПРЕДЕЛЕНО")))</x:f>
      </x:c>
      <x:c r="BH34" s="190"/>
      <x:c r="BI34" s="202"/>
      <x:c r="BJ34" s="214" t="str">
        <x:f>IF(COUNTA(BH34:BI34)=0,"",N(BH34)-N(BI34))</x:f>
      </x:c>
      <x:c r="BK34" s="226" t="str">
        <x:f>IF(COUNTA(BH34:BI34)=0,"",SUMIFS('04_Влияние_ОПИУ'!$F$2:$F$2000,'04_Влияние_ОПИУ'!$B$2:$B$2000,"2025-09",'04_Влияние_ОПИУ'!$C$2:$C$2000,$A34,'04_Влияние_ОПИУ'!$G$2:$G$2000,"Да"))</x:f>
      </x:c>
      <x:c r="BL34" s="238" t="str">
        <x:f>IF(COUNTA(BH34:BI34)=0,"",N(BI34)+N(BK34))</x:f>
      </x:c>
      <x:c r="BM34" s="252" t="str">
        <x:f>IF(COUNTA(BH34:BI34)=0,"",N(BH34)-N(BL34))</x:f>
      </x:c>
      <x:c r="BN34" s="260" t="str">
        <x:f>IF(COUNTA(BH34:BI34)=0,"",IF(ABS(BM34)&lt;=0.01,IF(ABS(BK34)&gt;0.01,"СОШЛОСЬ ПОСЛЕ КОРР.","СОШЛОСЬ"),IF(ABS(BK34)&gt;0.01,"ЧАСТИЧНО","НЕОПРЕДЕЛЕНО")))</x:f>
      </x:c>
      <x:c r="BO34" s="190"/>
      <x:c r="BP34" s="202"/>
      <x:c r="BQ34" s="214" t="str">
        <x:f>IF(COUNTA(BO34:BP34)=0,"",N(BO34)-N(BP34))</x:f>
      </x:c>
      <x:c r="BR34" s="226" t="str">
        <x:f>IF(COUNTA(BO34:BP34)=0,"",SUMIFS('04_Влияние_ОПИУ'!$F$2:$F$2000,'04_Влияние_ОПИУ'!$B$2:$B$2000,"2025-10",'04_Влияние_ОПИУ'!$C$2:$C$2000,$A34,'04_Влияние_ОПИУ'!$G$2:$G$2000,"Да"))</x:f>
      </x:c>
      <x:c r="BS34" s="238" t="str">
        <x:f>IF(COUNTA(BO34:BP34)=0,"",N(BP34)+N(BR34))</x:f>
      </x:c>
      <x:c r="BT34" s="252" t="str">
        <x:f>IF(COUNTA(BO34:BP34)=0,"",N(BO34)-N(BS34))</x:f>
      </x:c>
      <x:c r="BU34" s="260" t="str">
        <x:f>IF(COUNTA(BO34:BP34)=0,"",IF(ABS(BT34)&lt;=0.01,IF(ABS(BR34)&gt;0.01,"СОШЛОСЬ ПОСЛЕ КОРР.","СОШЛОСЬ"),IF(ABS(BR34)&gt;0.01,"ЧАСТИЧНО","НЕОПРЕДЕЛЕНО")))</x:f>
      </x:c>
      <x:c r="BV34" s="190"/>
      <x:c r="BW34" s="202"/>
      <x:c r="BX34" s="214" t="str">
        <x:f>IF(COUNTA(BV34:BW34)=0,"",N(BV34)-N(BW34))</x:f>
      </x:c>
      <x:c r="BY34" s="226" t="str">
        <x:f>IF(COUNTA(BV34:BW34)=0,"",SUMIFS('04_Влияние_ОПИУ'!$F$2:$F$2000,'04_Влияние_ОПИУ'!$B$2:$B$2000,"2025-11",'04_Влияние_ОПИУ'!$C$2:$C$2000,$A34,'04_Влияние_ОПИУ'!$G$2:$G$2000,"Да"))</x:f>
      </x:c>
      <x:c r="BZ34" s="238" t="str">
        <x:f>IF(COUNTA(BV34:BW34)=0,"",N(BW34)+N(BY34))</x:f>
      </x:c>
      <x:c r="CA34" s="252" t="str">
        <x:f>IF(COUNTA(BV34:BW34)=0,"",N(BV34)-N(BZ34))</x:f>
      </x:c>
      <x:c r="CB34" s="260" t="str">
        <x:f>IF(COUNTA(BV34:BW34)=0,"",IF(ABS(CA34)&lt;=0.01,IF(ABS(BY34)&gt;0.01,"СОШЛОСЬ ПОСЛЕ КОРР.","СОШЛОСЬ"),IF(ABS(BY34)&gt;0.01,"ЧАСТИЧНО","НЕОПРЕДЕЛЕНО")))</x:f>
      </x:c>
      <x:c r="CC34" s="190"/>
      <x:c r="CD34" s="202"/>
      <x:c r="CE34" s="214" t="str">
        <x:f>IF(COUNTA(CC34:CD34)=0,"",N(CC34)-N(CD34))</x:f>
      </x:c>
      <x:c r="CF34" s="226" t="str">
        <x:f>IF(COUNTA(CC34:CD34)=0,"",SUMIFS('04_Влияние_ОПИУ'!$F$2:$F$2000,'04_Влияние_ОПИУ'!$B$2:$B$2000,"2025-12",'04_Влияние_ОПИУ'!$C$2:$C$2000,$A34,'04_Влияние_ОПИУ'!$G$2:$G$2000,"Да"))</x:f>
      </x:c>
      <x:c r="CG34" s="238" t="str">
        <x:f>IF(COUNTA(CC34:CD34)=0,"",N(CD34)+N(CF34))</x:f>
      </x:c>
      <x:c r="CH34" s="252" t="str">
        <x:f>IF(COUNTA(CC34:CD34)=0,"",N(CC34)-N(CG34))</x:f>
      </x:c>
      <x:c r="CI34" s="260" t="str">
        <x:f>IF(COUNTA(CC34:CD34)=0,"",IF(ABS(CH34)&lt;=0.01,IF(ABS(CF34)&gt;0.01,"СОШЛОСЬ ПОСЛЕ КОРР.","СОШЛОСЬ"),IF(ABS(CF34)&gt;0.01,"ЧАСТИЧНО","НЕОПРЕДЕЛЕНО")))</x:f>
      </x:c>
    </x:row>
    <x:row r="35">
      <x:c r="A35" s="166" t="str">
        <x:v>R030</x:v>
      </x:c>
      <x:c r="B35" s="166" t="str">
        <x:v>        Интернет</x:v>
      </x:c>
      <x:c r="C35" s="170" t="str">
        <x:v>        Интернет</x:v>
      </x:c>
      <x:c r="D35" s="190"/>
      <x:c r="E35" s="202"/>
      <x:c r="F35" s="214" t="str">
        <x:f>IF(COUNTA(D35:E35)=0,"",N(D35)-N(E35))</x:f>
      </x:c>
      <x:c r="G35" s="226" t="str">
        <x:f>IF(COUNTA(D35:E35)=0,"",SUMIFS('04_Влияние_ОПИУ'!$F$2:$F$2000,'04_Влияние_ОПИУ'!$B$2:$B$2000,"2025-01",'04_Влияние_ОПИУ'!$C$2:$C$2000,$A35,'04_Влияние_ОПИУ'!$G$2:$G$2000,"Да"))</x:f>
      </x:c>
      <x:c r="H35" s="238" t="str">
        <x:f>IF(COUNTA(D35:E35)=0,"",N(E35)+N(G35))</x:f>
      </x:c>
      <x:c r="I35" s="252" t="str">
        <x:f>IF(COUNTA(D35:E35)=0,"",N(D35)-N(H35))</x:f>
      </x:c>
      <x:c r="J35" s="260" t="str">
        <x:f>IF(COUNTA(D35:E35)=0,"",IF(ABS(I35)&lt;=0.01,IF(ABS(G35)&gt;0.01,"СОШЛОСЬ ПОСЛЕ КОРР.","СОШЛОСЬ"),IF(ABS(G35)&gt;0.01,"ЧАСТИЧНО","НЕОПРЕДЕЛЕНО")))</x:f>
      </x:c>
      <x:c r="K35" s="190"/>
      <x:c r="L35" s="202"/>
      <x:c r="M35" s="214" t="str">
        <x:f>IF(COUNTA(K35:L35)=0,"",N(K35)-N(L35))</x:f>
      </x:c>
      <x:c r="N35" s="226" t="str">
        <x:f>IF(COUNTA(K35:L35)=0,"",SUMIFS('04_Влияние_ОПИУ'!$F$2:$F$2000,'04_Влияние_ОПИУ'!$B$2:$B$2000,"2025-02",'04_Влияние_ОПИУ'!$C$2:$C$2000,$A35,'04_Влияние_ОПИУ'!$G$2:$G$2000,"Да"))</x:f>
      </x:c>
      <x:c r="O35" s="238" t="str">
        <x:f>IF(COUNTA(K35:L35)=0,"",N(L35)+N(N35))</x:f>
      </x:c>
      <x:c r="P35" s="252" t="str">
        <x:f>IF(COUNTA(K35:L35)=0,"",N(K35)-N(O35))</x:f>
      </x:c>
      <x:c r="Q35" s="260" t="str">
        <x:f>IF(COUNTA(K35:L35)=0,"",IF(ABS(P35)&lt;=0.01,IF(ABS(N35)&gt;0.01,"СОШЛОСЬ ПОСЛЕ КОРР.","СОШЛОСЬ"),IF(ABS(N35)&gt;0.01,"ЧАСТИЧНО","НЕОПРЕДЕЛЕНО")))</x:f>
      </x:c>
      <x:c r="R35" s="190"/>
      <x:c r="S35" s="202"/>
      <x:c r="T35" s="214" t="str">
        <x:f>IF(COUNTA(R35:S35)=0,"",N(R35)-N(S35))</x:f>
      </x:c>
      <x:c r="U35" s="226" t="str">
        <x:f>IF(COUNTA(R35:S35)=0,"",SUMIFS('04_Влияние_ОПИУ'!$F$2:$F$2000,'04_Влияние_ОПИУ'!$B$2:$B$2000,"2025-03",'04_Влияние_ОПИУ'!$C$2:$C$2000,$A35,'04_Влияние_ОПИУ'!$G$2:$G$2000,"Да"))</x:f>
      </x:c>
      <x:c r="V35" s="238" t="str">
        <x:f>IF(COUNTA(R35:S35)=0,"",N(S35)+N(U35))</x:f>
      </x:c>
      <x:c r="W35" s="252" t="str">
        <x:f>IF(COUNTA(R35:S35)=0,"",N(R35)-N(V35))</x:f>
      </x:c>
      <x:c r="X35" s="260" t="str">
        <x:f>IF(COUNTA(R35:S35)=0,"",IF(ABS(W35)&lt;=0.01,IF(ABS(U35)&gt;0.01,"СОШЛОСЬ ПОСЛЕ КОРР.","СОШЛОСЬ"),IF(ABS(U35)&gt;0.01,"ЧАСТИЧНО","НЕОПРЕДЕЛЕНО")))</x:f>
      </x:c>
      <x:c r="Y35" s="190"/>
      <x:c r="Z35" s="202"/>
      <x:c r="AA35" s="214" t="str">
        <x:f>IF(COUNTA(Y35:Z35)=0,"",N(Y35)-N(Z35))</x:f>
      </x:c>
      <x:c r="AB35" s="226" t="str">
        <x:f>IF(COUNTA(Y35:Z35)=0,"",SUMIFS('04_Влияние_ОПИУ'!$F$2:$F$2000,'04_Влияние_ОПИУ'!$B$2:$B$2000,"2025-04",'04_Влияние_ОПИУ'!$C$2:$C$2000,$A35,'04_Влияние_ОПИУ'!$G$2:$G$2000,"Да"))</x:f>
      </x:c>
      <x:c r="AC35" s="238" t="str">
        <x:f>IF(COUNTA(Y35:Z35)=0,"",N(Z35)+N(AB35))</x:f>
      </x:c>
      <x:c r="AD35" s="252" t="str">
        <x:f>IF(COUNTA(Y35:Z35)=0,"",N(Y35)-N(AC35))</x:f>
      </x:c>
      <x:c r="AE35" s="260" t="str">
        <x:f>IF(COUNTA(Y35:Z35)=0,"",IF(ABS(AD35)&lt;=0.01,IF(ABS(AB35)&gt;0.01,"СОШЛОСЬ ПОСЛЕ КОРР.","СОШЛОСЬ"),IF(ABS(AB35)&gt;0.01,"ЧАСТИЧНО","НЕОПРЕДЕЛЕНО")))</x:f>
      </x:c>
      <x:c r="AF35" s="190"/>
      <x:c r="AG35" s="202"/>
      <x:c r="AH35" s="214" t="str">
        <x:f>IF(COUNTA(AF35:AG35)=0,"",N(AF35)-N(AG35))</x:f>
      </x:c>
      <x:c r="AI35" s="226" t="str">
        <x:f>IF(COUNTA(AF35:AG35)=0,"",SUMIFS('04_Влияние_ОПИУ'!$F$2:$F$2000,'04_Влияние_ОПИУ'!$B$2:$B$2000,"2025-05",'04_Влияние_ОПИУ'!$C$2:$C$2000,$A35,'04_Влияние_ОПИУ'!$G$2:$G$2000,"Да"))</x:f>
      </x:c>
      <x:c r="AJ35" s="238" t="str">
        <x:f>IF(COUNTA(AF35:AG35)=0,"",N(AG35)+N(AI35))</x:f>
      </x:c>
      <x:c r="AK35" s="252" t="str">
        <x:f>IF(COUNTA(AF35:AG35)=0,"",N(AF35)-N(AJ35))</x:f>
      </x:c>
      <x:c r="AL35" s="260" t="str">
        <x:f>IF(COUNTA(AF35:AG35)=0,"",IF(ABS(AK35)&lt;=0.01,IF(ABS(AI35)&gt;0.01,"СОШЛОСЬ ПОСЛЕ КОРР.","СОШЛОСЬ"),IF(ABS(AI35)&gt;0.01,"ЧАСТИЧНО","НЕОПРЕДЕЛЕНО")))</x:f>
      </x:c>
      <x:c r="AM35" s="190"/>
      <x:c r="AN35" s="202"/>
      <x:c r="AO35" s="214" t="str">
        <x:f>IF(COUNTA(AM35:AN35)=0,"",N(AM35)-N(AN35))</x:f>
      </x:c>
      <x:c r="AP35" s="226" t="str">
        <x:f>IF(COUNTA(AM35:AN35)=0,"",SUMIFS('04_Влияние_ОПИУ'!$F$2:$F$2000,'04_Влияние_ОПИУ'!$B$2:$B$2000,"2025-06",'04_Влияние_ОПИУ'!$C$2:$C$2000,$A35,'04_Влияние_ОПИУ'!$G$2:$G$2000,"Да"))</x:f>
      </x:c>
      <x:c r="AQ35" s="238" t="str">
        <x:f>IF(COUNTA(AM35:AN35)=0,"",N(AN35)+N(AP35))</x:f>
      </x:c>
      <x:c r="AR35" s="252" t="str">
        <x:f>IF(COUNTA(AM35:AN35)=0,"",N(AM35)-N(AQ35))</x:f>
      </x:c>
      <x:c r="AS35" s="260" t="str">
        <x:f>IF(COUNTA(AM35:AN35)=0,"",IF(ABS(AR35)&lt;=0.01,IF(ABS(AP35)&gt;0.01,"СОШЛОСЬ ПОСЛЕ КОРР.","СОШЛОСЬ"),IF(ABS(AP35)&gt;0.01,"ЧАСТИЧНО","НЕОПРЕДЕЛЕНО")))</x:f>
      </x:c>
      <x:c r="AT35" s="190"/>
      <x:c r="AU35" s="202"/>
      <x:c r="AV35" s="214" t="str">
        <x:f>IF(COUNTA(AT35:AU35)=0,"",N(AT35)-N(AU35))</x:f>
      </x:c>
      <x:c r="AW35" s="226" t="str">
        <x:f>IF(COUNTA(AT35:AU35)=0,"",SUMIFS('04_Влияние_ОПИУ'!$F$2:$F$2000,'04_Влияние_ОПИУ'!$B$2:$B$2000,"2025-07",'04_Влияние_ОПИУ'!$C$2:$C$2000,$A35,'04_Влияние_ОПИУ'!$G$2:$G$2000,"Да"))</x:f>
      </x:c>
      <x:c r="AX35" s="238" t="str">
        <x:f>IF(COUNTA(AT35:AU35)=0,"",N(AU35)+N(AW35))</x:f>
      </x:c>
      <x:c r="AY35" s="252" t="str">
        <x:f>IF(COUNTA(AT35:AU35)=0,"",N(AT35)-N(AX35))</x:f>
      </x:c>
      <x:c r="AZ35" s="260" t="str">
        <x:f>IF(COUNTA(AT35:AU35)=0,"",IF(ABS(AY35)&lt;=0.01,IF(ABS(AW35)&gt;0.01,"СОШЛОСЬ ПОСЛЕ КОРР.","СОШЛОСЬ"),IF(ABS(AW35)&gt;0.01,"ЧАСТИЧНО","НЕОПРЕДЕЛЕНО")))</x:f>
      </x:c>
      <x:c r="BA35" s="190"/>
      <x:c r="BB35" s="202"/>
      <x:c r="BC35" s="214" t="str">
        <x:f>IF(COUNTA(BA35:BB35)=0,"",N(BA35)-N(BB35))</x:f>
      </x:c>
      <x:c r="BD35" s="226" t="str">
        <x:f>IF(COUNTA(BA35:BB35)=0,"",SUMIFS('04_Влияние_ОПИУ'!$F$2:$F$2000,'04_Влияние_ОПИУ'!$B$2:$B$2000,"2025-08",'04_Влияние_ОПИУ'!$C$2:$C$2000,$A35,'04_Влияние_ОПИУ'!$G$2:$G$2000,"Да"))</x:f>
      </x:c>
      <x:c r="BE35" s="238" t="str">
        <x:f>IF(COUNTA(BA35:BB35)=0,"",N(BB35)+N(BD35))</x:f>
      </x:c>
      <x:c r="BF35" s="252" t="str">
        <x:f>IF(COUNTA(BA35:BB35)=0,"",N(BA35)-N(BE35))</x:f>
      </x:c>
      <x:c r="BG35" s="260" t="str">
        <x:f>IF(COUNTA(BA35:BB35)=0,"",IF(ABS(BF35)&lt;=0.01,IF(ABS(BD35)&gt;0.01,"СОШЛОСЬ ПОСЛЕ КОРР.","СОШЛОСЬ"),IF(ABS(BD35)&gt;0.01,"ЧАСТИЧНО","НЕОПРЕДЕЛЕНО")))</x:f>
      </x:c>
      <x:c r="BH35" s="190"/>
      <x:c r="BI35" s="202"/>
      <x:c r="BJ35" s="214" t="str">
        <x:f>IF(COUNTA(BH35:BI35)=0,"",N(BH35)-N(BI35))</x:f>
      </x:c>
      <x:c r="BK35" s="226" t="str">
        <x:f>IF(COUNTA(BH35:BI35)=0,"",SUMIFS('04_Влияние_ОПИУ'!$F$2:$F$2000,'04_Влияние_ОПИУ'!$B$2:$B$2000,"2025-09",'04_Влияние_ОПИУ'!$C$2:$C$2000,$A35,'04_Влияние_ОПИУ'!$G$2:$G$2000,"Да"))</x:f>
      </x:c>
      <x:c r="BL35" s="238" t="str">
        <x:f>IF(COUNTA(BH35:BI35)=0,"",N(BI35)+N(BK35))</x:f>
      </x:c>
      <x:c r="BM35" s="252" t="str">
        <x:f>IF(COUNTA(BH35:BI35)=0,"",N(BH35)-N(BL35))</x:f>
      </x:c>
      <x:c r="BN35" s="260" t="str">
        <x:f>IF(COUNTA(BH35:BI35)=0,"",IF(ABS(BM35)&lt;=0.01,IF(ABS(BK35)&gt;0.01,"СОШЛОСЬ ПОСЛЕ КОРР.","СОШЛОСЬ"),IF(ABS(BK35)&gt;0.01,"ЧАСТИЧНО","НЕОПРЕДЕЛЕНО")))</x:f>
      </x:c>
      <x:c r="BO35" s="190"/>
      <x:c r="BP35" s="202"/>
      <x:c r="BQ35" s="214" t="str">
        <x:f>IF(COUNTA(BO35:BP35)=0,"",N(BO35)-N(BP35))</x:f>
      </x:c>
      <x:c r="BR35" s="226" t="str">
        <x:f>IF(COUNTA(BO35:BP35)=0,"",SUMIFS('04_Влияние_ОПИУ'!$F$2:$F$2000,'04_Влияние_ОПИУ'!$B$2:$B$2000,"2025-10",'04_Влияние_ОПИУ'!$C$2:$C$2000,$A35,'04_Влияние_ОПИУ'!$G$2:$G$2000,"Да"))</x:f>
      </x:c>
      <x:c r="BS35" s="238" t="str">
        <x:f>IF(COUNTA(BO35:BP35)=0,"",N(BP35)+N(BR35))</x:f>
      </x:c>
      <x:c r="BT35" s="252" t="str">
        <x:f>IF(COUNTA(BO35:BP35)=0,"",N(BO35)-N(BS35))</x:f>
      </x:c>
      <x:c r="BU35" s="260" t="str">
        <x:f>IF(COUNTA(BO35:BP35)=0,"",IF(ABS(BT35)&lt;=0.01,IF(ABS(BR35)&gt;0.01,"СОШЛОСЬ ПОСЛЕ КОРР.","СОШЛОСЬ"),IF(ABS(BR35)&gt;0.01,"ЧАСТИЧНО","НЕОПРЕДЕЛЕНО")))</x:f>
      </x:c>
      <x:c r="BV35" s="190"/>
      <x:c r="BW35" s="202"/>
      <x:c r="BX35" s="214" t="str">
        <x:f>IF(COUNTA(BV35:BW35)=0,"",N(BV35)-N(BW35))</x:f>
      </x:c>
      <x:c r="BY35" s="226" t="str">
        <x:f>IF(COUNTA(BV35:BW35)=0,"",SUMIFS('04_Влияние_ОПИУ'!$F$2:$F$2000,'04_Влияние_ОПИУ'!$B$2:$B$2000,"2025-11",'04_Влияние_ОПИУ'!$C$2:$C$2000,$A35,'04_Влияние_ОПИУ'!$G$2:$G$2000,"Да"))</x:f>
      </x:c>
      <x:c r="BZ35" s="238" t="str">
        <x:f>IF(COUNTA(BV35:BW35)=0,"",N(BW35)+N(BY35))</x:f>
      </x:c>
      <x:c r="CA35" s="252" t="str">
        <x:f>IF(COUNTA(BV35:BW35)=0,"",N(BV35)-N(BZ35))</x:f>
      </x:c>
      <x:c r="CB35" s="260" t="str">
        <x:f>IF(COUNTA(BV35:BW35)=0,"",IF(ABS(CA35)&lt;=0.01,IF(ABS(BY35)&gt;0.01,"СОШЛОСЬ ПОСЛЕ КОРР.","СОШЛОСЬ"),IF(ABS(BY35)&gt;0.01,"ЧАСТИЧНО","НЕОПРЕДЕЛЕНО")))</x:f>
      </x:c>
      <x:c r="CC35" s="190"/>
      <x:c r="CD35" s="202"/>
      <x:c r="CE35" s="214" t="str">
        <x:f>IF(COUNTA(CC35:CD35)=0,"",N(CC35)-N(CD35))</x:f>
      </x:c>
      <x:c r="CF35" s="226" t="str">
        <x:f>IF(COUNTA(CC35:CD35)=0,"",SUMIFS('04_Влияние_ОПИУ'!$F$2:$F$2000,'04_Влияние_ОПИУ'!$B$2:$B$2000,"2025-12",'04_Влияние_ОПИУ'!$C$2:$C$2000,$A35,'04_Влияние_ОПИУ'!$G$2:$G$2000,"Да"))</x:f>
      </x:c>
      <x:c r="CG35" s="238" t="str">
        <x:f>IF(COUNTA(CC35:CD35)=0,"",N(CD35)+N(CF35))</x:f>
      </x:c>
      <x:c r="CH35" s="252" t="str">
        <x:f>IF(COUNTA(CC35:CD35)=0,"",N(CC35)-N(CG35))</x:f>
      </x:c>
      <x:c r="CI35" s="260" t="str">
        <x:f>IF(COUNTA(CC35:CD35)=0,"",IF(ABS(CH35)&lt;=0.01,IF(ABS(CF35)&gt;0.01,"СОШЛОСЬ ПОСЛЕ КОРР.","СОШЛОСЬ"),IF(ABS(CF35)&gt;0.01,"ЧАСТИЧНО","НЕОПРЕДЕЛЕНО")))</x:f>
      </x:c>
    </x:row>
    <x:row r="36">
      <x:c r="A36" s="166" t="str">
        <x:v>R031</x:v>
      </x:c>
      <x:c r="B36" s="166" t="str">
        <x:v>        Корпоративная связь</x:v>
      </x:c>
      <x:c r="C36" s="170" t="str">
        <x:v>        Корпоративная связь</x:v>
      </x:c>
      <x:c r="D36" s="190"/>
      <x:c r="E36" s="202"/>
      <x:c r="F36" s="214" t="str">
        <x:f>IF(COUNTA(D36:E36)=0,"",N(D36)-N(E36))</x:f>
      </x:c>
      <x:c r="G36" s="226" t="str">
        <x:f>IF(COUNTA(D36:E36)=0,"",SUMIFS('04_Влияние_ОПИУ'!$F$2:$F$2000,'04_Влияние_ОПИУ'!$B$2:$B$2000,"2025-01",'04_Влияние_ОПИУ'!$C$2:$C$2000,$A36,'04_Влияние_ОПИУ'!$G$2:$G$2000,"Да"))</x:f>
      </x:c>
      <x:c r="H36" s="238" t="str">
        <x:f>IF(COUNTA(D36:E36)=0,"",N(E36)+N(G36))</x:f>
      </x:c>
      <x:c r="I36" s="252" t="str">
        <x:f>IF(COUNTA(D36:E36)=0,"",N(D36)-N(H36))</x:f>
      </x:c>
      <x:c r="J36" s="260" t="str">
        <x:f>IF(COUNTA(D36:E36)=0,"",IF(ABS(I36)&lt;=0.01,IF(ABS(G36)&gt;0.01,"СОШЛОСЬ ПОСЛЕ КОРР.","СОШЛОСЬ"),IF(ABS(G36)&gt;0.01,"ЧАСТИЧНО","НЕОПРЕДЕЛЕНО")))</x:f>
      </x:c>
      <x:c r="K36" s="190"/>
      <x:c r="L36" s="202"/>
      <x:c r="M36" s="214" t="str">
        <x:f>IF(COUNTA(K36:L36)=0,"",N(K36)-N(L36))</x:f>
      </x:c>
      <x:c r="N36" s="226" t="str">
        <x:f>IF(COUNTA(K36:L36)=0,"",SUMIFS('04_Влияние_ОПИУ'!$F$2:$F$2000,'04_Влияние_ОПИУ'!$B$2:$B$2000,"2025-02",'04_Влияние_ОПИУ'!$C$2:$C$2000,$A36,'04_Влияние_ОПИУ'!$G$2:$G$2000,"Да"))</x:f>
      </x:c>
      <x:c r="O36" s="238" t="str">
        <x:f>IF(COUNTA(K36:L36)=0,"",N(L36)+N(N36))</x:f>
      </x:c>
      <x:c r="P36" s="252" t="str">
        <x:f>IF(COUNTA(K36:L36)=0,"",N(K36)-N(O36))</x:f>
      </x:c>
      <x:c r="Q36" s="260" t="str">
        <x:f>IF(COUNTA(K36:L36)=0,"",IF(ABS(P36)&lt;=0.01,IF(ABS(N36)&gt;0.01,"СОШЛОСЬ ПОСЛЕ КОРР.","СОШЛОСЬ"),IF(ABS(N36)&gt;0.01,"ЧАСТИЧНО","НЕОПРЕДЕЛЕНО")))</x:f>
      </x:c>
      <x:c r="R36" s="190"/>
      <x:c r="S36" s="202"/>
      <x:c r="T36" s="214" t="str">
        <x:f>IF(COUNTA(R36:S36)=0,"",N(R36)-N(S36))</x:f>
      </x:c>
      <x:c r="U36" s="226" t="str">
        <x:f>IF(COUNTA(R36:S36)=0,"",SUMIFS('04_Влияние_ОПИУ'!$F$2:$F$2000,'04_Влияние_ОПИУ'!$B$2:$B$2000,"2025-03",'04_Влияние_ОПИУ'!$C$2:$C$2000,$A36,'04_Влияние_ОПИУ'!$G$2:$G$2000,"Да"))</x:f>
      </x:c>
      <x:c r="V36" s="238" t="str">
        <x:f>IF(COUNTA(R36:S36)=0,"",N(S36)+N(U36))</x:f>
      </x:c>
      <x:c r="W36" s="252" t="str">
        <x:f>IF(COUNTA(R36:S36)=0,"",N(R36)-N(V36))</x:f>
      </x:c>
      <x:c r="X36" s="260" t="str">
        <x:f>IF(COUNTA(R36:S36)=0,"",IF(ABS(W36)&lt;=0.01,IF(ABS(U36)&gt;0.01,"СОШЛОСЬ ПОСЛЕ КОРР.","СОШЛОСЬ"),IF(ABS(U36)&gt;0.01,"ЧАСТИЧНО","НЕОПРЕДЕЛЕНО")))</x:f>
      </x:c>
      <x:c r="Y36" s="190"/>
      <x:c r="Z36" s="202"/>
      <x:c r="AA36" s="214" t="str">
        <x:f>IF(COUNTA(Y36:Z36)=0,"",N(Y36)-N(Z36))</x:f>
      </x:c>
      <x:c r="AB36" s="226" t="str">
        <x:f>IF(COUNTA(Y36:Z36)=0,"",SUMIFS('04_Влияние_ОПИУ'!$F$2:$F$2000,'04_Влияние_ОПИУ'!$B$2:$B$2000,"2025-04",'04_Влияние_ОПИУ'!$C$2:$C$2000,$A36,'04_Влияние_ОПИУ'!$G$2:$G$2000,"Да"))</x:f>
      </x:c>
      <x:c r="AC36" s="238" t="str">
        <x:f>IF(COUNTA(Y36:Z36)=0,"",N(Z36)+N(AB36))</x:f>
      </x:c>
      <x:c r="AD36" s="252" t="str">
        <x:f>IF(COUNTA(Y36:Z36)=0,"",N(Y36)-N(AC36))</x:f>
      </x:c>
      <x:c r="AE36" s="260" t="str">
        <x:f>IF(COUNTA(Y36:Z36)=0,"",IF(ABS(AD36)&lt;=0.01,IF(ABS(AB36)&gt;0.01,"СОШЛОСЬ ПОСЛЕ КОРР.","СОШЛОСЬ"),IF(ABS(AB36)&gt;0.01,"ЧАСТИЧНО","НЕОПРЕДЕЛЕНО")))</x:f>
      </x:c>
      <x:c r="AF36" s="190"/>
      <x:c r="AG36" s="202"/>
      <x:c r="AH36" s="214" t="str">
        <x:f>IF(COUNTA(AF36:AG36)=0,"",N(AF36)-N(AG36))</x:f>
      </x:c>
      <x:c r="AI36" s="226" t="str">
        <x:f>IF(COUNTA(AF36:AG36)=0,"",SUMIFS('04_Влияние_ОПИУ'!$F$2:$F$2000,'04_Влияние_ОПИУ'!$B$2:$B$2000,"2025-05",'04_Влияние_ОПИУ'!$C$2:$C$2000,$A36,'04_Влияние_ОПИУ'!$G$2:$G$2000,"Да"))</x:f>
      </x:c>
      <x:c r="AJ36" s="238" t="str">
        <x:f>IF(COUNTA(AF36:AG36)=0,"",N(AG36)+N(AI36))</x:f>
      </x:c>
      <x:c r="AK36" s="252" t="str">
        <x:f>IF(COUNTA(AF36:AG36)=0,"",N(AF36)-N(AJ36))</x:f>
      </x:c>
      <x:c r="AL36" s="260" t="str">
        <x:f>IF(COUNTA(AF36:AG36)=0,"",IF(ABS(AK36)&lt;=0.01,IF(ABS(AI36)&gt;0.01,"СОШЛОСЬ ПОСЛЕ КОРР.","СОШЛОСЬ"),IF(ABS(AI36)&gt;0.01,"ЧАСТИЧНО","НЕОПРЕДЕЛЕНО")))</x:f>
      </x:c>
      <x:c r="AM36" s="190"/>
      <x:c r="AN36" s="202"/>
      <x:c r="AO36" s="214" t="str">
        <x:f>IF(COUNTA(AM36:AN36)=0,"",N(AM36)-N(AN36))</x:f>
      </x:c>
      <x:c r="AP36" s="226" t="str">
        <x:f>IF(COUNTA(AM36:AN36)=0,"",SUMIFS('04_Влияние_ОПИУ'!$F$2:$F$2000,'04_Влияние_ОПИУ'!$B$2:$B$2000,"2025-06",'04_Влияние_ОПИУ'!$C$2:$C$2000,$A36,'04_Влияние_ОПИУ'!$G$2:$G$2000,"Да"))</x:f>
      </x:c>
      <x:c r="AQ36" s="238" t="str">
        <x:f>IF(COUNTA(AM36:AN36)=0,"",N(AN36)+N(AP36))</x:f>
      </x:c>
      <x:c r="AR36" s="252" t="str">
        <x:f>IF(COUNTA(AM36:AN36)=0,"",N(AM36)-N(AQ36))</x:f>
      </x:c>
      <x:c r="AS36" s="260" t="str">
        <x:f>IF(COUNTA(AM36:AN36)=0,"",IF(ABS(AR36)&lt;=0.01,IF(ABS(AP36)&gt;0.01,"СОШЛОСЬ ПОСЛЕ КОРР.","СОШЛОСЬ"),IF(ABS(AP36)&gt;0.01,"ЧАСТИЧНО","НЕОПРЕДЕЛЕНО")))</x:f>
      </x:c>
      <x:c r="AT36" s="190"/>
      <x:c r="AU36" s="202"/>
      <x:c r="AV36" s="214" t="str">
        <x:f>IF(COUNTA(AT36:AU36)=0,"",N(AT36)-N(AU36))</x:f>
      </x:c>
      <x:c r="AW36" s="226" t="str">
        <x:f>IF(COUNTA(AT36:AU36)=0,"",SUMIFS('04_Влияние_ОПИУ'!$F$2:$F$2000,'04_Влияние_ОПИУ'!$B$2:$B$2000,"2025-07",'04_Влияние_ОПИУ'!$C$2:$C$2000,$A36,'04_Влияние_ОПИУ'!$G$2:$G$2000,"Да"))</x:f>
      </x:c>
      <x:c r="AX36" s="238" t="str">
        <x:f>IF(COUNTA(AT36:AU36)=0,"",N(AU36)+N(AW36))</x:f>
      </x:c>
      <x:c r="AY36" s="252" t="str">
        <x:f>IF(COUNTA(AT36:AU36)=0,"",N(AT36)-N(AX36))</x:f>
      </x:c>
      <x:c r="AZ36" s="260" t="str">
        <x:f>IF(COUNTA(AT36:AU36)=0,"",IF(ABS(AY36)&lt;=0.01,IF(ABS(AW36)&gt;0.01,"СОШЛОСЬ ПОСЛЕ КОРР.","СОШЛОСЬ"),IF(ABS(AW36)&gt;0.01,"ЧАСТИЧНО","НЕОПРЕДЕЛЕНО")))</x:f>
      </x:c>
      <x:c r="BA36" s="190"/>
      <x:c r="BB36" s="202"/>
      <x:c r="BC36" s="214" t="str">
        <x:f>IF(COUNTA(BA36:BB36)=0,"",N(BA36)-N(BB36))</x:f>
      </x:c>
      <x:c r="BD36" s="226" t="str">
        <x:f>IF(COUNTA(BA36:BB36)=0,"",SUMIFS('04_Влияние_ОПИУ'!$F$2:$F$2000,'04_Влияние_ОПИУ'!$B$2:$B$2000,"2025-08",'04_Влияние_ОПИУ'!$C$2:$C$2000,$A36,'04_Влияние_ОПИУ'!$G$2:$G$2000,"Да"))</x:f>
      </x:c>
      <x:c r="BE36" s="238" t="str">
        <x:f>IF(COUNTA(BA36:BB36)=0,"",N(BB36)+N(BD36))</x:f>
      </x:c>
      <x:c r="BF36" s="252" t="str">
        <x:f>IF(COUNTA(BA36:BB36)=0,"",N(BA36)-N(BE36))</x:f>
      </x:c>
      <x:c r="BG36" s="260" t="str">
        <x:f>IF(COUNTA(BA36:BB36)=0,"",IF(ABS(BF36)&lt;=0.01,IF(ABS(BD36)&gt;0.01,"СОШЛОСЬ ПОСЛЕ КОРР.","СОШЛОСЬ"),IF(ABS(BD36)&gt;0.01,"ЧАСТИЧНО","НЕОПРЕДЕЛЕНО")))</x:f>
      </x:c>
      <x:c r="BH36" s="190"/>
      <x:c r="BI36" s="202"/>
      <x:c r="BJ36" s="214" t="str">
        <x:f>IF(COUNTA(BH36:BI36)=0,"",N(BH36)-N(BI36))</x:f>
      </x:c>
      <x:c r="BK36" s="226" t="str">
        <x:f>IF(COUNTA(BH36:BI36)=0,"",SUMIFS('04_Влияние_ОПИУ'!$F$2:$F$2000,'04_Влияние_ОПИУ'!$B$2:$B$2000,"2025-09",'04_Влияние_ОПИУ'!$C$2:$C$2000,$A36,'04_Влияние_ОПИУ'!$G$2:$G$2000,"Да"))</x:f>
      </x:c>
      <x:c r="BL36" s="238" t="str">
        <x:f>IF(COUNTA(BH36:BI36)=0,"",N(BI36)+N(BK36))</x:f>
      </x:c>
      <x:c r="BM36" s="252" t="str">
        <x:f>IF(COUNTA(BH36:BI36)=0,"",N(BH36)-N(BL36))</x:f>
      </x:c>
      <x:c r="BN36" s="260" t="str">
        <x:f>IF(COUNTA(BH36:BI36)=0,"",IF(ABS(BM36)&lt;=0.01,IF(ABS(BK36)&gt;0.01,"СОШЛОСЬ ПОСЛЕ КОРР.","СОШЛОСЬ"),IF(ABS(BK36)&gt;0.01,"ЧАСТИЧНО","НЕОПРЕДЕЛЕНО")))</x:f>
      </x:c>
      <x:c r="BO36" s="190"/>
      <x:c r="BP36" s="202"/>
      <x:c r="BQ36" s="214" t="str">
        <x:f>IF(COUNTA(BO36:BP36)=0,"",N(BO36)-N(BP36))</x:f>
      </x:c>
      <x:c r="BR36" s="226" t="str">
        <x:f>IF(COUNTA(BO36:BP36)=0,"",SUMIFS('04_Влияние_ОПИУ'!$F$2:$F$2000,'04_Влияние_ОПИУ'!$B$2:$B$2000,"2025-10",'04_Влияние_ОПИУ'!$C$2:$C$2000,$A36,'04_Влияние_ОПИУ'!$G$2:$G$2000,"Да"))</x:f>
      </x:c>
      <x:c r="BS36" s="238" t="str">
        <x:f>IF(COUNTA(BO36:BP36)=0,"",N(BP36)+N(BR36))</x:f>
      </x:c>
      <x:c r="BT36" s="252" t="str">
        <x:f>IF(COUNTA(BO36:BP36)=0,"",N(BO36)-N(BS36))</x:f>
      </x:c>
      <x:c r="BU36" s="260" t="str">
        <x:f>IF(COUNTA(BO36:BP36)=0,"",IF(ABS(BT36)&lt;=0.01,IF(ABS(BR36)&gt;0.01,"СОШЛОСЬ ПОСЛЕ КОРР.","СОШЛОСЬ"),IF(ABS(BR36)&gt;0.01,"ЧАСТИЧНО","НЕОПРЕДЕЛЕНО")))</x:f>
      </x:c>
      <x:c r="BV36" s="190"/>
      <x:c r="BW36" s="202"/>
      <x:c r="BX36" s="214" t="str">
        <x:f>IF(COUNTA(BV36:BW36)=0,"",N(BV36)-N(BW36))</x:f>
      </x:c>
      <x:c r="BY36" s="226" t="str">
        <x:f>IF(COUNTA(BV36:BW36)=0,"",SUMIFS('04_Влияние_ОПИУ'!$F$2:$F$2000,'04_Влияние_ОПИУ'!$B$2:$B$2000,"2025-11",'04_Влияние_ОПИУ'!$C$2:$C$2000,$A36,'04_Влияние_ОПИУ'!$G$2:$G$2000,"Да"))</x:f>
      </x:c>
      <x:c r="BZ36" s="238" t="str">
        <x:f>IF(COUNTA(BV36:BW36)=0,"",N(BW36)+N(BY36))</x:f>
      </x:c>
      <x:c r="CA36" s="252" t="str">
        <x:f>IF(COUNTA(BV36:BW36)=0,"",N(BV36)-N(BZ36))</x:f>
      </x:c>
      <x:c r="CB36" s="260" t="str">
        <x:f>IF(COUNTA(BV36:BW36)=0,"",IF(ABS(CA36)&lt;=0.01,IF(ABS(BY36)&gt;0.01,"СОШЛОСЬ ПОСЛЕ КОРР.","СОШЛОСЬ"),IF(ABS(BY36)&gt;0.01,"ЧАСТИЧНО","НЕОПРЕДЕЛЕНО")))</x:f>
      </x:c>
      <x:c r="CC36" s="190"/>
      <x:c r="CD36" s="202"/>
      <x:c r="CE36" s="214" t="str">
        <x:f>IF(COUNTA(CC36:CD36)=0,"",N(CC36)-N(CD36))</x:f>
      </x:c>
      <x:c r="CF36" s="226" t="str">
        <x:f>IF(COUNTA(CC36:CD36)=0,"",SUMIFS('04_Влияние_ОПИУ'!$F$2:$F$2000,'04_Влияние_ОПИУ'!$B$2:$B$2000,"2025-12",'04_Влияние_ОПИУ'!$C$2:$C$2000,$A36,'04_Влияние_ОПИУ'!$G$2:$G$2000,"Да"))</x:f>
      </x:c>
      <x:c r="CG36" s="238" t="str">
        <x:f>IF(COUNTA(CC36:CD36)=0,"",N(CD36)+N(CF36))</x:f>
      </x:c>
      <x:c r="CH36" s="252" t="str">
        <x:f>IF(COUNTA(CC36:CD36)=0,"",N(CC36)-N(CG36))</x:f>
      </x:c>
      <x:c r="CI36" s="260" t="str">
        <x:f>IF(COUNTA(CC36:CD36)=0,"",IF(ABS(CH36)&lt;=0.01,IF(ABS(CF36)&gt;0.01,"СОШЛОСЬ ПОСЛЕ КОРР.","СОШЛОСЬ"),IF(ABS(CF36)&gt;0.01,"ЧАСТИЧНО","НЕОПРЕДЕЛЕНО")))</x:f>
      </x:c>
    </x:row>
    <x:row r="37">
      <x:c r="A37" s="166" t="str">
        <x:v>R032</x:v>
      </x:c>
      <x:c r="B37" s="166" t="str">
        <x:v>        Офисный телефон</x:v>
      </x:c>
      <x:c r="C37" s="170" t="str">
        <x:v>        Офисный телефон</x:v>
      </x:c>
      <x:c r="D37" s="190"/>
      <x:c r="E37" s="202"/>
      <x:c r="F37" s="214" t="str">
        <x:f>IF(COUNTA(D37:E37)=0,"",N(D37)-N(E37))</x:f>
      </x:c>
      <x:c r="G37" s="226" t="str">
        <x:f>IF(COUNTA(D37:E37)=0,"",SUMIFS('04_Влияние_ОПИУ'!$F$2:$F$2000,'04_Влияние_ОПИУ'!$B$2:$B$2000,"2025-01",'04_Влияние_ОПИУ'!$C$2:$C$2000,$A37,'04_Влияние_ОПИУ'!$G$2:$G$2000,"Да"))</x:f>
      </x:c>
      <x:c r="H37" s="238" t="str">
        <x:f>IF(COUNTA(D37:E37)=0,"",N(E37)+N(G37))</x:f>
      </x:c>
      <x:c r="I37" s="252" t="str">
        <x:f>IF(COUNTA(D37:E37)=0,"",N(D37)-N(H37))</x:f>
      </x:c>
      <x:c r="J37" s="260" t="str">
        <x:f>IF(COUNTA(D37:E37)=0,"",IF(ABS(I37)&lt;=0.01,IF(ABS(G37)&gt;0.01,"СОШЛОСЬ ПОСЛЕ КОРР.","СОШЛОСЬ"),IF(ABS(G37)&gt;0.01,"ЧАСТИЧНО","НЕОПРЕДЕЛЕНО")))</x:f>
      </x:c>
      <x:c r="K37" s="190"/>
      <x:c r="L37" s="202"/>
      <x:c r="M37" s="214" t="str">
        <x:f>IF(COUNTA(K37:L37)=0,"",N(K37)-N(L37))</x:f>
      </x:c>
      <x:c r="N37" s="226" t="str">
        <x:f>IF(COUNTA(K37:L37)=0,"",SUMIFS('04_Влияние_ОПИУ'!$F$2:$F$2000,'04_Влияние_ОПИУ'!$B$2:$B$2000,"2025-02",'04_Влияние_ОПИУ'!$C$2:$C$2000,$A37,'04_Влияние_ОПИУ'!$G$2:$G$2000,"Да"))</x:f>
      </x:c>
      <x:c r="O37" s="238" t="str">
        <x:f>IF(COUNTA(K37:L37)=0,"",N(L37)+N(N37))</x:f>
      </x:c>
      <x:c r="P37" s="252" t="str">
        <x:f>IF(COUNTA(K37:L37)=0,"",N(K37)-N(O37))</x:f>
      </x:c>
      <x:c r="Q37" s="260" t="str">
        <x:f>IF(COUNTA(K37:L37)=0,"",IF(ABS(P37)&lt;=0.01,IF(ABS(N37)&gt;0.01,"СОШЛОСЬ ПОСЛЕ КОРР.","СОШЛОСЬ"),IF(ABS(N37)&gt;0.01,"ЧАСТИЧНО","НЕОПРЕДЕЛЕНО")))</x:f>
      </x:c>
      <x:c r="R37" s="190"/>
      <x:c r="S37" s="202"/>
      <x:c r="T37" s="214" t="str">
        <x:f>IF(COUNTA(R37:S37)=0,"",N(R37)-N(S37))</x:f>
      </x:c>
      <x:c r="U37" s="226" t="str">
        <x:f>IF(COUNTA(R37:S37)=0,"",SUMIFS('04_Влияние_ОПИУ'!$F$2:$F$2000,'04_Влияние_ОПИУ'!$B$2:$B$2000,"2025-03",'04_Влияние_ОПИУ'!$C$2:$C$2000,$A37,'04_Влияние_ОПИУ'!$G$2:$G$2000,"Да"))</x:f>
      </x:c>
      <x:c r="V37" s="238" t="str">
        <x:f>IF(COUNTA(R37:S37)=0,"",N(S37)+N(U37))</x:f>
      </x:c>
      <x:c r="W37" s="252" t="str">
        <x:f>IF(COUNTA(R37:S37)=0,"",N(R37)-N(V37))</x:f>
      </x:c>
      <x:c r="X37" s="260" t="str">
        <x:f>IF(COUNTA(R37:S37)=0,"",IF(ABS(W37)&lt;=0.01,IF(ABS(U37)&gt;0.01,"СОШЛОСЬ ПОСЛЕ КОРР.","СОШЛОСЬ"),IF(ABS(U37)&gt;0.01,"ЧАСТИЧНО","НЕОПРЕДЕЛЕНО")))</x:f>
      </x:c>
      <x:c r="Y37" s="190"/>
      <x:c r="Z37" s="202"/>
      <x:c r="AA37" s="214" t="str">
        <x:f>IF(COUNTA(Y37:Z37)=0,"",N(Y37)-N(Z37))</x:f>
      </x:c>
      <x:c r="AB37" s="226" t="str">
        <x:f>IF(COUNTA(Y37:Z37)=0,"",SUMIFS('04_Влияние_ОПИУ'!$F$2:$F$2000,'04_Влияние_ОПИУ'!$B$2:$B$2000,"2025-04",'04_Влияние_ОПИУ'!$C$2:$C$2000,$A37,'04_Влияние_ОПИУ'!$G$2:$G$2000,"Да"))</x:f>
      </x:c>
      <x:c r="AC37" s="238" t="str">
        <x:f>IF(COUNTA(Y37:Z37)=0,"",N(Z37)+N(AB37))</x:f>
      </x:c>
      <x:c r="AD37" s="252" t="str">
        <x:f>IF(COUNTA(Y37:Z37)=0,"",N(Y37)-N(AC37))</x:f>
      </x:c>
      <x:c r="AE37" s="260" t="str">
        <x:f>IF(COUNTA(Y37:Z37)=0,"",IF(ABS(AD37)&lt;=0.01,IF(ABS(AB37)&gt;0.01,"СОШЛОСЬ ПОСЛЕ КОРР.","СОШЛОСЬ"),IF(ABS(AB37)&gt;0.01,"ЧАСТИЧНО","НЕОПРЕДЕЛЕНО")))</x:f>
      </x:c>
      <x:c r="AF37" s="190"/>
      <x:c r="AG37" s="202"/>
      <x:c r="AH37" s="214" t="str">
        <x:f>IF(COUNTA(AF37:AG37)=0,"",N(AF37)-N(AG37))</x:f>
      </x:c>
      <x:c r="AI37" s="226" t="str">
        <x:f>IF(COUNTA(AF37:AG37)=0,"",SUMIFS('04_Влияние_ОПИУ'!$F$2:$F$2000,'04_Влияние_ОПИУ'!$B$2:$B$2000,"2025-05",'04_Влияние_ОПИУ'!$C$2:$C$2000,$A37,'04_Влияние_ОПИУ'!$G$2:$G$2000,"Да"))</x:f>
      </x:c>
      <x:c r="AJ37" s="238" t="str">
        <x:f>IF(COUNTA(AF37:AG37)=0,"",N(AG37)+N(AI37))</x:f>
      </x:c>
      <x:c r="AK37" s="252" t="str">
        <x:f>IF(COUNTA(AF37:AG37)=0,"",N(AF37)-N(AJ37))</x:f>
      </x:c>
      <x:c r="AL37" s="260" t="str">
        <x:f>IF(COUNTA(AF37:AG37)=0,"",IF(ABS(AK37)&lt;=0.01,IF(ABS(AI37)&gt;0.01,"СОШЛОСЬ ПОСЛЕ КОРР.","СОШЛОСЬ"),IF(ABS(AI37)&gt;0.01,"ЧАСТИЧНО","НЕОПРЕДЕЛЕНО")))</x:f>
      </x:c>
      <x:c r="AM37" s="190"/>
      <x:c r="AN37" s="202"/>
      <x:c r="AO37" s="214" t="str">
        <x:f>IF(COUNTA(AM37:AN37)=0,"",N(AM37)-N(AN37))</x:f>
      </x:c>
      <x:c r="AP37" s="226" t="str">
        <x:f>IF(COUNTA(AM37:AN37)=0,"",SUMIFS('04_Влияние_ОПИУ'!$F$2:$F$2000,'04_Влияние_ОПИУ'!$B$2:$B$2000,"2025-06",'04_Влияние_ОПИУ'!$C$2:$C$2000,$A37,'04_Влияние_ОПИУ'!$G$2:$G$2000,"Да"))</x:f>
      </x:c>
      <x:c r="AQ37" s="238" t="str">
        <x:f>IF(COUNTA(AM37:AN37)=0,"",N(AN37)+N(AP37))</x:f>
      </x:c>
      <x:c r="AR37" s="252" t="str">
        <x:f>IF(COUNTA(AM37:AN37)=0,"",N(AM37)-N(AQ37))</x:f>
      </x:c>
      <x:c r="AS37" s="260" t="str">
        <x:f>IF(COUNTA(AM37:AN37)=0,"",IF(ABS(AR37)&lt;=0.01,IF(ABS(AP37)&gt;0.01,"СОШЛОСЬ ПОСЛЕ КОРР.","СОШЛОСЬ"),IF(ABS(AP37)&gt;0.01,"ЧАСТИЧНО","НЕОПРЕДЕЛЕНО")))</x:f>
      </x:c>
      <x:c r="AT37" s="190"/>
      <x:c r="AU37" s="202"/>
      <x:c r="AV37" s="214" t="str">
        <x:f>IF(COUNTA(AT37:AU37)=0,"",N(AT37)-N(AU37))</x:f>
      </x:c>
      <x:c r="AW37" s="226" t="str">
        <x:f>IF(COUNTA(AT37:AU37)=0,"",SUMIFS('04_Влияние_ОПИУ'!$F$2:$F$2000,'04_Влияние_ОПИУ'!$B$2:$B$2000,"2025-07",'04_Влияние_ОПИУ'!$C$2:$C$2000,$A37,'04_Влияние_ОПИУ'!$G$2:$G$2000,"Да"))</x:f>
      </x:c>
      <x:c r="AX37" s="238" t="str">
        <x:f>IF(COUNTA(AT37:AU37)=0,"",N(AU37)+N(AW37))</x:f>
      </x:c>
      <x:c r="AY37" s="252" t="str">
        <x:f>IF(COUNTA(AT37:AU37)=0,"",N(AT37)-N(AX37))</x:f>
      </x:c>
      <x:c r="AZ37" s="260" t="str">
        <x:f>IF(COUNTA(AT37:AU37)=0,"",IF(ABS(AY37)&lt;=0.01,IF(ABS(AW37)&gt;0.01,"СОШЛОСЬ ПОСЛЕ КОРР.","СОШЛОСЬ"),IF(ABS(AW37)&gt;0.01,"ЧАСТИЧНО","НЕОПРЕДЕЛЕНО")))</x:f>
      </x:c>
      <x:c r="BA37" s="190"/>
      <x:c r="BB37" s="202"/>
      <x:c r="BC37" s="214" t="str">
        <x:f>IF(COUNTA(BA37:BB37)=0,"",N(BA37)-N(BB37))</x:f>
      </x:c>
      <x:c r="BD37" s="226" t="str">
        <x:f>IF(COUNTA(BA37:BB37)=0,"",SUMIFS('04_Влияние_ОПИУ'!$F$2:$F$2000,'04_Влияние_ОПИУ'!$B$2:$B$2000,"2025-08",'04_Влияние_ОПИУ'!$C$2:$C$2000,$A37,'04_Влияние_ОПИУ'!$G$2:$G$2000,"Да"))</x:f>
      </x:c>
      <x:c r="BE37" s="238" t="str">
        <x:f>IF(COUNTA(BA37:BB37)=0,"",N(BB37)+N(BD37))</x:f>
      </x:c>
      <x:c r="BF37" s="252" t="str">
        <x:f>IF(COUNTA(BA37:BB37)=0,"",N(BA37)-N(BE37))</x:f>
      </x:c>
      <x:c r="BG37" s="260" t="str">
        <x:f>IF(COUNTA(BA37:BB37)=0,"",IF(ABS(BF37)&lt;=0.01,IF(ABS(BD37)&gt;0.01,"СОШЛОСЬ ПОСЛЕ КОРР.","СОШЛОСЬ"),IF(ABS(BD37)&gt;0.01,"ЧАСТИЧНО","НЕОПРЕДЕЛЕНО")))</x:f>
      </x:c>
      <x:c r="BH37" s="190"/>
      <x:c r="BI37" s="202"/>
      <x:c r="BJ37" s="214" t="str">
        <x:f>IF(COUNTA(BH37:BI37)=0,"",N(BH37)-N(BI37))</x:f>
      </x:c>
      <x:c r="BK37" s="226" t="str">
        <x:f>IF(COUNTA(BH37:BI37)=0,"",SUMIFS('04_Влияние_ОПИУ'!$F$2:$F$2000,'04_Влияние_ОПИУ'!$B$2:$B$2000,"2025-09",'04_Влияние_ОПИУ'!$C$2:$C$2000,$A37,'04_Влияние_ОПИУ'!$G$2:$G$2000,"Да"))</x:f>
      </x:c>
      <x:c r="BL37" s="238" t="str">
        <x:f>IF(COUNTA(BH37:BI37)=0,"",N(BI37)+N(BK37))</x:f>
      </x:c>
      <x:c r="BM37" s="252" t="str">
        <x:f>IF(COUNTA(BH37:BI37)=0,"",N(BH37)-N(BL37))</x:f>
      </x:c>
      <x:c r="BN37" s="260" t="str">
        <x:f>IF(COUNTA(BH37:BI37)=0,"",IF(ABS(BM37)&lt;=0.01,IF(ABS(BK37)&gt;0.01,"СОШЛОСЬ ПОСЛЕ КОРР.","СОШЛОСЬ"),IF(ABS(BK37)&gt;0.01,"ЧАСТИЧНО","НЕОПРЕДЕЛЕНО")))</x:f>
      </x:c>
      <x:c r="BO37" s="190"/>
      <x:c r="BP37" s="202"/>
      <x:c r="BQ37" s="214" t="str">
        <x:f>IF(COUNTA(BO37:BP37)=0,"",N(BO37)-N(BP37))</x:f>
      </x:c>
      <x:c r="BR37" s="226" t="str">
        <x:f>IF(COUNTA(BO37:BP37)=0,"",SUMIFS('04_Влияние_ОПИУ'!$F$2:$F$2000,'04_Влияние_ОПИУ'!$B$2:$B$2000,"2025-10",'04_Влияние_ОПИУ'!$C$2:$C$2000,$A37,'04_Влияние_ОПИУ'!$G$2:$G$2000,"Да"))</x:f>
      </x:c>
      <x:c r="BS37" s="238" t="str">
        <x:f>IF(COUNTA(BO37:BP37)=0,"",N(BP37)+N(BR37))</x:f>
      </x:c>
      <x:c r="BT37" s="252" t="str">
        <x:f>IF(COUNTA(BO37:BP37)=0,"",N(BO37)-N(BS37))</x:f>
      </x:c>
      <x:c r="BU37" s="260" t="str">
        <x:f>IF(COUNTA(BO37:BP37)=0,"",IF(ABS(BT37)&lt;=0.01,IF(ABS(BR37)&gt;0.01,"СОШЛОСЬ ПОСЛЕ КОРР.","СОШЛОСЬ"),IF(ABS(BR37)&gt;0.01,"ЧАСТИЧНО","НЕОПРЕДЕЛЕНО")))</x:f>
      </x:c>
      <x:c r="BV37" s="190"/>
      <x:c r="BW37" s="202"/>
      <x:c r="BX37" s="214" t="str">
        <x:f>IF(COUNTA(BV37:BW37)=0,"",N(BV37)-N(BW37))</x:f>
      </x:c>
      <x:c r="BY37" s="226" t="str">
        <x:f>IF(COUNTA(BV37:BW37)=0,"",SUMIFS('04_Влияние_ОПИУ'!$F$2:$F$2000,'04_Влияние_ОПИУ'!$B$2:$B$2000,"2025-11",'04_Влияние_ОПИУ'!$C$2:$C$2000,$A37,'04_Влияние_ОПИУ'!$G$2:$G$2000,"Да"))</x:f>
      </x:c>
      <x:c r="BZ37" s="238" t="str">
        <x:f>IF(COUNTA(BV37:BW37)=0,"",N(BW37)+N(BY37))</x:f>
      </x:c>
      <x:c r="CA37" s="252" t="str">
        <x:f>IF(COUNTA(BV37:BW37)=0,"",N(BV37)-N(BZ37))</x:f>
      </x:c>
      <x:c r="CB37" s="260" t="str">
        <x:f>IF(COUNTA(BV37:BW37)=0,"",IF(ABS(CA37)&lt;=0.01,IF(ABS(BY37)&gt;0.01,"СОШЛОСЬ ПОСЛЕ КОРР.","СОШЛОСЬ"),IF(ABS(BY37)&gt;0.01,"ЧАСТИЧНО","НЕОПРЕДЕЛЕНО")))</x:f>
      </x:c>
      <x:c r="CC37" s="190"/>
      <x:c r="CD37" s="202"/>
      <x:c r="CE37" s="214" t="str">
        <x:f>IF(COUNTA(CC37:CD37)=0,"",N(CC37)-N(CD37))</x:f>
      </x:c>
      <x:c r="CF37" s="226" t="str">
        <x:f>IF(COUNTA(CC37:CD37)=0,"",SUMIFS('04_Влияние_ОПИУ'!$F$2:$F$2000,'04_Влияние_ОПИУ'!$B$2:$B$2000,"2025-12",'04_Влияние_ОПИУ'!$C$2:$C$2000,$A37,'04_Влияние_ОПИУ'!$G$2:$G$2000,"Да"))</x:f>
      </x:c>
      <x:c r="CG37" s="238" t="str">
        <x:f>IF(COUNTA(CC37:CD37)=0,"",N(CD37)+N(CF37))</x:f>
      </x:c>
      <x:c r="CH37" s="252" t="str">
        <x:f>IF(COUNTA(CC37:CD37)=0,"",N(CC37)-N(CG37))</x:f>
      </x:c>
      <x:c r="CI37" s="260" t="str">
        <x:f>IF(COUNTA(CC37:CD37)=0,"",IF(ABS(CH37)&lt;=0.01,IF(ABS(CF37)&gt;0.01,"СОШЛОСЬ ПОСЛЕ КОРР.","СОШЛОСЬ"),IF(ABS(CF37)&gt;0.01,"ЧАСТИЧНО","НЕОПРЕДЕЛЕНО")))</x:f>
      </x:c>
    </x:row>
    <x:row r="38">
      <x:c r="A38" s="166" t="str">
        <x:v>R033</x:v>
      </x:c>
      <x:c r="B38" s="166" t="str">
        <x:v>      ФЗП и компенсационные выплаты</x:v>
      </x:c>
      <x:c r="C38" s="170" t="str">
        <x:v>      ФЗП и компенсационные выплаты</x:v>
      </x:c>
      <x:c r="D38" s="190"/>
      <x:c r="E38" s="202"/>
      <x:c r="F38" s="214" t="str">
        <x:f>IF(COUNTA(D38:E38)=0,"",N(D38)-N(E38))</x:f>
      </x:c>
      <x:c r="G38" s="226" t="str">
        <x:f>IF(COUNTA(D38:E38)=0,"",SUMIFS('04_Влияние_ОПИУ'!$F$2:$F$2000,'04_Влияние_ОПИУ'!$B$2:$B$2000,"2025-01",'04_Влияние_ОПИУ'!$C$2:$C$2000,$A38,'04_Влияние_ОПИУ'!$G$2:$G$2000,"Да"))</x:f>
      </x:c>
      <x:c r="H38" s="238" t="str">
        <x:f>IF(COUNTA(D38:E38)=0,"",N(E38)+N(G38))</x:f>
      </x:c>
      <x:c r="I38" s="252" t="str">
        <x:f>IF(COUNTA(D38:E38)=0,"",N(D38)-N(H38))</x:f>
      </x:c>
      <x:c r="J38" s="260" t="str">
        <x:f>IF(COUNTA(D38:E38)=0,"",IF(ABS(I38)&lt;=0.01,IF(ABS(G38)&gt;0.01,"СОШЛОСЬ ПОСЛЕ КОРР.","СОШЛОСЬ"),IF(ABS(G38)&gt;0.01,"ЧАСТИЧНО","НЕОПРЕДЕЛЕНО")))</x:f>
      </x:c>
      <x:c r="K38" s="190"/>
      <x:c r="L38" s="202"/>
      <x:c r="M38" s="214" t="str">
        <x:f>IF(COUNTA(K38:L38)=0,"",N(K38)-N(L38))</x:f>
      </x:c>
      <x:c r="N38" s="226" t="str">
        <x:f>IF(COUNTA(K38:L38)=0,"",SUMIFS('04_Влияние_ОПИУ'!$F$2:$F$2000,'04_Влияние_ОПИУ'!$B$2:$B$2000,"2025-02",'04_Влияние_ОПИУ'!$C$2:$C$2000,$A38,'04_Влияние_ОПИУ'!$G$2:$G$2000,"Да"))</x:f>
      </x:c>
      <x:c r="O38" s="238" t="str">
        <x:f>IF(COUNTA(K38:L38)=0,"",N(L38)+N(N38))</x:f>
      </x:c>
      <x:c r="P38" s="252" t="str">
        <x:f>IF(COUNTA(K38:L38)=0,"",N(K38)-N(O38))</x:f>
      </x:c>
      <x:c r="Q38" s="260" t="str">
        <x:f>IF(COUNTA(K38:L38)=0,"",IF(ABS(P38)&lt;=0.01,IF(ABS(N38)&gt;0.01,"СОШЛОСЬ ПОСЛЕ КОРР.","СОШЛОСЬ"),IF(ABS(N38)&gt;0.01,"ЧАСТИЧНО","НЕОПРЕДЕЛЕНО")))</x:f>
      </x:c>
      <x:c r="R38" s="190"/>
      <x:c r="S38" s="202"/>
      <x:c r="T38" s="214" t="str">
        <x:f>IF(COUNTA(R38:S38)=0,"",N(R38)-N(S38))</x:f>
      </x:c>
      <x:c r="U38" s="226" t="str">
        <x:f>IF(COUNTA(R38:S38)=0,"",SUMIFS('04_Влияние_ОПИУ'!$F$2:$F$2000,'04_Влияние_ОПИУ'!$B$2:$B$2000,"2025-03",'04_Влияние_ОПИУ'!$C$2:$C$2000,$A38,'04_Влияние_ОПИУ'!$G$2:$G$2000,"Да"))</x:f>
      </x:c>
      <x:c r="V38" s="238" t="str">
        <x:f>IF(COUNTA(R38:S38)=0,"",N(S38)+N(U38))</x:f>
      </x:c>
      <x:c r="W38" s="252" t="str">
        <x:f>IF(COUNTA(R38:S38)=0,"",N(R38)-N(V38))</x:f>
      </x:c>
      <x:c r="X38" s="260" t="str">
        <x:f>IF(COUNTA(R38:S38)=0,"",IF(ABS(W38)&lt;=0.01,IF(ABS(U38)&gt;0.01,"СОШЛОСЬ ПОСЛЕ КОРР.","СОШЛОСЬ"),IF(ABS(U38)&gt;0.01,"ЧАСТИЧНО","НЕОПРЕДЕЛЕНО")))</x:f>
      </x:c>
      <x:c r="Y38" s="190"/>
      <x:c r="Z38" s="202"/>
      <x:c r="AA38" s="214" t="str">
        <x:f>IF(COUNTA(Y38:Z38)=0,"",N(Y38)-N(Z38))</x:f>
      </x:c>
      <x:c r="AB38" s="226" t="str">
        <x:f>IF(COUNTA(Y38:Z38)=0,"",SUMIFS('04_Влияние_ОПИУ'!$F$2:$F$2000,'04_Влияние_ОПИУ'!$B$2:$B$2000,"2025-04",'04_Влияние_ОПИУ'!$C$2:$C$2000,$A38,'04_Влияние_ОПИУ'!$G$2:$G$2000,"Да"))</x:f>
      </x:c>
      <x:c r="AC38" s="238" t="str">
        <x:f>IF(COUNTA(Y38:Z38)=0,"",N(Z38)+N(AB38))</x:f>
      </x:c>
      <x:c r="AD38" s="252" t="str">
        <x:f>IF(COUNTA(Y38:Z38)=0,"",N(Y38)-N(AC38))</x:f>
      </x:c>
      <x:c r="AE38" s="260" t="str">
        <x:f>IF(COUNTA(Y38:Z38)=0,"",IF(ABS(AD38)&lt;=0.01,IF(ABS(AB38)&gt;0.01,"СОШЛОСЬ ПОСЛЕ КОРР.","СОШЛОСЬ"),IF(ABS(AB38)&gt;0.01,"ЧАСТИЧНО","НЕОПРЕДЕЛЕНО")))</x:f>
      </x:c>
      <x:c r="AF38" s="190"/>
      <x:c r="AG38" s="202"/>
      <x:c r="AH38" s="214" t="str">
        <x:f>IF(COUNTA(AF38:AG38)=0,"",N(AF38)-N(AG38))</x:f>
      </x:c>
      <x:c r="AI38" s="226" t="str">
        <x:f>IF(COUNTA(AF38:AG38)=0,"",SUMIFS('04_Влияние_ОПИУ'!$F$2:$F$2000,'04_Влияние_ОПИУ'!$B$2:$B$2000,"2025-05",'04_Влияние_ОПИУ'!$C$2:$C$2000,$A38,'04_Влияние_ОПИУ'!$G$2:$G$2000,"Да"))</x:f>
      </x:c>
      <x:c r="AJ38" s="238" t="str">
        <x:f>IF(COUNTA(AF38:AG38)=0,"",N(AG38)+N(AI38))</x:f>
      </x:c>
      <x:c r="AK38" s="252" t="str">
        <x:f>IF(COUNTA(AF38:AG38)=0,"",N(AF38)-N(AJ38))</x:f>
      </x:c>
      <x:c r="AL38" s="260" t="str">
        <x:f>IF(COUNTA(AF38:AG38)=0,"",IF(ABS(AK38)&lt;=0.01,IF(ABS(AI38)&gt;0.01,"СОШЛОСЬ ПОСЛЕ КОРР.","СОШЛОСЬ"),IF(ABS(AI38)&gt;0.01,"ЧАСТИЧНО","НЕОПРЕДЕЛЕНО")))</x:f>
      </x:c>
      <x:c r="AM38" s="190"/>
      <x:c r="AN38" s="202"/>
      <x:c r="AO38" s="214" t="str">
        <x:f>IF(COUNTA(AM38:AN38)=0,"",N(AM38)-N(AN38))</x:f>
      </x:c>
      <x:c r="AP38" s="226" t="str">
        <x:f>IF(COUNTA(AM38:AN38)=0,"",SUMIFS('04_Влияние_ОПИУ'!$F$2:$F$2000,'04_Влияние_ОПИУ'!$B$2:$B$2000,"2025-06",'04_Влияние_ОПИУ'!$C$2:$C$2000,$A38,'04_Влияние_ОПИУ'!$G$2:$G$2000,"Да"))</x:f>
      </x:c>
      <x:c r="AQ38" s="238" t="str">
        <x:f>IF(COUNTA(AM38:AN38)=0,"",N(AN38)+N(AP38))</x:f>
      </x:c>
      <x:c r="AR38" s="252" t="str">
        <x:f>IF(COUNTA(AM38:AN38)=0,"",N(AM38)-N(AQ38))</x:f>
      </x:c>
      <x:c r="AS38" s="260" t="str">
        <x:f>IF(COUNTA(AM38:AN38)=0,"",IF(ABS(AR38)&lt;=0.01,IF(ABS(AP38)&gt;0.01,"СОШЛОСЬ ПОСЛЕ КОРР.","СОШЛОСЬ"),IF(ABS(AP38)&gt;0.01,"ЧАСТИЧНО","НЕОПРЕДЕЛЕНО")))</x:f>
      </x:c>
      <x:c r="AT38" s="190"/>
      <x:c r="AU38" s="202"/>
      <x:c r="AV38" s="214" t="str">
        <x:f>IF(COUNTA(AT38:AU38)=0,"",N(AT38)-N(AU38))</x:f>
      </x:c>
      <x:c r="AW38" s="226" t="str">
        <x:f>IF(COUNTA(AT38:AU38)=0,"",SUMIFS('04_Влияние_ОПИУ'!$F$2:$F$2000,'04_Влияние_ОПИУ'!$B$2:$B$2000,"2025-07",'04_Влияние_ОПИУ'!$C$2:$C$2000,$A38,'04_Влияние_ОПИУ'!$G$2:$G$2000,"Да"))</x:f>
      </x:c>
      <x:c r="AX38" s="238" t="str">
        <x:f>IF(COUNTA(AT38:AU38)=0,"",N(AU38)+N(AW38))</x:f>
      </x:c>
      <x:c r="AY38" s="252" t="str">
        <x:f>IF(COUNTA(AT38:AU38)=0,"",N(AT38)-N(AX38))</x:f>
      </x:c>
      <x:c r="AZ38" s="260" t="str">
        <x:f>IF(COUNTA(AT38:AU38)=0,"",IF(ABS(AY38)&lt;=0.01,IF(ABS(AW38)&gt;0.01,"СОШЛОСЬ ПОСЛЕ КОРР.","СОШЛОСЬ"),IF(ABS(AW38)&gt;0.01,"ЧАСТИЧНО","НЕОПРЕДЕЛЕНО")))</x:f>
      </x:c>
      <x:c r="BA38" s="190"/>
      <x:c r="BB38" s="202"/>
      <x:c r="BC38" s="214" t="str">
        <x:f>IF(COUNTA(BA38:BB38)=0,"",N(BA38)-N(BB38))</x:f>
      </x:c>
      <x:c r="BD38" s="226" t="str">
        <x:f>IF(COUNTA(BA38:BB38)=0,"",SUMIFS('04_Влияние_ОПИУ'!$F$2:$F$2000,'04_Влияние_ОПИУ'!$B$2:$B$2000,"2025-08",'04_Влияние_ОПИУ'!$C$2:$C$2000,$A38,'04_Влияние_ОПИУ'!$G$2:$G$2000,"Да"))</x:f>
      </x:c>
      <x:c r="BE38" s="238" t="str">
        <x:f>IF(COUNTA(BA38:BB38)=0,"",N(BB38)+N(BD38))</x:f>
      </x:c>
      <x:c r="BF38" s="252" t="str">
        <x:f>IF(COUNTA(BA38:BB38)=0,"",N(BA38)-N(BE38))</x:f>
      </x:c>
      <x:c r="BG38" s="260" t="str">
        <x:f>IF(COUNTA(BA38:BB38)=0,"",IF(ABS(BF38)&lt;=0.01,IF(ABS(BD38)&gt;0.01,"СОШЛОСЬ ПОСЛЕ КОРР.","СОШЛОСЬ"),IF(ABS(BD38)&gt;0.01,"ЧАСТИЧНО","НЕОПРЕДЕЛЕНО")))</x:f>
      </x:c>
      <x:c r="BH38" s="190"/>
      <x:c r="BI38" s="202"/>
      <x:c r="BJ38" s="214" t="str">
        <x:f>IF(COUNTA(BH38:BI38)=0,"",N(BH38)-N(BI38))</x:f>
      </x:c>
      <x:c r="BK38" s="226" t="str">
        <x:f>IF(COUNTA(BH38:BI38)=0,"",SUMIFS('04_Влияние_ОПИУ'!$F$2:$F$2000,'04_Влияние_ОПИУ'!$B$2:$B$2000,"2025-09",'04_Влияние_ОПИУ'!$C$2:$C$2000,$A38,'04_Влияние_ОПИУ'!$G$2:$G$2000,"Да"))</x:f>
      </x:c>
      <x:c r="BL38" s="238" t="str">
        <x:f>IF(COUNTA(BH38:BI38)=0,"",N(BI38)+N(BK38))</x:f>
      </x:c>
      <x:c r="BM38" s="252" t="str">
        <x:f>IF(COUNTA(BH38:BI38)=0,"",N(BH38)-N(BL38))</x:f>
      </x:c>
      <x:c r="BN38" s="260" t="str">
        <x:f>IF(COUNTA(BH38:BI38)=0,"",IF(ABS(BM38)&lt;=0.01,IF(ABS(BK38)&gt;0.01,"СОШЛОСЬ ПОСЛЕ КОРР.","СОШЛОСЬ"),IF(ABS(BK38)&gt;0.01,"ЧАСТИЧНО","НЕОПРЕДЕЛЕНО")))</x:f>
      </x:c>
      <x:c r="BO38" s="190"/>
      <x:c r="BP38" s="202"/>
      <x:c r="BQ38" s="214" t="str">
        <x:f>IF(COUNTA(BO38:BP38)=0,"",N(BO38)-N(BP38))</x:f>
      </x:c>
      <x:c r="BR38" s="226" t="str">
        <x:f>IF(COUNTA(BO38:BP38)=0,"",SUMIFS('04_Влияние_ОПИУ'!$F$2:$F$2000,'04_Влияние_ОПИУ'!$B$2:$B$2000,"2025-10",'04_Влияние_ОПИУ'!$C$2:$C$2000,$A38,'04_Влияние_ОПИУ'!$G$2:$G$2000,"Да"))</x:f>
      </x:c>
      <x:c r="BS38" s="238" t="str">
        <x:f>IF(COUNTA(BO38:BP38)=0,"",N(BP38)+N(BR38))</x:f>
      </x:c>
      <x:c r="BT38" s="252" t="str">
        <x:f>IF(COUNTA(BO38:BP38)=0,"",N(BO38)-N(BS38))</x:f>
      </x:c>
      <x:c r="BU38" s="260" t="str">
        <x:f>IF(COUNTA(BO38:BP38)=0,"",IF(ABS(BT38)&lt;=0.01,IF(ABS(BR38)&gt;0.01,"СОШЛОСЬ ПОСЛЕ КОРР.","СОШЛОСЬ"),IF(ABS(BR38)&gt;0.01,"ЧАСТИЧНО","НЕОПРЕДЕЛЕНО")))</x:f>
      </x:c>
      <x:c r="BV38" s="190"/>
      <x:c r="BW38" s="202"/>
      <x:c r="BX38" s="214" t="str">
        <x:f>IF(COUNTA(BV38:BW38)=0,"",N(BV38)-N(BW38))</x:f>
      </x:c>
      <x:c r="BY38" s="226" t="str">
        <x:f>IF(COUNTA(BV38:BW38)=0,"",SUMIFS('04_Влияние_ОПИУ'!$F$2:$F$2000,'04_Влияние_ОПИУ'!$B$2:$B$2000,"2025-11",'04_Влияние_ОПИУ'!$C$2:$C$2000,$A38,'04_Влияние_ОПИУ'!$G$2:$G$2000,"Да"))</x:f>
      </x:c>
      <x:c r="BZ38" s="238" t="str">
        <x:f>IF(COUNTA(BV38:BW38)=0,"",N(BW38)+N(BY38))</x:f>
      </x:c>
      <x:c r="CA38" s="252" t="str">
        <x:f>IF(COUNTA(BV38:BW38)=0,"",N(BV38)-N(BZ38))</x:f>
      </x:c>
      <x:c r="CB38" s="260" t="str">
        <x:f>IF(COUNTA(BV38:BW38)=0,"",IF(ABS(CA38)&lt;=0.01,IF(ABS(BY38)&gt;0.01,"СОШЛОСЬ ПОСЛЕ КОРР.","СОШЛОСЬ"),IF(ABS(BY38)&gt;0.01,"ЧАСТИЧНО","НЕОПРЕДЕЛЕНО")))</x:f>
      </x:c>
      <x:c r="CC38" s="190"/>
      <x:c r="CD38" s="202"/>
      <x:c r="CE38" s="214" t="str">
        <x:f>IF(COUNTA(CC38:CD38)=0,"",N(CC38)-N(CD38))</x:f>
      </x:c>
      <x:c r="CF38" s="226" t="str">
        <x:f>IF(COUNTA(CC38:CD38)=0,"",SUMIFS('04_Влияние_ОПИУ'!$F$2:$F$2000,'04_Влияние_ОПИУ'!$B$2:$B$2000,"2025-12",'04_Влияние_ОПИУ'!$C$2:$C$2000,$A38,'04_Влияние_ОПИУ'!$G$2:$G$2000,"Да"))</x:f>
      </x:c>
      <x:c r="CG38" s="238" t="str">
        <x:f>IF(COUNTA(CC38:CD38)=0,"",N(CD38)+N(CF38))</x:f>
      </x:c>
      <x:c r="CH38" s="252" t="str">
        <x:f>IF(COUNTA(CC38:CD38)=0,"",N(CC38)-N(CG38))</x:f>
      </x:c>
      <x:c r="CI38" s="260" t="str">
        <x:f>IF(COUNTA(CC38:CD38)=0,"",IF(ABS(CH38)&lt;=0.01,IF(ABS(CF38)&gt;0.01,"СОШЛОСЬ ПОСЛЕ КОРР.","СОШЛОСЬ"),IF(ABS(CF38)&gt;0.01,"ЧАСТИЧНО","НЕОПРЕДЕЛЕНО")))</x:f>
      </x:c>
    </x:row>
    <x:row r="39">
      <x:c r="A39" s="166" t="str">
        <x:v>R034</x:v>
      </x:c>
      <x:c r="B39" s="166" t="str">
        <x:v>        Компенсации</x:v>
      </x:c>
      <x:c r="C39" s="170" t="str">
        <x:v>        Компенсации</x:v>
      </x:c>
      <x:c r="D39" s="190"/>
      <x:c r="E39" s="202"/>
      <x:c r="F39" s="214" t="str">
        <x:f>IF(COUNTA(D39:E39)=0,"",N(D39)-N(E39))</x:f>
      </x:c>
      <x:c r="G39" s="226" t="str">
        <x:f>IF(COUNTA(D39:E39)=0,"",SUMIFS('04_Влияние_ОПИУ'!$F$2:$F$2000,'04_Влияние_ОПИУ'!$B$2:$B$2000,"2025-01",'04_Влияние_ОПИУ'!$C$2:$C$2000,$A39,'04_Влияние_ОПИУ'!$G$2:$G$2000,"Да"))</x:f>
      </x:c>
      <x:c r="H39" s="238" t="str">
        <x:f>IF(COUNTA(D39:E39)=0,"",N(E39)+N(G39))</x:f>
      </x:c>
      <x:c r="I39" s="252" t="str">
        <x:f>IF(COUNTA(D39:E39)=0,"",N(D39)-N(H39))</x:f>
      </x:c>
      <x:c r="J39" s="260" t="str">
        <x:f>IF(COUNTA(D39:E39)=0,"",IF(ABS(I39)&lt;=0.01,IF(ABS(G39)&gt;0.01,"СОШЛОСЬ ПОСЛЕ КОРР.","СОШЛОСЬ"),IF(ABS(G39)&gt;0.01,"ЧАСТИЧНО","НЕОПРЕДЕЛЕНО")))</x:f>
      </x:c>
      <x:c r="K39" s="190"/>
      <x:c r="L39" s="202"/>
      <x:c r="M39" s="214" t="str">
        <x:f>IF(COUNTA(K39:L39)=0,"",N(K39)-N(L39))</x:f>
      </x:c>
      <x:c r="N39" s="226" t="str">
        <x:f>IF(COUNTA(K39:L39)=0,"",SUMIFS('04_Влияние_ОПИУ'!$F$2:$F$2000,'04_Влияние_ОПИУ'!$B$2:$B$2000,"2025-02",'04_Влияние_ОПИУ'!$C$2:$C$2000,$A39,'04_Влияние_ОПИУ'!$G$2:$G$2000,"Да"))</x:f>
      </x:c>
      <x:c r="O39" s="238" t="str">
        <x:f>IF(COUNTA(K39:L39)=0,"",N(L39)+N(N39))</x:f>
      </x:c>
      <x:c r="P39" s="252" t="str">
        <x:f>IF(COUNTA(K39:L39)=0,"",N(K39)-N(O39))</x:f>
      </x:c>
      <x:c r="Q39" s="260" t="str">
        <x:f>IF(COUNTA(K39:L39)=0,"",IF(ABS(P39)&lt;=0.01,IF(ABS(N39)&gt;0.01,"СОШЛОСЬ ПОСЛЕ КОРР.","СОШЛОСЬ"),IF(ABS(N39)&gt;0.01,"ЧАСТИЧНО","НЕОПРЕДЕЛЕНО")))</x:f>
      </x:c>
      <x:c r="R39" s="190"/>
      <x:c r="S39" s="202"/>
      <x:c r="T39" s="214" t="str">
        <x:f>IF(COUNTA(R39:S39)=0,"",N(R39)-N(S39))</x:f>
      </x:c>
      <x:c r="U39" s="226" t="str">
        <x:f>IF(COUNTA(R39:S39)=0,"",SUMIFS('04_Влияние_ОПИУ'!$F$2:$F$2000,'04_Влияние_ОПИУ'!$B$2:$B$2000,"2025-03",'04_Влияние_ОПИУ'!$C$2:$C$2000,$A39,'04_Влияние_ОПИУ'!$G$2:$G$2000,"Да"))</x:f>
      </x:c>
      <x:c r="V39" s="238" t="str">
        <x:f>IF(COUNTA(R39:S39)=0,"",N(S39)+N(U39))</x:f>
      </x:c>
      <x:c r="W39" s="252" t="str">
        <x:f>IF(COUNTA(R39:S39)=0,"",N(R39)-N(V39))</x:f>
      </x:c>
      <x:c r="X39" s="260" t="str">
        <x:f>IF(COUNTA(R39:S39)=0,"",IF(ABS(W39)&lt;=0.01,IF(ABS(U39)&gt;0.01,"СОШЛОСЬ ПОСЛЕ КОРР.","СОШЛОСЬ"),IF(ABS(U39)&gt;0.01,"ЧАСТИЧНО","НЕОПРЕДЕЛЕНО")))</x:f>
      </x:c>
      <x:c r="Y39" s="190"/>
      <x:c r="Z39" s="202"/>
      <x:c r="AA39" s="214" t="str">
        <x:f>IF(COUNTA(Y39:Z39)=0,"",N(Y39)-N(Z39))</x:f>
      </x:c>
      <x:c r="AB39" s="226" t="str">
        <x:f>IF(COUNTA(Y39:Z39)=0,"",SUMIFS('04_Влияние_ОПИУ'!$F$2:$F$2000,'04_Влияние_ОПИУ'!$B$2:$B$2000,"2025-04",'04_Влияние_ОПИУ'!$C$2:$C$2000,$A39,'04_Влияние_ОПИУ'!$G$2:$G$2000,"Да"))</x:f>
      </x:c>
      <x:c r="AC39" s="238" t="str">
        <x:f>IF(COUNTA(Y39:Z39)=0,"",N(Z39)+N(AB39))</x:f>
      </x:c>
      <x:c r="AD39" s="252" t="str">
        <x:f>IF(COUNTA(Y39:Z39)=0,"",N(Y39)-N(AC39))</x:f>
      </x:c>
      <x:c r="AE39" s="260" t="str">
        <x:f>IF(COUNTA(Y39:Z39)=0,"",IF(ABS(AD39)&lt;=0.01,IF(ABS(AB39)&gt;0.01,"СОШЛОСЬ ПОСЛЕ КОРР.","СОШЛОСЬ"),IF(ABS(AB39)&gt;0.01,"ЧАСТИЧНО","НЕОПРЕДЕЛЕНО")))</x:f>
      </x:c>
      <x:c r="AF39" s="190"/>
      <x:c r="AG39" s="202"/>
      <x:c r="AH39" s="214" t="str">
        <x:f>IF(COUNTA(AF39:AG39)=0,"",N(AF39)-N(AG39))</x:f>
      </x:c>
      <x:c r="AI39" s="226" t="str">
        <x:f>IF(COUNTA(AF39:AG39)=0,"",SUMIFS('04_Влияние_ОПИУ'!$F$2:$F$2000,'04_Влияние_ОПИУ'!$B$2:$B$2000,"2025-05",'04_Влияние_ОПИУ'!$C$2:$C$2000,$A39,'04_Влияние_ОПИУ'!$G$2:$G$2000,"Да"))</x:f>
      </x:c>
      <x:c r="AJ39" s="238" t="str">
        <x:f>IF(COUNTA(AF39:AG39)=0,"",N(AG39)+N(AI39))</x:f>
      </x:c>
      <x:c r="AK39" s="252" t="str">
        <x:f>IF(COUNTA(AF39:AG39)=0,"",N(AF39)-N(AJ39))</x:f>
      </x:c>
      <x:c r="AL39" s="260" t="str">
        <x:f>IF(COUNTA(AF39:AG39)=0,"",IF(ABS(AK39)&lt;=0.01,IF(ABS(AI39)&gt;0.01,"СОШЛОСЬ ПОСЛЕ КОРР.","СОШЛОСЬ"),IF(ABS(AI39)&gt;0.01,"ЧАСТИЧНО","НЕОПРЕДЕЛЕНО")))</x:f>
      </x:c>
      <x:c r="AM39" s="190"/>
      <x:c r="AN39" s="202"/>
      <x:c r="AO39" s="214" t="str">
        <x:f>IF(COUNTA(AM39:AN39)=0,"",N(AM39)-N(AN39))</x:f>
      </x:c>
      <x:c r="AP39" s="226" t="str">
        <x:f>IF(COUNTA(AM39:AN39)=0,"",SUMIFS('04_Влияние_ОПИУ'!$F$2:$F$2000,'04_Влияние_ОПИУ'!$B$2:$B$2000,"2025-06",'04_Влияние_ОПИУ'!$C$2:$C$2000,$A39,'04_Влияние_ОПИУ'!$G$2:$G$2000,"Да"))</x:f>
      </x:c>
      <x:c r="AQ39" s="238" t="str">
        <x:f>IF(COUNTA(AM39:AN39)=0,"",N(AN39)+N(AP39))</x:f>
      </x:c>
      <x:c r="AR39" s="252" t="str">
        <x:f>IF(COUNTA(AM39:AN39)=0,"",N(AM39)-N(AQ39))</x:f>
      </x:c>
      <x:c r="AS39" s="260" t="str">
        <x:f>IF(COUNTA(AM39:AN39)=0,"",IF(ABS(AR39)&lt;=0.01,IF(ABS(AP39)&gt;0.01,"СОШЛОСЬ ПОСЛЕ КОРР.","СОШЛОСЬ"),IF(ABS(AP39)&gt;0.01,"ЧАСТИЧНО","НЕОПРЕДЕЛЕНО")))</x:f>
      </x:c>
      <x:c r="AT39" s="190"/>
      <x:c r="AU39" s="202"/>
      <x:c r="AV39" s="214" t="str">
        <x:f>IF(COUNTA(AT39:AU39)=0,"",N(AT39)-N(AU39))</x:f>
      </x:c>
      <x:c r="AW39" s="226" t="str">
        <x:f>IF(COUNTA(AT39:AU39)=0,"",SUMIFS('04_Влияние_ОПИУ'!$F$2:$F$2000,'04_Влияние_ОПИУ'!$B$2:$B$2000,"2025-07",'04_Влияние_ОПИУ'!$C$2:$C$2000,$A39,'04_Влияние_ОПИУ'!$G$2:$G$2000,"Да"))</x:f>
      </x:c>
      <x:c r="AX39" s="238" t="str">
        <x:f>IF(COUNTA(AT39:AU39)=0,"",N(AU39)+N(AW39))</x:f>
      </x:c>
      <x:c r="AY39" s="252" t="str">
        <x:f>IF(COUNTA(AT39:AU39)=0,"",N(AT39)-N(AX39))</x:f>
      </x:c>
      <x:c r="AZ39" s="260" t="str">
        <x:f>IF(COUNTA(AT39:AU39)=0,"",IF(ABS(AY39)&lt;=0.01,IF(ABS(AW39)&gt;0.01,"СОШЛОСЬ ПОСЛЕ КОРР.","СОШЛОСЬ"),IF(ABS(AW39)&gt;0.01,"ЧАСТИЧНО","НЕОПРЕДЕЛЕНО")))</x:f>
      </x:c>
      <x:c r="BA39" s="190"/>
      <x:c r="BB39" s="202"/>
      <x:c r="BC39" s="214" t="str">
        <x:f>IF(COUNTA(BA39:BB39)=0,"",N(BA39)-N(BB39))</x:f>
      </x:c>
      <x:c r="BD39" s="226" t="str">
        <x:f>IF(COUNTA(BA39:BB39)=0,"",SUMIFS('04_Влияние_ОПИУ'!$F$2:$F$2000,'04_Влияние_ОПИУ'!$B$2:$B$2000,"2025-08",'04_Влияние_ОПИУ'!$C$2:$C$2000,$A39,'04_Влияние_ОПИУ'!$G$2:$G$2000,"Да"))</x:f>
      </x:c>
      <x:c r="BE39" s="238" t="str">
        <x:f>IF(COUNTA(BA39:BB39)=0,"",N(BB39)+N(BD39))</x:f>
      </x:c>
      <x:c r="BF39" s="252" t="str">
        <x:f>IF(COUNTA(BA39:BB39)=0,"",N(BA39)-N(BE39))</x:f>
      </x:c>
      <x:c r="BG39" s="260" t="str">
        <x:f>IF(COUNTA(BA39:BB39)=0,"",IF(ABS(BF39)&lt;=0.01,IF(ABS(BD39)&gt;0.01,"СОШЛОСЬ ПОСЛЕ КОРР.","СОШЛОСЬ"),IF(ABS(BD39)&gt;0.01,"ЧАСТИЧНО","НЕОПРЕДЕЛЕНО")))</x:f>
      </x:c>
      <x:c r="BH39" s="190"/>
      <x:c r="BI39" s="202"/>
      <x:c r="BJ39" s="214" t="str">
        <x:f>IF(COUNTA(BH39:BI39)=0,"",N(BH39)-N(BI39))</x:f>
      </x:c>
      <x:c r="BK39" s="226" t="str">
        <x:f>IF(COUNTA(BH39:BI39)=0,"",SUMIFS('04_Влияние_ОПИУ'!$F$2:$F$2000,'04_Влияние_ОПИУ'!$B$2:$B$2000,"2025-09",'04_Влияние_ОПИУ'!$C$2:$C$2000,$A39,'04_Влияние_ОПИУ'!$G$2:$G$2000,"Да"))</x:f>
      </x:c>
      <x:c r="BL39" s="238" t="str">
        <x:f>IF(COUNTA(BH39:BI39)=0,"",N(BI39)+N(BK39))</x:f>
      </x:c>
      <x:c r="BM39" s="252" t="str">
        <x:f>IF(COUNTA(BH39:BI39)=0,"",N(BH39)-N(BL39))</x:f>
      </x:c>
      <x:c r="BN39" s="260" t="str">
        <x:f>IF(COUNTA(BH39:BI39)=0,"",IF(ABS(BM39)&lt;=0.01,IF(ABS(BK39)&gt;0.01,"СОШЛОСЬ ПОСЛЕ КОРР.","СОШЛОСЬ"),IF(ABS(BK39)&gt;0.01,"ЧАСТИЧНО","НЕОПРЕДЕЛЕНО")))</x:f>
      </x:c>
      <x:c r="BO39" s="190"/>
      <x:c r="BP39" s="202"/>
      <x:c r="BQ39" s="214" t="str">
        <x:f>IF(COUNTA(BO39:BP39)=0,"",N(BO39)-N(BP39))</x:f>
      </x:c>
      <x:c r="BR39" s="226" t="str">
        <x:f>IF(COUNTA(BO39:BP39)=0,"",SUMIFS('04_Влияние_ОПИУ'!$F$2:$F$2000,'04_Влияние_ОПИУ'!$B$2:$B$2000,"2025-10",'04_Влияние_ОПИУ'!$C$2:$C$2000,$A39,'04_Влияние_ОПИУ'!$G$2:$G$2000,"Да"))</x:f>
      </x:c>
      <x:c r="BS39" s="238" t="str">
        <x:f>IF(COUNTA(BO39:BP39)=0,"",N(BP39)+N(BR39))</x:f>
      </x:c>
      <x:c r="BT39" s="252" t="str">
        <x:f>IF(COUNTA(BO39:BP39)=0,"",N(BO39)-N(BS39))</x:f>
      </x:c>
      <x:c r="BU39" s="260" t="str">
        <x:f>IF(COUNTA(BO39:BP39)=0,"",IF(ABS(BT39)&lt;=0.01,IF(ABS(BR39)&gt;0.01,"СОШЛОСЬ ПОСЛЕ КОРР.","СОШЛОСЬ"),IF(ABS(BR39)&gt;0.01,"ЧАСТИЧНО","НЕОПРЕДЕЛЕНО")))</x:f>
      </x:c>
      <x:c r="BV39" s="190"/>
      <x:c r="BW39" s="202"/>
      <x:c r="BX39" s="214" t="str">
        <x:f>IF(COUNTA(BV39:BW39)=0,"",N(BV39)-N(BW39))</x:f>
      </x:c>
      <x:c r="BY39" s="226" t="str">
        <x:f>IF(COUNTA(BV39:BW39)=0,"",SUMIFS('04_Влияние_ОПИУ'!$F$2:$F$2000,'04_Влияние_ОПИУ'!$B$2:$B$2000,"2025-11",'04_Влияние_ОПИУ'!$C$2:$C$2000,$A39,'04_Влияние_ОПИУ'!$G$2:$G$2000,"Да"))</x:f>
      </x:c>
      <x:c r="BZ39" s="238" t="str">
        <x:f>IF(COUNTA(BV39:BW39)=0,"",N(BW39)+N(BY39))</x:f>
      </x:c>
      <x:c r="CA39" s="252" t="str">
        <x:f>IF(COUNTA(BV39:BW39)=0,"",N(BV39)-N(BZ39))</x:f>
      </x:c>
      <x:c r="CB39" s="260" t="str">
        <x:f>IF(COUNTA(BV39:BW39)=0,"",IF(ABS(CA39)&lt;=0.01,IF(ABS(BY39)&gt;0.01,"СОШЛОСЬ ПОСЛЕ КОРР.","СОШЛОСЬ"),IF(ABS(BY39)&gt;0.01,"ЧАСТИЧНО","НЕОПРЕДЕЛЕНО")))</x:f>
      </x:c>
      <x:c r="CC39" s="190"/>
      <x:c r="CD39" s="202"/>
      <x:c r="CE39" s="214" t="str">
        <x:f>IF(COUNTA(CC39:CD39)=0,"",N(CC39)-N(CD39))</x:f>
      </x:c>
      <x:c r="CF39" s="226" t="str">
        <x:f>IF(COUNTA(CC39:CD39)=0,"",SUMIFS('04_Влияние_ОПИУ'!$F$2:$F$2000,'04_Влияние_ОПИУ'!$B$2:$B$2000,"2025-12",'04_Влияние_ОПИУ'!$C$2:$C$2000,$A39,'04_Влияние_ОПИУ'!$G$2:$G$2000,"Да"))</x:f>
      </x:c>
      <x:c r="CG39" s="238" t="str">
        <x:f>IF(COUNTA(CC39:CD39)=0,"",N(CD39)+N(CF39))</x:f>
      </x:c>
      <x:c r="CH39" s="252" t="str">
        <x:f>IF(COUNTA(CC39:CD39)=0,"",N(CC39)-N(CG39))</x:f>
      </x:c>
      <x:c r="CI39" s="260" t="str">
        <x:f>IF(COUNTA(CC39:CD39)=0,"",IF(ABS(CH39)&lt;=0.01,IF(ABS(CF39)&gt;0.01,"СОШЛОСЬ ПОСЛЕ КОРР.","СОШЛОСЬ"),IF(ABS(CF39)&gt;0.01,"ЧАСТИЧНО","НЕОПРЕДЕЛЕНО")))</x:f>
      </x:c>
    </x:row>
    <x:row r="40">
      <x:c r="A40" s="166" t="str">
        <x:v>R035</x:v>
      </x:c>
      <x:c r="B40" s="166" t="str">
        <x:v>        НДФЛ</x:v>
      </x:c>
      <x:c r="C40" s="170" t="str">
        <x:v>        НДФЛ</x:v>
      </x:c>
      <x:c r="D40" s="190"/>
      <x:c r="E40" s="202"/>
      <x:c r="F40" s="214" t="str">
        <x:f>IF(COUNTA(D40:E40)=0,"",N(D40)-N(E40))</x:f>
      </x:c>
      <x:c r="G40" s="226" t="str">
        <x:f>IF(COUNTA(D40:E40)=0,"",SUMIFS('04_Влияние_ОПИУ'!$F$2:$F$2000,'04_Влияние_ОПИУ'!$B$2:$B$2000,"2025-01",'04_Влияние_ОПИУ'!$C$2:$C$2000,$A40,'04_Влияние_ОПИУ'!$G$2:$G$2000,"Да"))</x:f>
      </x:c>
      <x:c r="H40" s="238" t="str">
        <x:f>IF(COUNTA(D40:E40)=0,"",N(E40)+N(G40))</x:f>
      </x:c>
      <x:c r="I40" s="252" t="str">
        <x:f>IF(COUNTA(D40:E40)=0,"",N(D40)-N(H40))</x:f>
      </x:c>
      <x:c r="J40" s="260" t="str">
        <x:f>IF(COUNTA(D40:E40)=0,"",IF(ABS(I40)&lt;=0.01,IF(ABS(G40)&gt;0.01,"СОШЛОСЬ ПОСЛЕ КОРР.","СОШЛОСЬ"),IF(ABS(G40)&gt;0.01,"ЧАСТИЧНО","НЕОПРЕДЕЛЕНО")))</x:f>
      </x:c>
      <x:c r="K40" s="190"/>
      <x:c r="L40" s="202"/>
      <x:c r="M40" s="214" t="str">
        <x:f>IF(COUNTA(K40:L40)=0,"",N(K40)-N(L40))</x:f>
      </x:c>
      <x:c r="N40" s="226" t="str">
        <x:f>IF(COUNTA(K40:L40)=0,"",SUMIFS('04_Влияние_ОПИУ'!$F$2:$F$2000,'04_Влияние_ОПИУ'!$B$2:$B$2000,"2025-02",'04_Влияние_ОПИУ'!$C$2:$C$2000,$A40,'04_Влияние_ОПИУ'!$G$2:$G$2000,"Да"))</x:f>
      </x:c>
      <x:c r="O40" s="238" t="str">
        <x:f>IF(COUNTA(K40:L40)=0,"",N(L40)+N(N40))</x:f>
      </x:c>
      <x:c r="P40" s="252" t="str">
        <x:f>IF(COUNTA(K40:L40)=0,"",N(K40)-N(O40))</x:f>
      </x:c>
      <x:c r="Q40" s="260" t="str">
        <x:f>IF(COUNTA(K40:L40)=0,"",IF(ABS(P40)&lt;=0.01,IF(ABS(N40)&gt;0.01,"СОШЛОСЬ ПОСЛЕ КОРР.","СОШЛОСЬ"),IF(ABS(N40)&gt;0.01,"ЧАСТИЧНО","НЕОПРЕДЕЛЕНО")))</x:f>
      </x:c>
      <x:c r="R40" s="190"/>
      <x:c r="S40" s="202"/>
      <x:c r="T40" s="214" t="str">
        <x:f>IF(COUNTA(R40:S40)=0,"",N(R40)-N(S40))</x:f>
      </x:c>
      <x:c r="U40" s="226" t="str">
        <x:f>IF(COUNTA(R40:S40)=0,"",SUMIFS('04_Влияние_ОПИУ'!$F$2:$F$2000,'04_Влияние_ОПИУ'!$B$2:$B$2000,"2025-03",'04_Влияние_ОПИУ'!$C$2:$C$2000,$A40,'04_Влияние_ОПИУ'!$G$2:$G$2000,"Да"))</x:f>
      </x:c>
      <x:c r="V40" s="238" t="str">
        <x:f>IF(COUNTA(R40:S40)=0,"",N(S40)+N(U40))</x:f>
      </x:c>
      <x:c r="W40" s="252" t="str">
        <x:f>IF(COUNTA(R40:S40)=0,"",N(R40)-N(V40))</x:f>
      </x:c>
      <x:c r="X40" s="260" t="str">
        <x:f>IF(COUNTA(R40:S40)=0,"",IF(ABS(W40)&lt;=0.01,IF(ABS(U40)&gt;0.01,"СОШЛОСЬ ПОСЛЕ КОРР.","СОШЛОСЬ"),IF(ABS(U40)&gt;0.01,"ЧАСТИЧНО","НЕОПРЕДЕЛЕНО")))</x:f>
      </x:c>
      <x:c r="Y40" s="190"/>
      <x:c r="Z40" s="202"/>
      <x:c r="AA40" s="214" t="str">
        <x:f>IF(COUNTA(Y40:Z40)=0,"",N(Y40)-N(Z40))</x:f>
      </x:c>
      <x:c r="AB40" s="226" t="str">
        <x:f>IF(COUNTA(Y40:Z40)=0,"",SUMIFS('04_Влияние_ОПИУ'!$F$2:$F$2000,'04_Влияние_ОПИУ'!$B$2:$B$2000,"2025-04",'04_Влияние_ОПИУ'!$C$2:$C$2000,$A40,'04_Влияние_ОПИУ'!$G$2:$G$2000,"Да"))</x:f>
      </x:c>
      <x:c r="AC40" s="238" t="str">
        <x:f>IF(COUNTA(Y40:Z40)=0,"",N(Z40)+N(AB40))</x:f>
      </x:c>
      <x:c r="AD40" s="252" t="str">
        <x:f>IF(COUNTA(Y40:Z40)=0,"",N(Y40)-N(AC40))</x:f>
      </x:c>
      <x:c r="AE40" s="260" t="str">
        <x:f>IF(COUNTA(Y40:Z40)=0,"",IF(ABS(AD40)&lt;=0.01,IF(ABS(AB40)&gt;0.01,"СОШЛОСЬ ПОСЛЕ КОРР.","СОШЛОСЬ"),IF(ABS(AB40)&gt;0.01,"ЧАСТИЧНО","НЕОПРЕДЕЛЕНО")))</x:f>
      </x:c>
      <x:c r="AF40" s="190"/>
      <x:c r="AG40" s="202"/>
      <x:c r="AH40" s="214" t="str">
        <x:f>IF(COUNTA(AF40:AG40)=0,"",N(AF40)-N(AG40))</x:f>
      </x:c>
      <x:c r="AI40" s="226" t="str">
        <x:f>IF(COUNTA(AF40:AG40)=0,"",SUMIFS('04_Влияние_ОПИУ'!$F$2:$F$2000,'04_Влияние_ОПИУ'!$B$2:$B$2000,"2025-05",'04_Влияние_ОПИУ'!$C$2:$C$2000,$A40,'04_Влияние_ОПИУ'!$G$2:$G$2000,"Да"))</x:f>
      </x:c>
      <x:c r="AJ40" s="238" t="str">
        <x:f>IF(COUNTA(AF40:AG40)=0,"",N(AG40)+N(AI40))</x:f>
      </x:c>
      <x:c r="AK40" s="252" t="str">
        <x:f>IF(COUNTA(AF40:AG40)=0,"",N(AF40)-N(AJ40))</x:f>
      </x:c>
      <x:c r="AL40" s="260" t="str">
        <x:f>IF(COUNTA(AF40:AG40)=0,"",IF(ABS(AK40)&lt;=0.01,IF(ABS(AI40)&gt;0.01,"СОШЛОСЬ ПОСЛЕ КОРР.","СОШЛОСЬ"),IF(ABS(AI40)&gt;0.01,"ЧАСТИЧНО","НЕОПРЕДЕЛЕНО")))</x:f>
      </x:c>
      <x:c r="AM40" s="190"/>
      <x:c r="AN40" s="202"/>
      <x:c r="AO40" s="214" t="str">
        <x:f>IF(COUNTA(AM40:AN40)=0,"",N(AM40)-N(AN40))</x:f>
      </x:c>
      <x:c r="AP40" s="226" t="str">
        <x:f>IF(COUNTA(AM40:AN40)=0,"",SUMIFS('04_Влияние_ОПИУ'!$F$2:$F$2000,'04_Влияние_ОПИУ'!$B$2:$B$2000,"2025-06",'04_Влияние_ОПИУ'!$C$2:$C$2000,$A40,'04_Влияние_ОПИУ'!$G$2:$G$2000,"Да"))</x:f>
      </x:c>
      <x:c r="AQ40" s="238" t="str">
        <x:f>IF(COUNTA(AM40:AN40)=0,"",N(AN40)+N(AP40))</x:f>
      </x:c>
      <x:c r="AR40" s="252" t="str">
        <x:f>IF(COUNTA(AM40:AN40)=0,"",N(AM40)-N(AQ40))</x:f>
      </x:c>
      <x:c r="AS40" s="260" t="str">
        <x:f>IF(COUNTA(AM40:AN40)=0,"",IF(ABS(AR40)&lt;=0.01,IF(ABS(AP40)&gt;0.01,"СОШЛОСЬ ПОСЛЕ КОРР.","СОШЛОСЬ"),IF(ABS(AP40)&gt;0.01,"ЧАСТИЧНО","НЕОПРЕДЕЛЕНО")))</x:f>
      </x:c>
      <x:c r="AT40" s="190"/>
      <x:c r="AU40" s="202"/>
      <x:c r="AV40" s="214" t="str">
        <x:f>IF(COUNTA(AT40:AU40)=0,"",N(AT40)-N(AU40))</x:f>
      </x:c>
      <x:c r="AW40" s="226" t="str">
        <x:f>IF(COUNTA(AT40:AU40)=0,"",SUMIFS('04_Влияние_ОПИУ'!$F$2:$F$2000,'04_Влияние_ОПИУ'!$B$2:$B$2000,"2025-07",'04_Влияние_ОПИУ'!$C$2:$C$2000,$A40,'04_Влияние_ОПИУ'!$G$2:$G$2000,"Да"))</x:f>
      </x:c>
      <x:c r="AX40" s="238" t="str">
        <x:f>IF(COUNTA(AT40:AU40)=0,"",N(AU40)+N(AW40))</x:f>
      </x:c>
      <x:c r="AY40" s="252" t="str">
        <x:f>IF(COUNTA(AT40:AU40)=0,"",N(AT40)-N(AX40))</x:f>
      </x:c>
      <x:c r="AZ40" s="260" t="str">
        <x:f>IF(COUNTA(AT40:AU40)=0,"",IF(ABS(AY40)&lt;=0.01,IF(ABS(AW40)&gt;0.01,"СОШЛОСЬ ПОСЛЕ КОРР.","СОШЛОСЬ"),IF(ABS(AW40)&gt;0.01,"ЧАСТИЧНО","НЕОПРЕДЕЛЕНО")))</x:f>
      </x:c>
      <x:c r="BA40" s="190"/>
      <x:c r="BB40" s="202"/>
      <x:c r="BC40" s="214" t="str">
        <x:f>IF(COUNTA(BA40:BB40)=0,"",N(BA40)-N(BB40))</x:f>
      </x:c>
      <x:c r="BD40" s="226" t="str">
        <x:f>IF(COUNTA(BA40:BB40)=0,"",SUMIFS('04_Влияние_ОПИУ'!$F$2:$F$2000,'04_Влияние_ОПИУ'!$B$2:$B$2000,"2025-08",'04_Влияние_ОПИУ'!$C$2:$C$2000,$A40,'04_Влияние_ОПИУ'!$G$2:$G$2000,"Да"))</x:f>
      </x:c>
      <x:c r="BE40" s="238" t="str">
        <x:f>IF(COUNTA(BA40:BB40)=0,"",N(BB40)+N(BD40))</x:f>
      </x:c>
      <x:c r="BF40" s="252" t="str">
        <x:f>IF(COUNTA(BA40:BB40)=0,"",N(BA40)-N(BE40))</x:f>
      </x:c>
      <x:c r="BG40" s="260" t="str">
        <x:f>IF(COUNTA(BA40:BB40)=0,"",IF(ABS(BF40)&lt;=0.01,IF(ABS(BD40)&gt;0.01,"СОШЛОСЬ ПОСЛЕ КОРР.","СОШЛОСЬ"),IF(ABS(BD40)&gt;0.01,"ЧАСТИЧНО","НЕОПРЕДЕЛЕНО")))</x:f>
      </x:c>
      <x:c r="BH40" s="190"/>
      <x:c r="BI40" s="202"/>
      <x:c r="BJ40" s="214" t="str">
        <x:f>IF(COUNTA(BH40:BI40)=0,"",N(BH40)-N(BI40))</x:f>
      </x:c>
      <x:c r="BK40" s="226" t="str">
        <x:f>IF(COUNTA(BH40:BI40)=0,"",SUMIFS('04_Влияние_ОПИУ'!$F$2:$F$2000,'04_Влияние_ОПИУ'!$B$2:$B$2000,"2025-09",'04_Влияние_ОПИУ'!$C$2:$C$2000,$A40,'04_Влияние_ОПИУ'!$G$2:$G$2000,"Да"))</x:f>
      </x:c>
      <x:c r="BL40" s="238" t="str">
        <x:f>IF(COUNTA(BH40:BI40)=0,"",N(BI40)+N(BK40))</x:f>
      </x:c>
      <x:c r="BM40" s="252" t="str">
        <x:f>IF(COUNTA(BH40:BI40)=0,"",N(BH40)-N(BL40))</x:f>
      </x:c>
      <x:c r="BN40" s="260" t="str">
        <x:f>IF(COUNTA(BH40:BI40)=0,"",IF(ABS(BM40)&lt;=0.01,IF(ABS(BK40)&gt;0.01,"СОШЛОСЬ ПОСЛЕ КОРР.","СОШЛОСЬ"),IF(ABS(BK40)&gt;0.01,"ЧАСТИЧНО","НЕОПРЕДЕЛЕНО")))</x:f>
      </x:c>
      <x:c r="BO40" s="190"/>
      <x:c r="BP40" s="202"/>
      <x:c r="BQ40" s="214" t="str">
        <x:f>IF(COUNTA(BO40:BP40)=0,"",N(BO40)-N(BP40))</x:f>
      </x:c>
      <x:c r="BR40" s="226" t="str">
        <x:f>IF(COUNTA(BO40:BP40)=0,"",SUMIFS('04_Влияние_ОПИУ'!$F$2:$F$2000,'04_Влияние_ОПИУ'!$B$2:$B$2000,"2025-10",'04_Влияние_ОПИУ'!$C$2:$C$2000,$A40,'04_Влияние_ОПИУ'!$G$2:$G$2000,"Да"))</x:f>
      </x:c>
      <x:c r="BS40" s="238" t="str">
        <x:f>IF(COUNTA(BO40:BP40)=0,"",N(BP40)+N(BR40))</x:f>
      </x:c>
      <x:c r="BT40" s="252" t="str">
        <x:f>IF(COUNTA(BO40:BP40)=0,"",N(BO40)-N(BS40))</x:f>
      </x:c>
      <x:c r="BU40" s="260" t="str">
        <x:f>IF(COUNTA(BO40:BP40)=0,"",IF(ABS(BT40)&lt;=0.01,IF(ABS(BR40)&gt;0.01,"СОШЛОСЬ ПОСЛЕ КОРР.","СОШЛОСЬ"),IF(ABS(BR40)&gt;0.01,"ЧАСТИЧНО","НЕОПРЕДЕЛЕНО")))</x:f>
      </x:c>
      <x:c r="BV40" s="190"/>
      <x:c r="BW40" s="202"/>
      <x:c r="BX40" s="214" t="str">
        <x:f>IF(COUNTA(BV40:BW40)=0,"",N(BV40)-N(BW40))</x:f>
      </x:c>
      <x:c r="BY40" s="226" t="str">
        <x:f>IF(COUNTA(BV40:BW40)=0,"",SUMIFS('04_Влияние_ОПИУ'!$F$2:$F$2000,'04_Влияние_ОПИУ'!$B$2:$B$2000,"2025-11",'04_Влияние_ОПИУ'!$C$2:$C$2000,$A40,'04_Влияние_ОПИУ'!$G$2:$G$2000,"Да"))</x:f>
      </x:c>
      <x:c r="BZ40" s="238" t="str">
        <x:f>IF(COUNTA(BV40:BW40)=0,"",N(BW40)+N(BY40))</x:f>
      </x:c>
      <x:c r="CA40" s="252" t="str">
        <x:f>IF(COUNTA(BV40:BW40)=0,"",N(BV40)-N(BZ40))</x:f>
      </x:c>
      <x:c r="CB40" s="260" t="str">
        <x:f>IF(COUNTA(BV40:BW40)=0,"",IF(ABS(CA40)&lt;=0.01,IF(ABS(BY40)&gt;0.01,"СОШЛОСЬ ПОСЛЕ КОРР.","СОШЛОСЬ"),IF(ABS(BY40)&gt;0.01,"ЧАСТИЧНО","НЕОПРЕДЕЛЕНО")))</x:f>
      </x:c>
      <x:c r="CC40" s="190"/>
      <x:c r="CD40" s="202"/>
      <x:c r="CE40" s="214" t="str">
        <x:f>IF(COUNTA(CC40:CD40)=0,"",N(CC40)-N(CD40))</x:f>
      </x:c>
      <x:c r="CF40" s="226" t="str">
        <x:f>IF(COUNTA(CC40:CD40)=0,"",SUMIFS('04_Влияние_ОПИУ'!$F$2:$F$2000,'04_Влияние_ОПИУ'!$B$2:$B$2000,"2025-12",'04_Влияние_ОПИУ'!$C$2:$C$2000,$A40,'04_Влияние_ОПИУ'!$G$2:$G$2000,"Да"))</x:f>
      </x:c>
      <x:c r="CG40" s="238" t="str">
        <x:f>IF(COUNTA(CC40:CD40)=0,"",N(CD40)+N(CF40))</x:f>
      </x:c>
      <x:c r="CH40" s="252" t="str">
        <x:f>IF(COUNTA(CC40:CD40)=0,"",N(CC40)-N(CG40))</x:f>
      </x:c>
      <x:c r="CI40" s="260" t="str">
        <x:f>IF(COUNTA(CC40:CD40)=0,"",IF(ABS(CH40)&lt;=0.01,IF(ABS(CF40)&gt;0.01,"СОШЛОСЬ ПОСЛЕ КОРР.","СОШЛОСЬ"),IF(ABS(CF40)&gt;0.01,"ЧАСТИЧНО","НЕОПРЕДЕЛЕНО")))</x:f>
      </x:c>
    </x:row>
    <x:row r="41">
      <x:c r="A41" s="166" t="str">
        <x:v>R036</x:v>
      </x:c>
      <x:c r="B41" s="166" t="str">
        <x:v>        ФЗП</x:v>
      </x:c>
      <x:c r="C41" s="170" t="str">
        <x:v>        &lt;пустое значение&gt;</x:v>
      </x:c>
      <x:c r="D41" s="190"/>
      <x:c r="E41" s="202"/>
      <x:c r="F41" s="214" t="str">
        <x:f>IF(COUNTA(D41:E41)=0,"",N(D41)-N(E41))</x:f>
      </x:c>
      <x:c r="G41" s="226" t="str">
        <x:f>IF(COUNTA(D41:E41)=0,"",SUMIFS('04_Влияние_ОПИУ'!$F$2:$F$2000,'04_Влияние_ОПИУ'!$B$2:$B$2000,"2025-01",'04_Влияние_ОПИУ'!$C$2:$C$2000,$A41,'04_Влияние_ОПИУ'!$G$2:$G$2000,"Да"))</x:f>
      </x:c>
      <x:c r="H41" s="238" t="str">
        <x:f>IF(COUNTA(D41:E41)=0,"",N(E41)+N(G41))</x:f>
      </x:c>
      <x:c r="I41" s="252" t="str">
        <x:f>IF(COUNTA(D41:E41)=0,"",N(D41)-N(H41))</x:f>
      </x:c>
      <x:c r="J41" s="260" t="str">
        <x:f>IF(COUNTA(D41:E41)=0,"",IF(ABS(I41)&lt;=0.01,IF(ABS(G41)&gt;0.01,"СОШЛОСЬ ПОСЛЕ КОРР.","СОШЛОСЬ"),IF(ABS(G41)&gt;0.01,"ЧАСТИЧНО","НЕОПРЕДЕЛЕНО")))</x:f>
      </x:c>
      <x:c r="K41" s="190"/>
      <x:c r="L41" s="202"/>
      <x:c r="M41" s="214" t="str">
        <x:f>IF(COUNTA(K41:L41)=0,"",N(K41)-N(L41))</x:f>
      </x:c>
      <x:c r="N41" s="226" t="str">
        <x:f>IF(COUNTA(K41:L41)=0,"",SUMIFS('04_Влияние_ОПИУ'!$F$2:$F$2000,'04_Влияние_ОПИУ'!$B$2:$B$2000,"2025-02",'04_Влияние_ОПИУ'!$C$2:$C$2000,$A41,'04_Влияние_ОПИУ'!$G$2:$G$2000,"Да"))</x:f>
      </x:c>
      <x:c r="O41" s="238" t="str">
        <x:f>IF(COUNTA(K41:L41)=0,"",N(L41)+N(N41))</x:f>
      </x:c>
      <x:c r="P41" s="252" t="str">
        <x:f>IF(COUNTA(K41:L41)=0,"",N(K41)-N(O41))</x:f>
      </x:c>
      <x:c r="Q41" s="260" t="str">
        <x:f>IF(COUNTA(K41:L41)=0,"",IF(ABS(P41)&lt;=0.01,IF(ABS(N41)&gt;0.01,"СОШЛОСЬ ПОСЛЕ КОРР.","СОШЛОСЬ"),IF(ABS(N41)&gt;0.01,"ЧАСТИЧНО","НЕОПРЕДЕЛЕНО")))</x:f>
      </x:c>
      <x:c r="R41" s="190"/>
      <x:c r="S41" s="202"/>
      <x:c r="T41" s="214" t="str">
        <x:f>IF(COUNTA(R41:S41)=0,"",N(R41)-N(S41))</x:f>
      </x:c>
      <x:c r="U41" s="226" t="str">
        <x:f>IF(COUNTA(R41:S41)=0,"",SUMIFS('04_Влияние_ОПИУ'!$F$2:$F$2000,'04_Влияние_ОПИУ'!$B$2:$B$2000,"2025-03",'04_Влияние_ОПИУ'!$C$2:$C$2000,$A41,'04_Влияние_ОПИУ'!$G$2:$G$2000,"Да"))</x:f>
      </x:c>
      <x:c r="V41" s="238" t="str">
        <x:f>IF(COUNTA(R41:S41)=0,"",N(S41)+N(U41))</x:f>
      </x:c>
      <x:c r="W41" s="252" t="str">
        <x:f>IF(COUNTA(R41:S41)=0,"",N(R41)-N(V41))</x:f>
      </x:c>
      <x:c r="X41" s="260" t="str">
        <x:f>IF(COUNTA(R41:S41)=0,"",IF(ABS(W41)&lt;=0.01,IF(ABS(U41)&gt;0.01,"СОШЛОСЬ ПОСЛЕ КОРР.","СОШЛОСЬ"),IF(ABS(U41)&gt;0.01,"ЧАСТИЧНО","НЕОПРЕДЕЛЕНО")))</x:f>
      </x:c>
      <x:c r="Y41" s="190"/>
      <x:c r="Z41" s="202"/>
      <x:c r="AA41" s="214" t="str">
        <x:f>IF(COUNTA(Y41:Z41)=0,"",N(Y41)-N(Z41))</x:f>
      </x:c>
      <x:c r="AB41" s="226" t="str">
        <x:f>IF(COUNTA(Y41:Z41)=0,"",SUMIFS('04_Влияние_ОПИУ'!$F$2:$F$2000,'04_Влияние_ОПИУ'!$B$2:$B$2000,"2025-04",'04_Влияние_ОПИУ'!$C$2:$C$2000,$A41,'04_Влияние_ОПИУ'!$G$2:$G$2000,"Да"))</x:f>
      </x:c>
      <x:c r="AC41" s="238" t="str">
        <x:f>IF(COUNTA(Y41:Z41)=0,"",N(Z41)+N(AB41))</x:f>
      </x:c>
      <x:c r="AD41" s="252" t="str">
        <x:f>IF(COUNTA(Y41:Z41)=0,"",N(Y41)-N(AC41))</x:f>
      </x:c>
      <x:c r="AE41" s="260" t="str">
        <x:f>IF(COUNTA(Y41:Z41)=0,"",IF(ABS(AD41)&lt;=0.01,IF(ABS(AB41)&gt;0.01,"СОШЛОСЬ ПОСЛЕ КОРР.","СОШЛОСЬ"),IF(ABS(AB41)&gt;0.01,"ЧАСТИЧНО","НЕОПРЕДЕЛЕНО")))</x:f>
      </x:c>
      <x:c r="AF41" s="190"/>
      <x:c r="AG41" s="202"/>
      <x:c r="AH41" s="214" t="str">
        <x:f>IF(COUNTA(AF41:AG41)=0,"",N(AF41)-N(AG41))</x:f>
      </x:c>
      <x:c r="AI41" s="226" t="str">
        <x:f>IF(COUNTA(AF41:AG41)=0,"",SUMIFS('04_Влияние_ОПИУ'!$F$2:$F$2000,'04_Влияние_ОПИУ'!$B$2:$B$2000,"2025-05",'04_Влияние_ОПИУ'!$C$2:$C$2000,$A41,'04_Влияние_ОПИУ'!$G$2:$G$2000,"Да"))</x:f>
      </x:c>
      <x:c r="AJ41" s="238" t="str">
        <x:f>IF(COUNTA(AF41:AG41)=0,"",N(AG41)+N(AI41))</x:f>
      </x:c>
      <x:c r="AK41" s="252" t="str">
        <x:f>IF(COUNTA(AF41:AG41)=0,"",N(AF41)-N(AJ41))</x:f>
      </x:c>
      <x:c r="AL41" s="260" t="str">
        <x:f>IF(COUNTA(AF41:AG41)=0,"",IF(ABS(AK41)&lt;=0.01,IF(ABS(AI41)&gt;0.01,"СОШЛОСЬ ПОСЛЕ КОРР.","СОШЛОСЬ"),IF(ABS(AI41)&gt;0.01,"ЧАСТИЧНО","НЕОПРЕДЕЛЕНО")))</x:f>
      </x:c>
      <x:c r="AM41" s="190"/>
      <x:c r="AN41" s="202"/>
      <x:c r="AO41" s="214" t="str">
        <x:f>IF(COUNTA(AM41:AN41)=0,"",N(AM41)-N(AN41))</x:f>
      </x:c>
      <x:c r="AP41" s="226" t="str">
        <x:f>IF(COUNTA(AM41:AN41)=0,"",SUMIFS('04_Влияние_ОПИУ'!$F$2:$F$2000,'04_Влияние_ОПИУ'!$B$2:$B$2000,"2025-06",'04_Влияние_ОПИУ'!$C$2:$C$2000,$A41,'04_Влияние_ОПИУ'!$G$2:$G$2000,"Да"))</x:f>
      </x:c>
      <x:c r="AQ41" s="238" t="str">
        <x:f>IF(COUNTA(AM41:AN41)=0,"",N(AN41)+N(AP41))</x:f>
      </x:c>
      <x:c r="AR41" s="252" t="str">
        <x:f>IF(COUNTA(AM41:AN41)=0,"",N(AM41)-N(AQ41))</x:f>
      </x:c>
      <x:c r="AS41" s="260" t="str">
        <x:f>IF(COUNTA(AM41:AN41)=0,"",IF(ABS(AR41)&lt;=0.01,IF(ABS(AP41)&gt;0.01,"СОШЛОСЬ ПОСЛЕ КОРР.","СОШЛОСЬ"),IF(ABS(AP41)&gt;0.01,"ЧАСТИЧНО","НЕОПРЕДЕЛЕНО")))</x:f>
      </x:c>
      <x:c r="AT41" s="190"/>
      <x:c r="AU41" s="202"/>
      <x:c r="AV41" s="214" t="str">
        <x:f>IF(COUNTA(AT41:AU41)=0,"",N(AT41)-N(AU41))</x:f>
      </x:c>
      <x:c r="AW41" s="226" t="str">
        <x:f>IF(COUNTA(AT41:AU41)=0,"",SUMIFS('04_Влияние_ОПИУ'!$F$2:$F$2000,'04_Влияние_ОПИУ'!$B$2:$B$2000,"2025-07",'04_Влияние_ОПИУ'!$C$2:$C$2000,$A41,'04_Влияние_ОПИУ'!$G$2:$G$2000,"Да"))</x:f>
      </x:c>
      <x:c r="AX41" s="238" t="str">
        <x:f>IF(COUNTA(AT41:AU41)=0,"",N(AU41)+N(AW41))</x:f>
      </x:c>
      <x:c r="AY41" s="252" t="str">
        <x:f>IF(COUNTA(AT41:AU41)=0,"",N(AT41)-N(AX41))</x:f>
      </x:c>
      <x:c r="AZ41" s="260" t="str">
        <x:f>IF(COUNTA(AT41:AU41)=0,"",IF(ABS(AY41)&lt;=0.01,IF(ABS(AW41)&gt;0.01,"СОШЛОСЬ ПОСЛЕ КОРР.","СОШЛОСЬ"),IF(ABS(AW41)&gt;0.01,"ЧАСТИЧНО","НЕОПРЕДЕЛЕНО")))</x:f>
      </x:c>
      <x:c r="BA41" s="190"/>
      <x:c r="BB41" s="202"/>
      <x:c r="BC41" s="214" t="str">
        <x:f>IF(COUNTA(BA41:BB41)=0,"",N(BA41)-N(BB41))</x:f>
      </x:c>
      <x:c r="BD41" s="226" t="str">
        <x:f>IF(COUNTA(BA41:BB41)=0,"",SUMIFS('04_Влияние_ОПИУ'!$F$2:$F$2000,'04_Влияние_ОПИУ'!$B$2:$B$2000,"2025-08",'04_Влияние_ОПИУ'!$C$2:$C$2000,$A41,'04_Влияние_ОПИУ'!$G$2:$G$2000,"Да"))</x:f>
      </x:c>
      <x:c r="BE41" s="238" t="str">
        <x:f>IF(COUNTA(BA41:BB41)=0,"",N(BB41)+N(BD41))</x:f>
      </x:c>
      <x:c r="BF41" s="252" t="str">
        <x:f>IF(COUNTA(BA41:BB41)=0,"",N(BA41)-N(BE41))</x:f>
      </x:c>
      <x:c r="BG41" s="260" t="str">
        <x:f>IF(COUNTA(BA41:BB41)=0,"",IF(ABS(BF41)&lt;=0.01,IF(ABS(BD41)&gt;0.01,"СОШЛОСЬ ПОСЛЕ КОРР.","СОШЛОСЬ"),IF(ABS(BD41)&gt;0.01,"ЧАСТИЧНО","НЕОПРЕДЕЛЕНО")))</x:f>
      </x:c>
      <x:c r="BH41" s="190"/>
      <x:c r="BI41" s="202"/>
      <x:c r="BJ41" s="214" t="str">
        <x:f>IF(COUNTA(BH41:BI41)=0,"",N(BH41)-N(BI41))</x:f>
      </x:c>
      <x:c r="BK41" s="226" t="str">
        <x:f>IF(COUNTA(BH41:BI41)=0,"",SUMIFS('04_Влияние_ОПИУ'!$F$2:$F$2000,'04_Влияние_ОПИУ'!$B$2:$B$2000,"2025-09",'04_Влияние_ОПИУ'!$C$2:$C$2000,$A41,'04_Влияние_ОПИУ'!$G$2:$G$2000,"Да"))</x:f>
      </x:c>
      <x:c r="BL41" s="238" t="str">
        <x:f>IF(COUNTA(BH41:BI41)=0,"",N(BI41)+N(BK41))</x:f>
      </x:c>
      <x:c r="BM41" s="252" t="str">
        <x:f>IF(COUNTA(BH41:BI41)=0,"",N(BH41)-N(BL41))</x:f>
      </x:c>
      <x:c r="BN41" s="260" t="str">
        <x:f>IF(COUNTA(BH41:BI41)=0,"",IF(ABS(BM41)&lt;=0.01,IF(ABS(BK41)&gt;0.01,"СОШЛОСЬ ПОСЛЕ КОРР.","СОШЛОСЬ"),IF(ABS(BK41)&gt;0.01,"ЧАСТИЧНО","НЕОПРЕДЕЛЕНО")))</x:f>
      </x:c>
      <x:c r="BO41" s="190"/>
      <x:c r="BP41" s="202"/>
      <x:c r="BQ41" s="214" t="str">
        <x:f>IF(COUNTA(BO41:BP41)=0,"",N(BO41)-N(BP41))</x:f>
      </x:c>
      <x:c r="BR41" s="226" t="str">
        <x:f>IF(COUNTA(BO41:BP41)=0,"",SUMIFS('04_Влияние_ОПИУ'!$F$2:$F$2000,'04_Влияние_ОПИУ'!$B$2:$B$2000,"2025-10",'04_Влияние_ОПИУ'!$C$2:$C$2000,$A41,'04_Влияние_ОПИУ'!$G$2:$G$2000,"Да"))</x:f>
      </x:c>
      <x:c r="BS41" s="238" t="str">
        <x:f>IF(COUNTA(BO41:BP41)=0,"",N(BP41)+N(BR41))</x:f>
      </x:c>
      <x:c r="BT41" s="252" t="str">
        <x:f>IF(COUNTA(BO41:BP41)=0,"",N(BO41)-N(BS41))</x:f>
      </x:c>
      <x:c r="BU41" s="260" t="str">
        <x:f>IF(COUNTA(BO41:BP41)=0,"",IF(ABS(BT41)&lt;=0.01,IF(ABS(BR41)&gt;0.01,"СОШЛОСЬ ПОСЛЕ КОРР.","СОШЛОСЬ"),IF(ABS(BR41)&gt;0.01,"ЧАСТИЧНО","НЕОПРЕДЕЛЕНО")))</x:f>
      </x:c>
      <x:c r="BV41" s="190"/>
      <x:c r="BW41" s="202"/>
      <x:c r="BX41" s="214" t="str">
        <x:f>IF(COUNTA(BV41:BW41)=0,"",N(BV41)-N(BW41))</x:f>
      </x:c>
      <x:c r="BY41" s="226" t="str">
        <x:f>IF(COUNTA(BV41:BW41)=0,"",SUMIFS('04_Влияние_ОПИУ'!$F$2:$F$2000,'04_Влияние_ОПИУ'!$B$2:$B$2000,"2025-11",'04_Влияние_ОПИУ'!$C$2:$C$2000,$A41,'04_Влияние_ОПИУ'!$G$2:$G$2000,"Да"))</x:f>
      </x:c>
      <x:c r="BZ41" s="238" t="str">
        <x:f>IF(COUNTA(BV41:BW41)=0,"",N(BW41)+N(BY41))</x:f>
      </x:c>
      <x:c r="CA41" s="252" t="str">
        <x:f>IF(COUNTA(BV41:BW41)=0,"",N(BV41)-N(BZ41))</x:f>
      </x:c>
      <x:c r="CB41" s="260" t="str">
        <x:f>IF(COUNTA(BV41:BW41)=0,"",IF(ABS(CA41)&lt;=0.01,IF(ABS(BY41)&gt;0.01,"СОШЛОСЬ ПОСЛЕ КОРР.","СОШЛОСЬ"),IF(ABS(BY41)&gt;0.01,"ЧАСТИЧНО","НЕОПРЕДЕЛЕНО")))</x:f>
      </x:c>
      <x:c r="CC41" s="190"/>
      <x:c r="CD41" s="202"/>
      <x:c r="CE41" s="214" t="str">
        <x:f>IF(COUNTA(CC41:CD41)=0,"",N(CC41)-N(CD41))</x:f>
      </x:c>
      <x:c r="CF41" s="226" t="str">
        <x:f>IF(COUNTA(CC41:CD41)=0,"",SUMIFS('04_Влияние_ОПИУ'!$F$2:$F$2000,'04_Влияние_ОПИУ'!$B$2:$B$2000,"2025-12",'04_Влияние_ОПИУ'!$C$2:$C$2000,$A41,'04_Влияние_ОПИУ'!$G$2:$G$2000,"Да"))</x:f>
      </x:c>
      <x:c r="CG41" s="238" t="str">
        <x:f>IF(COUNTA(CC41:CD41)=0,"",N(CD41)+N(CF41))</x:f>
      </x:c>
      <x:c r="CH41" s="252" t="str">
        <x:f>IF(COUNTA(CC41:CD41)=0,"",N(CC41)-N(CG41))</x:f>
      </x:c>
      <x:c r="CI41" s="260" t="str">
        <x:f>IF(COUNTA(CC41:CD41)=0,"",IF(ABS(CH41)&lt;=0.01,IF(ABS(CF41)&gt;0.01,"СОШЛОСЬ ПОСЛЕ КОРР.","СОШЛОСЬ"),IF(ABS(CF41)&gt;0.01,"ЧАСТИЧНО","НЕОПРЕДЕЛЕНО")))</x:f>
      </x:c>
    </x:row>
    <x:row r="42">
      <x:c r="A42" s="166" t="str">
        <x:v>R037</x:v>
      </x:c>
      <x:c r="B42" s="166" t="str">
        <x:v>      Финансовые расходы</x:v>
      </x:c>
      <x:c r="C42" s="170" t="str">
        <x:v>      Финансовые расходы</x:v>
      </x:c>
      <x:c r="D42" s="190"/>
      <x:c r="E42" s="202"/>
      <x:c r="F42" s="214" t="str">
        <x:f>IF(COUNTA(D42:E42)=0,"",N(D42)-N(E42))</x:f>
      </x:c>
      <x:c r="G42" s="226" t="str">
        <x:f>IF(COUNTA(D42:E42)=0,"",SUMIFS('04_Влияние_ОПИУ'!$F$2:$F$2000,'04_Влияние_ОПИУ'!$B$2:$B$2000,"2025-01",'04_Влияние_ОПИУ'!$C$2:$C$2000,$A42,'04_Влияние_ОПИУ'!$G$2:$G$2000,"Да"))</x:f>
      </x:c>
      <x:c r="H42" s="238" t="str">
        <x:f>IF(COUNTA(D42:E42)=0,"",N(E42)+N(G42))</x:f>
      </x:c>
      <x:c r="I42" s="252" t="str">
        <x:f>IF(COUNTA(D42:E42)=0,"",N(D42)-N(H42))</x:f>
      </x:c>
      <x:c r="J42" s="260" t="str">
        <x:f>IF(COUNTA(D42:E42)=0,"",IF(ABS(I42)&lt;=0.01,IF(ABS(G42)&gt;0.01,"СОШЛОСЬ ПОСЛЕ КОРР.","СОШЛОСЬ"),IF(ABS(G42)&gt;0.01,"ЧАСТИЧНО","НЕОПРЕДЕЛЕНО")))</x:f>
      </x:c>
      <x:c r="K42" s="190"/>
      <x:c r="L42" s="202"/>
      <x:c r="M42" s="214" t="str">
        <x:f>IF(COUNTA(K42:L42)=0,"",N(K42)-N(L42))</x:f>
      </x:c>
      <x:c r="N42" s="226" t="str">
        <x:f>IF(COUNTA(K42:L42)=0,"",SUMIFS('04_Влияние_ОПИУ'!$F$2:$F$2000,'04_Влияние_ОПИУ'!$B$2:$B$2000,"2025-02",'04_Влияние_ОПИУ'!$C$2:$C$2000,$A42,'04_Влияние_ОПИУ'!$G$2:$G$2000,"Да"))</x:f>
      </x:c>
      <x:c r="O42" s="238" t="str">
        <x:f>IF(COUNTA(K42:L42)=0,"",N(L42)+N(N42))</x:f>
      </x:c>
      <x:c r="P42" s="252" t="str">
        <x:f>IF(COUNTA(K42:L42)=0,"",N(K42)-N(O42))</x:f>
      </x:c>
      <x:c r="Q42" s="260" t="str">
        <x:f>IF(COUNTA(K42:L42)=0,"",IF(ABS(P42)&lt;=0.01,IF(ABS(N42)&gt;0.01,"СОШЛОСЬ ПОСЛЕ КОРР.","СОШЛОСЬ"),IF(ABS(N42)&gt;0.01,"ЧАСТИЧНО","НЕОПРЕДЕЛЕНО")))</x:f>
      </x:c>
      <x:c r="R42" s="190"/>
      <x:c r="S42" s="202"/>
      <x:c r="T42" s="214" t="str">
        <x:f>IF(COUNTA(R42:S42)=0,"",N(R42)-N(S42))</x:f>
      </x:c>
      <x:c r="U42" s="226" t="str">
        <x:f>IF(COUNTA(R42:S42)=0,"",SUMIFS('04_Влияние_ОПИУ'!$F$2:$F$2000,'04_Влияние_ОПИУ'!$B$2:$B$2000,"2025-03",'04_Влияние_ОПИУ'!$C$2:$C$2000,$A42,'04_Влияние_ОПИУ'!$G$2:$G$2000,"Да"))</x:f>
      </x:c>
      <x:c r="V42" s="238" t="str">
        <x:f>IF(COUNTA(R42:S42)=0,"",N(S42)+N(U42))</x:f>
      </x:c>
      <x:c r="W42" s="252" t="str">
        <x:f>IF(COUNTA(R42:S42)=0,"",N(R42)-N(V42))</x:f>
      </x:c>
      <x:c r="X42" s="260" t="str">
        <x:f>IF(COUNTA(R42:S42)=0,"",IF(ABS(W42)&lt;=0.01,IF(ABS(U42)&gt;0.01,"СОШЛОСЬ ПОСЛЕ КОРР.","СОШЛОСЬ"),IF(ABS(U42)&gt;0.01,"ЧАСТИЧНО","НЕОПРЕДЕЛЕНО")))</x:f>
      </x:c>
      <x:c r="Y42" s="190"/>
      <x:c r="Z42" s="202"/>
      <x:c r="AA42" s="214" t="str">
        <x:f>IF(COUNTA(Y42:Z42)=0,"",N(Y42)-N(Z42))</x:f>
      </x:c>
      <x:c r="AB42" s="226" t="str">
        <x:f>IF(COUNTA(Y42:Z42)=0,"",SUMIFS('04_Влияние_ОПИУ'!$F$2:$F$2000,'04_Влияние_ОПИУ'!$B$2:$B$2000,"2025-04",'04_Влияние_ОПИУ'!$C$2:$C$2000,$A42,'04_Влияние_ОПИУ'!$G$2:$G$2000,"Да"))</x:f>
      </x:c>
      <x:c r="AC42" s="238" t="str">
        <x:f>IF(COUNTA(Y42:Z42)=0,"",N(Z42)+N(AB42))</x:f>
      </x:c>
      <x:c r="AD42" s="252" t="str">
        <x:f>IF(COUNTA(Y42:Z42)=0,"",N(Y42)-N(AC42))</x:f>
      </x:c>
      <x:c r="AE42" s="260" t="str">
        <x:f>IF(COUNTA(Y42:Z42)=0,"",IF(ABS(AD42)&lt;=0.01,IF(ABS(AB42)&gt;0.01,"СОШЛОСЬ ПОСЛЕ КОРР.","СОШЛОСЬ"),IF(ABS(AB42)&gt;0.01,"ЧАСТИЧНО","НЕОПРЕДЕЛЕНО")))</x:f>
      </x:c>
      <x:c r="AF42" s="190"/>
      <x:c r="AG42" s="202"/>
      <x:c r="AH42" s="214" t="str">
        <x:f>IF(COUNTA(AF42:AG42)=0,"",N(AF42)-N(AG42))</x:f>
      </x:c>
      <x:c r="AI42" s="226" t="str">
        <x:f>IF(COUNTA(AF42:AG42)=0,"",SUMIFS('04_Влияние_ОПИУ'!$F$2:$F$2000,'04_Влияние_ОПИУ'!$B$2:$B$2000,"2025-05",'04_Влияние_ОПИУ'!$C$2:$C$2000,$A42,'04_Влияние_ОПИУ'!$G$2:$G$2000,"Да"))</x:f>
      </x:c>
      <x:c r="AJ42" s="238" t="str">
        <x:f>IF(COUNTA(AF42:AG42)=0,"",N(AG42)+N(AI42))</x:f>
      </x:c>
      <x:c r="AK42" s="252" t="str">
        <x:f>IF(COUNTA(AF42:AG42)=0,"",N(AF42)-N(AJ42))</x:f>
      </x:c>
      <x:c r="AL42" s="260" t="str">
        <x:f>IF(COUNTA(AF42:AG42)=0,"",IF(ABS(AK42)&lt;=0.01,IF(ABS(AI42)&gt;0.01,"СОШЛОСЬ ПОСЛЕ КОРР.","СОШЛОСЬ"),IF(ABS(AI42)&gt;0.01,"ЧАСТИЧНО","НЕОПРЕДЕЛЕНО")))</x:f>
      </x:c>
      <x:c r="AM42" s="190"/>
      <x:c r="AN42" s="202"/>
      <x:c r="AO42" s="214" t="str">
        <x:f>IF(COUNTA(AM42:AN42)=0,"",N(AM42)-N(AN42))</x:f>
      </x:c>
      <x:c r="AP42" s="226" t="str">
        <x:f>IF(COUNTA(AM42:AN42)=0,"",SUMIFS('04_Влияние_ОПИУ'!$F$2:$F$2000,'04_Влияние_ОПИУ'!$B$2:$B$2000,"2025-06",'04_Влияние_ОПИУ'!$C$2:$C$2000,$A42,'04_Влияние_ОПИУ'!$G$2:$G$2000,"Да"))</x:f>
      </x:c>
      <x:c r="AQ42" s="238" t="str">
        <x:f>IF(COUNTA(AM42:AN42)=0,"",N(AN42)+N(AP42))</x:f>
      </x:c>
      <x:c r="AR42" s="252" t="str">
        <x:f>IF(COUNTA(AM42:AN42)=0,"",N(AM42)-N(AQ42))</x:f>
      </x:c>
      <x:c r="AS42" s="260" t="str">
        <x:f>IF(COUNTA(AM42:AN42)=0,"",IF(ABS(AR42)&lt;=0.01,IF(ABS(AP42)&gt;0.01,"СОШЛОСЬ ПОСЛЕ КОРР.","СОШЛОСЬ"),IF(ABS(AP42)&gt;0.01,"ЧАСТИЧНО","НЕОПРЕДЕЛЕНО")))</x:f>
      </x:c>
      <x:c r="AT42" s="190"/>
      <x:c r="AU42" s="202"/>
      <x:c r="AV42" s="214" t="str">
        <x:f>IF(COUNTA(AT42:AU42)=0,"",N(AT42)-N(AU42))</x:f>
      </x:c>
      <x:c r="AW42" s="226" t="str">
        <x:f>IF(COUNTA(AT42:AU42)=0,"",SUMIFS('04_Влияние_ОПИУ'!$F$2:$F$2000,'04_Влияние_ОПИУ'!$B$2:$B$2000,"2025-07",'04_Влияние_ОПИУ'!$C$2:$C$2000,$A42,'04_Влияние_ОПИУ'!$G$2:$G$2000,"Да"))</x:f>
      </x:c>
      <x:c r="AX42" s="238" t="str">
        <x:f>IF(COUNTA(AT42:AU42)=0,"",N(AU42)+N(AW42))</x:f>
      </x:c>
      <x:c r="AY42" s="252" t="str">
        <x:f>IF(COUNTA(AT42:AU42)=0,"",N(AT42)-N(AX42))</x:f>
      </x:c>
      <x:c r="AZ42" s="260" t="str">
        <x:f>IF(COUNTA(AT42:AU42)=0,"",IF(ABS(AY42)&lt;=0.01,IF(ABS(AW42)&gt;0.01,"СОШЛОСЬ ПОСЛЕ КОРР.","СОШЛОСЬ"),IF(ABS(AW42)&gt;0.01,"ЧАСТИЧНО","НЕОПРЕДЕЛЕНО")))</x:f>
      </x:c>
      <x:c r="BA42" s="190"/>
      <x:c r="BB42" s="202"/>
      <x:c r="BC42" s="214" t="str">
        <x:f>IF(COUNTA(BA42:BB42)=0,"",N(BA42)-N(BB42))</x:f>
      </x:c>
      <x:c r="BD42" s="226" t="str">
        <x:f>IF(COUNTA(BA42:BB42)=0,"",SUMIFS('04_Влияние_ОПИУ'!$F$2:$F$2000,'04_Влияние_ОПИУ'!$B$2:$B$2000,"2025-08",'04_Влияние_ОПИУ'!$C$2:$C$2000,$A42,'04_Влияние_ОПИУ'!$G$2:$G$2000,"Да"))</x:f>
      </x:c>
      <x:c r="BE42" s="238" t="str">
        <x:f>IF(COUNTA(BA42:BB42)=0,"",N(BB42)+N(BD42))</x:f>
      </x:c>
      <x:c r="BF42" s="252" t="str">
        <x:f>IF(COUNTA(BA42:BB42)=0,"",N(BA42)-N(BE42))</x:f>
      </x:c>
      <x:c r="BG42" s="260" t="str">
        <x:f>IF(COUNTA(BA42:BB42)=0,"",IF(ABS(BF42)&lt;=0.01,IF(ABS(BD42)&gt;0.01,"СОШЛОСЬ ПОСЛЕ КОРР.","СОШЛОСЬ"),IF(ABS(BD42)&gt;0.01,"ЧАСТИЧНО","НЕОПРЕДЕЛЕНО")))</x:f>
      </x:c>
      <x:c r="BH42" s="190"/>
      <x:c r="BI42" s="202"/>
      <x:c r="BJ42" s="214" t="str">
        <x:f>IF(COUNTA(BH42:BI42)=0,"",N(BH42)-N(BI42))</x:f>
      </x:c>
      <x:c r="BK42" s="226" t="str">
        <x:f>IF(COUNTA(BH42:BI42)=0,"",SUMIFS('04_Влияние_ОПИУ'!$F$2:$F$2000,'04_Влияние_ОПИУ'!$B$2:$B$2000,"2025-09",'04_Влияние_ОПИУ'!$C$2:$C$2000,$A42,'04_Влияние_ОПИУ'!$G$2:$G$2000,"Да"))</x:f>
      </x:c>
      <x:c r="BL42" s="238" t="str">
        <x:f>IF(COUNTA(BH42:BI42)=0,"",N(BI42)+N(BK42))</x:f>
      </x:c>
      <x:c r="BM42" s="252" t="str">
        <x:f>IF(COUNTA(BH42:BI42)=0,"",N(BH42)-N(BL42))</x:f>
      </x:c>
      <x:c r="BN42" s="260" t="str">
        <x:f>IF(COUNTA(BH42:BI42)=0,"",IF(ABS(BM42)&lt;=0.01,IF(ABS(BK42)&gt;0.01,"СОШЛОСЬ ПОСЛЕ КОРР.","СОШЛОСЬ"),IF(ABS(BK42)&gt;0.01,"ЧАСТИЧНО","НЕОПРЕДЕЛЕНО")))</x:f>
      </x:c>
      <x:c r="BO42" s="190"/>
      <x:c r="BP42" s="202"/>
      <x:c r="BQ42" s="214" t="str">
        <x:f>IF(COUNTA(BO42:BP42)=0,"",N(BO42)-N(BP42))</x:f>
      </x:c>
      <x:c r="BR42" s="226" t="str">
        <x:f>IF(COUNTA(BO42:BP42)=0,"",SUMIFS('04_Влияние_ОПИУ'!$F$2:$F$2000,'04_Влияние_ОПИУ'!$B$2:$B$2000,"2025-10",'04_Влияние_ОПИУ'!$C$2:$C$2000,$A42,'04_Влияние_ОПИУ'!$G$2:$G$2000,"Да"))</x:f>
      </x:c>
      <x:c r="BS42" s="238" t="str">
        <x:f>IF(COUNTA(BO42:BP42)=0,"",N(BP42)+N(BR42))</x:f>
      </x:c>
      <x:c r="BT42" s="252" t="str">
        <x:f>IF(COUNTA(BO42:BP42)=0,"",N(BO42)-N(BS42))</x:f>
      </x:c>
      <x:c r="BU42" s="260" t="str">
        <x:f>IF(COUNTA(BO42:BP42)=0,"",IF(ABS(BT42)&lt;=0.01,IF(ABS(BR42)&gt;0.01,"СОШЛОСЬ ПОСЛЕ КОРР.","СОШЛОСЬ"),IF(ABS(BR42)&gt;0.01,"ЧАСТИЧНО","НЕОПРЕДЕЛЕНО")))</x:f>
      </x:c>
      <x:c r="BV42" s="190"/>
      <x:c r="BW42" s="202"/>
      <x:c r="BX42" s="214" t="str">
        <x:f>IF(COUNTA(BV42:BW42)=0,"",N(BV42)-N(BW42))</x:f>
      </x:c>
      <x:c r="BY42" s="226" t="str">
        <x:f>IF(COUNTA(BV42:BW42)=0,"",SUMIFS('04_Влияние_ОПИУ'!$F$2:$F$2000,'04_Влияние_ОПИУ'!$B$2:$B$2000,"2025-11",'04_Влияние_ОПИУ'!$C$2:$C$2000,$A42,'04_Влияние_ОПИУ'!$G$2:$G$2000,"Да"))</x:f>
      </x:c>
      <x:c r="BZ42" s="238" t="str">
        <x:f>IF(COUNTA(BV42:BW42)=0,"",N(BW42)+N(BY42))</x:f>
      </x:c>
      <x:c r="CA42" s="252" t="str">
        <x:f>IF(COUNTA(BV42:BW42)=0,"",N(BV42)-N(BZ42))</x:f>
      </x:c>
      <x:c r="CB42" s="260" t="str">
        <x:f>IF(COUNTA(BV42:BW42)=0,"",IF(ABS(CA42)&lt;=0.01,IF(ABS(BY42)&gt;0.01,"СОШЛОСЬ ПОСЛЕ КОРР.","СОШЛОСЬ"),IF(ABS(BY42)&gt;0.01,"ЧАСТИЧНО","НЕОПРЕДЕЛЕНО")))</x:f>
      </x:c>
      <x:c r="CC42" s="190"/>
      <x:c r="CD42" s="202"/>
      <x:c r="CE42" s="214" t="str">
        <x:f>IF(COUNTA(CC42:CD42)=0,"",N(CC42)-N(CD42))</x:f>
      </x:c>
      <x:c r="CF42" s="226" t="str">
        <x:f>IF(COUNTA(CC42:CD42)=0,"",SUMIFS('04_Влияние_ОПИУ'!$F$2:$F$2000,'04_Влияние_ОПИУ'!$B$2:$B$2000,"2025-12",'04_Влияние_ОПИУ'!$C$2:$C$2000,$A42,'04_Влияние_ОПИУ'!$G$2:$G$2000,"Да"))</x:f>
      </x:c>
      <x:c r="CG42" s="238" t="str">
        <x:f>IF(COUNTA(CC42:CD42)=0,"",N(CD42)+N(CF42))</x:f>
      </x:c>
      <x:c r="CH42" s="252" t="str">
        <x:f>IF(COUNTA(CC42:CD42)=0,"",N(CC42)-N(CG42))</x:f>
      </x:c>
      <x:c r="CI42" s="260" t="str">
        <x:f>IF(COUNTA(CC42:CD42)=0,"",IF(ABS(CH42)&lt;=0.01,IF(ABS(CF42)&gt;0.01,"СОШЛОСЬ ПОСЛЕ КОРР.","СОШЛОСЬ"),IF(ABS(CF42)&gt;0.01,"ЧАСТИЧНО","НЕОПРЕДЕЛЕНО")))</x:f>
      </x:c>
    </x:row>
    <x:row r="43">
      <x:c r="A43" s="166" t="str">
        <x:v>R038</x:v>
      </x:c>
      <x:c r="B43" s="166" t="str">
        <x:v>        Обслуживание р/сч</x:v>
      </x:c>
      <x:c r="C43" s="170" t="str">
        <x:v>        Обслуживание р/сч</x:v>
      </x:c>
      <x:c r="D43" s="190"/>
      <x:c r="E43" s="202"/>
      <x:c r="F43" s="214" t="str">
        <x:f>IF(COUNTA(D43:E43)=0,"",N(D43)-N(E43))</x:f>
      </x:c>
      <x:c r="G43" s="226" t="str">
        <x:f>IF(COUNTA(D43:E43)=0,"",SUMIFS('04_Влияние_ОПИУ'!$F$2:$F$2000,'04_Влияние_ОПИУ'!$B$2:$B$2000,"2025-01",'04_Влияние_ОПИУ'!$C$2:$C$2000,$A43,'04_Влияние_ОПИУ'!$G$2:$G$2000,"Да"))</x:f>
      </x:c>
      <x:c r="H43" s="238" t="str">
        <x:f>IF(COUNTA(D43:E43)=0,"",N(E43)+N(G43))</x:f>
      </x:c>
      <x:c r="I43" s="252" t="str">
        <x:f>IF(COUNTA(D43:E43)=0,"",N(D43)-N(H43))</x:f>
      </x:c>
      <x:c r="J43" s="260" t="str">
        <x:f>IF(COUNTA(D43:E43)=0,"",IF(ABS(I43)&lt;=0.01,IF(ABS(G43)&gt;0.01,"СОШЛОСЬ ПОСЛЕ КОРР.","СОШЛОСЬ"),IF(ABS(G43)&gt;0.01,"ЧАСТИЧНО","НЕОПРЕДЕЛЕНО")))</x:f>
      </x:c>
      <x:c r="K43" s="190"/>
      <x:c r="L43" s="202"/>
      <x:c r="M43" s="214" t="str">
        <x:f>IF(COUNTA(K43:L43)=0,"",N(K43)-N(L43))</x:f>
      </x:c>
      <x:c r="N43" s="226" t="str">
        <x:f>IF(COUNTA(K43:L43)=0,"",SUMIFS('04_Влияние_ОПИУ'!$F$2:$F$2000,'04_Влияние_ОПИУ'!$B$2:$B$2000,"2025-02",'04_Влияние_ОПИУ'!$C$2:$C$2000,$A43,'04_Влияние_ОПИУ'!$G$2:$G$2000,"Да"))</x:f>
      </x:c>
      <x:c r="O43" s="238" t="str">
        <x:f>IF(COUNTA(K43:L43)=0,"",N(L43)+N(N43))</x:f>
      </x:c>
      <x:c r="P43" s="252" t="str">
        <x:f>IF(COUNTA(K43:L43)=0,"",N(K43)-N(O43))</x:f>
      </x:c>
      <x:c r="Q43" s="260" t="str">
        <x:f>IF(COUNTA(K43:L43)=0,"",IF(ABS(P43)&lt;=0.01,IF(ABS(N43)&gt;0.01,"СОШЛОСЬ ПОСЛЕ КОРР.","СОШЛОСЬ"),IF(ABS(N43)&gt;0.01,"ЧАСТИЧНО","НЕОПРЕДЕЛЕНО")))</x:f>
      </x:c>
      <x:c r="R43" s="190"/>
      <x:c r="S43" s="202"/>
      <x:c r="T43" s="214" t="str">
        <x:f>IF(COUNTA(R43:S43)=0,"",N(R43)-N(S43))</x:f>
      </x:c>
      <x:c r="U43" s="226" t="str">
        <x:f>IF(COUNTA(R43:S43)=0,"",SUMIFS('04_Влияние_ОПИУ'!$F$2:$F$2000,'04_Влияние_ОПИУ'!$B$2:$B$2000,"2025-03",'04_Влияние_ОПИУ'!$C$2:$C$2000,$A43,'04_Влияние_ОПИУ'!$G$2:$G$2000,"Да"))</x:f>
      </x:c>
      <x:c r="V43" s="238" t="str">
        <x:f>IF(COUNTA(R43:S43)=0,"",N(S43)+N(U43))</x:f>
      </x:c>
      <x:c r="W43" s="252" t="str">
        <x:f>IF(COUNTA(R43:S43)=0,"",N(R43)-N(V43))</x:f>
      </x:c>
      <x:c r="X43" s="260" t="str">
        <x:f>IF(COUNTA(R43:S43)=0,"",IF(ABS(W43)&lt;=0.01,IF(ABS(U43)&gt;0.01,"СОШЛОСЬ ПОСЛЕ КОРР.","СОШЛОСЬ"),IF(ABS(U43)&gt;0.01,"ЧАСТИЧНО","НЕОПРЕДЕЛЕНО")))</x:f>
      </x:c>
      <x:c r="Y43" s="190"/>
      <x:c r="Z43" s="202"/>
      <x:c r="AA43" s="214" t="str">
        <x:f>IF(COUNTA(Y43:Z43)=0,"",N(Y43)-N(Z43))</x:f>
      </x:c>
      <x:c r="AB43" s="226" t="str">
        <x:f>IF(COUNTA(Y43:Z43)=0,"",SUMIFS('04_Влияние_ОПИУ'!$F$2:$F$2000,'04_Влияние_ОПИУ'!$B$2:$B$2000,"2025-04",'04_Влияние_ОПИУ'!$C$2:$C$2000,$A43,'04_Влияние_ОПИУ'!$G$2:$G$2000,"Да"))</x:f>
      </x:c>
      <x:c r="AC43" s="238" t="str">
        <x:f>IF(COUNTA(Y43:Z43)=0,"",N(Z43)+N(AB43))</x:f>
      </x:c>
      <x:c r="AD43" s="252" t="str">
        <x:f>IF(COUNTA(Y43:Z43)=0,"",N(Y43)-N(AC43))</x:f>
      </x:c>
      <x:c r="AE43" s="260" t="str">
        <x:f>IF(COUNTA(Y43:Z43)=0,"",IF(ABS(AD43)&lt;=0.01,IF(ABS(AB43)&gt;0.01,"СОШЛОСЬ ПОСЛЕ КОРР.","СОШЛОСЬ"),IF(ABS(AB43)&gt;0.01,"ЧАСТИЧНО","НЕОПРЕДЕЛЕНО")))</x:f>
      </x:c>
      <x:c r="AF43" s="190"/>
      <x:c r="AG43" s="202"/>
      <x:c r="AH43" s="214" t="str">
        <x:f>IF(COUNTA(AF43:AG43)=0,"",N(AF43)-N(AG43))</x:f>
      </x:c>
      <x:c r="AI43" s="226" t="str">
        <x:f>IF(COUNTA(AF43:AG43)=0,"",SUMIFS('04_Влияние_ОПИУ'!$F$2:$F$2000,'04_Влияние_ОПИУ'!$B$2:$B$2000,"2025-05",'04_Влияние_ОПИУ'!$C$2:$C$2000,$A43,'04_Влияние_ОПИУ'!$G$2:$G$2000,"Да"))</x:f>
      </x:c>
      <x:c r="AJ43" s="238" t="str">
        <x:f>IF(COUNTA(AF43:AG43)=0,"",N(AG43)+N(AI43))</x:f>
      </x:c>
      <x:c r="AK43" s="252" t="str">
        <x:f>IF(COUNTA(AF43:AG43)=0,"",N(AF43)-N(AJ43))</x:f>
      </x:c>
      <x:c r="AL43" s="260" t="str">
        <x:f>IF(COUNTA(AF43:AG43)=0,"",IF(ABS(AK43)&lt;=0.01,IF(ABS(AI43)&gt;0.01,"СОШЛОСЬ ПОСЛЕ КОРР.","СОШЛОСЬ"),IF(ABS(AI43)&gt;0.01,"ЧАСТИЧНО","НЕОПРЕДЕЛЕНО")))</x:f>
      </x:c>
      <x:c r="AM43" s="190"/>
      <x:c r="AN43" s="202"/>
      <x:c r="AO43" s="214" t="str">
        <x:f>IF(COUNTA(AM43:AN43)=0,"",N(AM43)-N(AN43))</x:f>
      </x:c>
      <x:c r="AP43" s="226" t="str">
        <x:f>IF(COUNTA(AM43:AN43)=0,"",SUMIFS('04_Влияние_ОПИУ'!$F$2:$F$2000,'04_Влияние_ОПИУ'!$B$2:$B$2000,"2025-06",'04_Влияние_ОПИУ'!$C$2:$C$2000,$A43,'04_Влияние_ОПИУ'!$G$2:$G$2000,"Да"))</x:f>
      </x:c>
      <x:c r="AQ43" s="238" t="str">
        <x:f>IF(COUNTA(AM43:AN43)=0,"",N(AN43)+N(AP43))</x:f>
      </x:c>
      <x:c r="AR43" s="252" t="str">
        <x:f>IF(COUNTA(AM43:AN43)=0,"",N(AM43)-N(AQ43))</x:f>
      </x:c>
      <x:c r="AS43" s="260" t="str">
        <x:f>IF(COUNTA(AM43:AN43)=0,"",IF(ABS(AR43)&lt;=0.01,IF(ABS(AP43)&gt;0.01,"СОШЛОСЬ ПОСЛЕ КОРР.","СОШЛОСЬ"),IF(ABS(AP43)&gt;0.01,"ЧАСТИЧНО","НЕОПРЕДЕЛЕНО")))</x:f>
      </x:c>
      <x:c r="AT43" s="190"/>
      <x:c r="AU43" s="202"/>
      <x:c r="AV43" s="214" t="str">
        <x:f>IF(COUNTA(AT43:AU43)=0,"",N(AT43)-N(AU43))</x:f>
      </x:c>
      <x:c r="AW43" s="226" t="str">
        <x:f>IF(COUNTA(AT43:AU43)=0,"",SUMIFS('04_Влияние_ОПИУ'!$F$2:$F$2000,'04_Влияние_ОПИУ'!$B$2:$B$2000,"2025-07",'04_Влияние_ОПИУ'!$C$2:$C$2000,$A43,'04_Влияние_ОПИУ'!$G$2:$G$2000,"Да"))</x:f>
      </x:c>
      <x:c r="AX43" s="238" t="str">
        <x:f>IF(COUNTA(AT43:AU43)=0,"",N(AU43)+N(AW43))</x:f>
      </x:c>
      <x:c r="AY43" s="252" t="str">
        <x:f>IF(COUNTA(AT43:AU43)=0,"",N(AT43)-N(AX43))</x:f>
      </x:c>
      <x:c r="AZ43" s="260" t="str">
        <x:f>IF(COUNTA(AT43:AU43)=0,"",IF(ABS(AY43)&lt;=0.01,IF(ABS(AW43)&gt;0.01,"СОШЛОСЬ ПОСЛЕ КОРР.","СОШЛОСЬ"),IF(ABS(AW43)&gt;0.01,"ЧАСТИЧНО","НЕОПРЕДЕЛЕНО")))</x:f>
      </x:c>
      <x:c r="BA43" s="190"/>
      <x:c r="BB43" s="202"/>
      <x:c r="BC43" s="214" t="str">
        <x:f>IF(COUNTA(BA43:BB43)=0,"",N(BA43)-N(BB43))</x:f>
      </x:c>
      <x:c r="BD43" s="226" t="str">
        <x:f>IF(COUNTA(BA43:BB43)=0,"",SUMIFS('04_Влияние_ОПИУ'!$F$2:$F$2000,'04_Влияние_ОПИУ'!$B$2:$B$2000,"2025-08",'04_Влияние_ОПИУ'!$C$2:$C$2000,$A43,'04_Влияние_ОПИУ'!$G$2:$G$2000,"Да"))</x:f>
      </x:c>
      <x:c r="BE43" s="238" t="str">
        <x:f>IF(COUNTA(BA43:BB43)=0,"",N(BB43)+N(BD43))</x:f>
      </x:c>
      <x:c r="BF43" s="252" t="str">
        <x:f>IF(COUNTA(BA43:BB43)=0,"",N(BA43)-N(BE43))</x:f>
      </x:c>
      <x:c r="BG43" s="260" t="str">
        <x:f>IF(COUNTA(BA43:BB43)=0,"",IF(ABS(BF43)&lt;=0.01,IF(ABS(BD43)&gt;0.01,"СОШЛОСЬ ПОСЛЕ КОРР.","СОШЛОСЬ"),IF(ABS(BD43)&gt;0.01,"ЧАСТИЧНО","НЕОПРЕДЕЛЕНО")))</x:f>
      </x:c>
      <x:c r="BH43" s="190"/>
      <x:c r="BI43" s="202"/>
      <x:c r="BJ43" s="214" t="str">
        <x:f>IF(COUNTA(BH43:BI43)=0,"",N(BH43)-N(BI43))</x:f>
      </x:c>
      <x:c r="BK43" s="226" t="str">
        <x:f>IF(COUNTA(BH43:BI43)=0,"",SUMIFS('04_Влияние_ОПИУ'!$F$2:$F$2000,'04_Влияние_ОПИУ'!$B$2:$B$2000,"2025-09",'04_Влияние_ОПИУ'!$C$2:$C$2000,$A43,'04_Влияние_ОПИУ'!$G$2:$G$2000,"Да"))</x:f>
      </x:c>
      <x:c r="BL43" s="238" t="str">
        <x:f>IF(COUNTA(BH43:BI43)=0,"",N(BI43)+N(BK43))</x:f>
      </x:c>
      <x:c r="BM43" s="252" t="str">
        <x:f>IF(COUNTA(BH43:BI43)=0,"",N(BH43)-N(BL43))</x:f>
      </x:c>
      <x:c r="BN43" s="260" t="str">
        <x:f>IF(COUNTA(BH43:BI43)=0,"",IF(ABS(BM43)&lt;=0.01,IF(ABS(BK43)&gt;0.01,"СОШЛОСЬ ПОСЛЕ КОРР.","СОШЛОСЬ"),IF(ABS(BK43)&gt;0.01,"ЧАСТИЧНО","НЕОПРЕДЕЛЕНО")))</x:f>
      </x:c>
      <x:c r="BO43" s="190"/>
      <x:c r="BP43" s="202"/>
      <x:c r="BQ43" s="214" t="str">
        <x:f>IF(COUNTA(BO43:BP43)=0,"",N(BO43)-N(BP43))</x:f>
      </x:c>
      <x:c r="BR43" s="226" t="str">
        <x:f>IF(COUNTA(BO43:BP43)=0,"",SUMIFS('04_Влияние_ОПИУ'!$F$2:$F$2000,'04_Влияние_ОПИУ'!$B$2:$B$2000,"2025-10",'04_Влияние_ОПИУ'!$C$2:$C$2000,$A43,'04_Влияние_ОПИУ'!$G$2:$G$2000,"Да"))</x:f>
      </x:c>
      <x:c r="BS43" s="238" t="str">
        <x:f>IF(COUNTA(BO43:BP43)=0,"",N(BP43)+N(BR43))</x:f>
      </x:c>
      <x:c r="BT43" s="252" t="str">
        <x:f>IF(COUNTA(BO43:BP43)=0,"",N(BO43)-N(BS43))</x:f>
      </x:c>
      <x:c r="BU43" s="260" t="str">
        <x:f>IF(COUNTA(BO43:BP43)=0,"",IF(ABS(BT43)&lt;=0.01,IF(ABS(BR43)&gt;0.01,"СОШЛОСЬ ПОСЛЕ КОРР.","СОШЛОСЬ"),IF(ABS(BR43)&gt;0.01,"ЧАСТИЧНО","НЕОПРЕДЕЛЕНО")))</x:f>
      </x:c>
      <x:c r="BV43" s="190"/>
      <x:c r="BW43" s="202"/>
      <x:c r="BX43" s="214" t="str">
        <x:f>IF(COUNTA(BV43:BW43)=0,"",N(BV43)-N(BW43))</x:f>
      </x:c>
      <x:c r="BY43" s="226" t="str">
        <x:f>IF(COUNTA(BV43:BW43)=0,"",SUMIFS('04_Влияние_ОПИУ'!$F$2:$F$2000,'04_Влияние_ОПИУ'!$B$2:$B$2000,"2025-11",'04_Влияние_ОПИУ'!$C$2:$C$2000,$A43,'04_Влияние_ОПИУ'!$G$2:$G$2000,"Да"))</x:f>
      </x:c>
      <x:c r="BZ43" s="238" t="str">
        <x:f>IF(COUNTA(BV43:BW43)=0,"",N(BW43)+N(BY43))</x:f>
      </x:c>
      <x:c r="CA43" s="252" t="str">
        <x:f>IF(COUNTA(BV43:BW43)=0,"",N(BV43)-N(BZ43))</x:f>
      </x:c>
      <x:c r="CB43" s="260" t="str">
        <x:f>IF(COUNTA(BV43:BW43)=0,"",IF(ABS(CA43)&lt;=0.01,IF(ABS(BY43)&gt;0.01,"СОШЛОСЬ ПОСЛЕ КОРР.","СОШЛОСЬ"),IF(ABS(BY43)&gt;0.01,"ЧАСТИЧНО","НЕОПРЕДЕЛЕНО")))</x:f>
      </x:c>
      <x:c r="CC43" s="190"/>
      <x:c r="CD43" s="202"/>
      <x:c r="CE43" s="214" t="str">
        <x:f>IF(COUNTA(CC43:CD43)=0,"",N(CC43)-N(CD43))</x:f>
      </x:c>
      <x:c r="CF43" s="226" t="str">
        <x:f>IF(COUNTA(CC43:CD43)=0,"",SUMIFS('04_Влияние_ОПИУ'!$F$2:$F$2000,'04_Влияние_ОПИУ'!$B$2:$B$2000,"2025-12",'04_Влияние_ОПИУ'!$C$2:$C$2000,$A43,'04_Влияние_ОПИУ'!$G$2:$G$2000,"Да"))</x:f>
      </x:c>
      <x:c r="CG43" s="238" t="str">
        <x:f>IF(COUNTA(CC43:CD43)=0,"",N(CD43)+N(CF43))</x:f>
      </x:c>
      <x:c r="CH43" s="252" t="str">
        <x:f>IF(COUNTA(CC43:CD43)=0,"",N(CC43)-N(CG43))</x:f>
      </x:c>
      <x:c r="CI43" s="260" t="str">
        <x:f>IF(COUNTA(CC43:CD43)=0,"",IF(ABS(CH43)&lt;=0.01,IF(ABS(CF43)&gt;0.01,"СОШЛОСЬ ПОСЛЕ КОРР.","СОШЛОСЬ"),IF(ABS(CF43)&gt;0.01,"ЧАСТИЧНО","НЕОПРЕДЕЛЕНО")))</x:f>
      </x:c>
    </x:row>
    <x:row r="44">
      <x:c r="A44" s="166" t="str">
        <x:v>R039</x:v>
      </x:c>
      <x:c r="B44" s="166" t="str">
        <x:v>      Хозяйственные расходы</x:v>
      </x:c>
      <x:c r="C44" s="170" t="str">
        <x:v>      Хозяйственные расходы</x:v>
      </x:c>
      <x:c r="D44" s="190"/>
      <x:c r="E44" s="202"/>
      <x:c r="F44" s="214" t="str">
        <x:f>IF(COUNTA(D44:E44)=0,"",N(D44)-N(E44))</x:f>
      </x:c>
      <x:c r="G44" s="226" t="str">
        <x:f>IF(COUNTA(D44:E44)=0,"",SUMIFS('04_Влияние_ОПИУ'!$F$2:$F$2000,'04_Влияние_ОПИУ'!$B$2:$B$2000,"2025-01",'04_Влияние_ОПИУ'!$C$2:$C$2000,$A44,'04_Влияние_ОПИУ'!$G$2:$G$2000,"Да"))</x:f>
      </x:c>
      <x:c r="H44" s="238" t="str">
        <x:f>IF(COUNTA(D44:E44)=0,"",N(E44)+N(G44))</x:f>
      </x:c>
      <x:c r="I44" s="252" t="str">
        <x:f>IF(COUNTA(D44:E44)=0,"",N(D44)-N(H44))</x:f>
      </x:c>
      <x:c r="J44" s="260" t="str">
        <x:f>IF(COUNTA(D44:E44)=0,"",IF(ABS(I44)&lt;=0.01,IF(ABS(G44)&gt;0.01,"СОШЛОСЬ ПОСЛЕ КОРР.","СОШЛОСЬ"),IF(ABS(G44)&gt;0.01,"ЧАСТИЧНО","НЕОПРЕДЕЛЕНО")))</x:f>
      </x:c>
      <x:c r="K44" s="190"/>
      <x:c r="L44" s="202"/>
      <x:c r="M44" s="214" t="str">
        <x:f>IF(COUNTA(K44:L44)=0,"",N(K44)-N(L44))</x:f>
      </x:c>
      <x:c r="N44" s="226" t="str">
        <x:f>IF(COUNTA(K44:L44)=0,"",SUMIFS('04_Влияние_ОПИУ'!$F$2:$F$2000,'04_Влияние_ОПИУ'!$B$2:$B$2000,"2025-02",'04_Влияние_ОПИУ'!$C$2:$C$2000,$A44,'04_Влияние_ОПИУ'!$G$2:$G$2000,"Да"))</x:f>
      </x:c>
      <x:c r="O44" s="238" t="str">
        <x:f>IF(COUNTA(K44:L44)=0,"",N(L44)+N(N44))</x:f>
      </x:c>
      <x:c r="P44" s="252" t="str">
        <x:f>IF(COUNTA(K44:L44)=0,"",N(K44)-N(O44))</x:f>
      </x:c>
      <x:c r="Q44" s="260" t="str">
        <x:f>IF(COUNTA(K44:L44)=0,"",IF(ABS(P44)&lt;=0.01,IF(ABS(N44)&gt;0.01,"СОШЛОСЬ ПОСЛЕ КОРР.","СОШЛОСЬ"),IF(ABS(N44)&gt;0.01,"ЧАСТИЧНО","НЕОПРЕДЕЛЕНО")))</x:f>
      </x:c>
      <x:c r="R44" s="190"/>
      <x:c r="S44" s="202"/>
      <x:c r="T44" s="214" t="str">
        <x:f>IF(COUNTA(R44:S44)=0,"",N(R44)-N(S44))</x:f>
      </x:c>
      <x:c r="U44" s="226" t="str">
        <x:f>IF(COUNTA(R44:S44)=0,"",SUMIFS('04_Влияние_ОПИУ'!$F$2:$F$2000,'04_Влияние_ОПИУ'!$B$2:$B$2000,"2025-03",'04_Влияние_ОПИУ'!$C$2:$C$2000,$A44,'04_Влияние_ОПИУ'!$G$2:$G$2000,"Да"))</x:f>
      </x:c>
      <x:c r="V44" s="238" t="str">
        <x:f>IF(COUNTA(R44:S44)=0,"",N(S44)+N(U44))</x:f>
      </x:c>
      <x:c r="W44" s="252" t="str">
        <x:f>IF(COUNTA(R44:S44)=0,"",N(R44)-N(V44))</x:f>
      </x:c>
      <x:c r="X44" s="260" t="str">
        <x:f>IF(COUNTA(R44:S44)=0,"",IF(ABS(W44)&lt;=0.01,IF(ABS(U44)&gt;0.01,"СОШЛОСЬ ПОСЛЕ КОРР.","СОШЛОСЬ"),IF(ABS(U44)&gt;0.01,"ЧАСТИЧНО","НЕОПРЕДЕЛЕНО")))</x:f>
      </x:c>
      <x:c r="Y44" s="190"/>
      <x:c r="Z44" s="202"/>
      <x:c r="AA44" s="214" t="str">
        <x:f>IF(COUNTA(Y44:Z44)=0,"",N(Y44)-N(Z44))</x:f>
      </x:c>
      <x:c r="AB44" s="226" t="str">
        <x:f>IF(COUNTA(Y44:Z44)=0,"",SUMIFS('04_Влияние_ОПИУ'!$F$2:$F$2000,'04_Влияние_ОПИУ'!$B$2:$B$2000,"2025-04",'04_Влияние_ОПИУ'!$C$2:$C$2000,$A44,'04_Влияние_ОПИУ'!$G$2:$G$2000,"Да"))</x:f>
      </x:c>
      <x:c r="AC44" s="238" t="str">
        <x:f>IF(COUNTA(Y44:Z44)=0,"",N(Z44)+N(AB44))</x:f>
      </x:c>
      <x:c r="AD44" s="252" t="str">
        <x:f>IF(COUNTA(Y44:Z44)=0,"",N(Y44)-N(AC44))</x:f>
      </x:c>
      <x:c r="AE44" s="260" t="str">
        <x:f>IF(COUNTA(Y44:Z44)=0,"",IF(ABS(AD44)&lt;=0.01,IF(ABS(AB44)&gt;0.01,"СОШЛОСЬ ПОСЛЕ КОРР.","СОШЛОСЬ"),IF(ABS(AB44)&gt;0.01,"ЧАСТИЧНО","НЕОПРЕДЕЛЕНО")))</x:f>
      </x:c>
      <x:c r="AF44" s="190"/>
      <x:c r="AG44" s="202"/>
      <x:c r="AH44" s="214" t="str">
        <x:f>IF(COUNTA(AF44:AG44)=0,"",N(AF44)-N(AG44))</x:f>
      </x:c>
      <x:c r="AI44" s="226" t="str">
        <x:f>IF(COUNTA(AF44:AG44)=0,"",SUMIFS('04_Влияние_ОПИУ'!$F$2:$F$2000,'04_Влияние_ОПИУ'!$B$2:$B$2000,"2025-05",'04_Влияние_ОПИУ'!$C$2:$C$2000,$A44,'04_Влияние_ОПИУ'!$G$2:$G$2000,"Да"))</x:f>
      </x:c>
      <x:c r="AJ44" s="238" t="str">
        <x:f>IF(COUNTA(AF44:AG44)=0,"",N(AG44)+N(AI44))</x:f>
      </x:c>
      <x:c r="AK44" s="252" t="str">
        <x:f>IF(COUNTA(AF44:AG44)=0,"",N(AF44)-N(AJ44))</x:f>
      </x:c>
      <x:c r="AL44" s="260" t="str">
        <x:f>IF(COUNTA(AF44:AG44)=0,"",IF(ABS(AK44)&lt;=0.01,IF(ABS(AI44)&gt;0.01,"СОШЛОСЬ ПОСЛЕ КОРР.","СОШЛОСЬ"),IF(ABS(AI44)&gt;0.01,"ЧАСТИЧНО","НЕОПРЕДЕЛЕНО")))</x:f>
      </x:c>
      <x:c r="AM44" s="190"/>
      <x:c r="AN44" s="202"/>
      <x:c r="AO44" s="214" t="str">
        <x:f>IF(COUNTA(AM44:AN44)=0,"",N(AM44)-N(AN44))</x:f>
      </x:c>
      <x:c r="AP44" s="226" t="str">
        <x:f>IF(COUNTA(AM44:AN44)=0,"",SUMIFS('04_Влияние_ОПИУ'!$F$2:$F$2000,'04_Влияние_ОПИУ'!$B$2:$B$2000,"2025-06",'04_Влияние_ОПИУ'!$C$2:$C$2000,$A44,'04_Влияние_ОПИУ'!$G$2:$G$2000,"Да"))</x:f>
      </x:c>
      <x:c r="AQ44" s="238" t="str">
        <x:f>IF(COUNTA(AM44:AN44)=0,"",N(AN44)+N(AP44))</x:f>
      </x:c>
      <x:c r="AR44" s="252" t="str">
        <x:f>IF(COUNTA(AM44:AN44)=0,"",N(AM44)-N(AQ44))</x:f>
      </x:c>
      <x:c r="AS44" s="260" t="str">
        <x:f>IF(COUNTA(AM44:AN44)=0,"",IF(ABS(AR44)&lt;=0.01,IF(ABS(AP44)&gt;0.01,"СОШЛОСЬ ПОСЛЕ КОРР.","СОШЛОСЬ"),IF(ABS(AP44)&gt;0.01,"ЧАСТИЧНО","НЕОПРЕДЕЛЕНО")))</x:f>
      </x:c>
      <x:c r="AT44" s="190"/>
      <x:c r="AU44" s="202"/>
      <x:c r="AV44" s="214" t="str">
        <x:f>IF(COUNTA(AT44:AU44)=0,"",N(AT44)-N(AU44))</x:f>
      </x:c>
      <x:c r="AW44" s="226" t="str">
        <x:f>IF(COUNTA(AT44:AU44)=0,"",SUMIFS('04_Влияние_ОПИУ'!$F$2:$F$2000,'04_Влияние_ОПИУ'!$B$2:$B$2000,"2025-07",'04_Влияние_ОПИУ'!$C$2:$C$2000,$A44,'04_Влияние_ОПИУ'!$G$2:$G$2000,"Да"))</x:f>
      </x:c>
      <x:c r="AX44" s="238" t="str">
        <x:f>IF(COUNTA(AT44:AU44)=0,"",N(AU44)+N(AW44))</x:f>
      </x:c>
      <x:c r="AY44" s="252" t="str">
        <x:f>IF(COUNTA(AT44:AU44)=0,"",N(AT44)-N(AX44))</x:f>
      </x:c>
      <x:c r="AZ44" s="260" t="str">
        <x:f>IF(COUNTA(AT44:AU44)=0,"",IF(ABS(AY44)&lt;=0.01,IF(ABS(AW44)&gt;0.01,"СОШЛОСЬ ПОСЛЕ КОРР.","СОШЛОСЬ"),IF(ABS(AW44)&gt;0.01,"ЧАСТИЧНО","НЕОПРЕДЕЛЕНО")))</x:f>
      </x:c>
      <x:c r="BA44" s="190"/>
      <x:c r="BB44" s="202"/>
      <x:c r="BC44" s="214" t="str">
        <x:f>IF(COUNTA(BA44:BB44)=0,"",N(BA44)-N(BB44))</x:f>
      </x:c>
      <x:c r="BD44" s="226" t="str">
        <x:f>IF(COUNTA(BA44:BB44)=0,"",SUMIFS('04_Влияние_ОПИУ'!$F$2:$F$2000,'04_Влияние_ОПИУ'!$B$2:$B$2000,"2025-08",'04_Влияние_ОПИУ'!$C$2:$C$2000,$A44,'04_Влияние_ОПИУ'!$G$2:$G$2000,"Да"))</x:f>
      </x:c>
      <x:c r="BE44" s="238" t="str">
        <x:f>IF(COUNTA(BA44:BB44)=0,"",N(BB44)+N(BD44))</x:f>
      </x:c>
      <x:c r="BF44" s="252" t="str">
        <x:f>IF(COUNTA(BA44:BB44)=0,"",N(BA44)-N(BE44))</x:f>
      </x:c>
      <x:c r="BG44" s="260" t="str">
        <x:f>IF(COUNTA(BA44:BB44)=0,"",IF(ABS(BF44)&lt;=0.01,IF(ABS(BD44)&gt;0.01,"СОШЛОСЬ ПОСЛЕ КОРР.","СОШЛОСЬ"),IF(ABS(BD44)&gt;0.01,"ЧАСТИЧНО","НЕОПРЕДЕЛЕНО")))</x:f>
      </x:c>
      <x:c r="BH44" s="190"/>
      <x:c r="BI44" s="202"/>
      <x:c r="BJ44" s="214" t="str">
        <x:f>IF(COUNTA(BH44:BI44)=0,"",N(BH44)-N(BI44))</x:f>
      </x:c>
      <x:c r="BK44" s="226" t="str">
        <x:f>IF(COUNTA(BH44:BI44)=0,"",SUMIFS('04_Влияние_ОПИУ'!$F$2:$F$2000,'04_Влияние_ОПИУ'!$B$2:$B$2000,"2025-09",'04_Влияние_ОПИУ'!$C$2:$C$2000,$A44,'04_Влияние_ОПИУ'!$G$2:$G$2000,"Да"))</x:f>
      </x:c>
      <x:c r="BL44" s="238" t="str">
        <x:f>IF(COUNTA(BH44:BI44)=0,"",N(BI44)+N(BK44))</x:f>
      </x:c>
      <x:c r="BM44" s="252" t="str">
        <x:f>IF(COUNTA(BH44:BI44)=0,"",N(BH44)-N(BL44))</x:f>
      </x:c>
      <x:c r="BN44" s="260" t="str">
        <x:f>IF(COUNTA(BH44:BI44)=0,"",IF(ABS(BM44)&lt;=0.01,IF(ABS(BK44)&gt;0.01,"СОШЛОСЬ ПОСЛЕ КОРР.","СОШЛОСЬ"),IF(ABS(BK44)&gt;0.01,"ЧАСТИЧНО","НЕОПРЕДЕЛЕНО")))</x:f>
      </x:c>
      <x:c r="BO44" s="190"/>
      <x:c r="BP44" s="202"/>
      <x:c r="BQ44" s="214" t="str">
        <x:f>IF(COUNTA(BO44:BP44)=0,"",N(BO44)-N(BP44))</x:f>
      </x:c>
      <x:c r="BR44" s="226" t="str">
        <x:f>IF(COUNTA(BO44:BP44)=0,"",SUMIFS('04_Влияние_ОПИУ'!$F$2:$F$2000,'04_Влияние_ОПИУ'!$B$2:$B$2000,"2025-10",'04_Влияние_ОПИУ'!$C$2:$C$2000,$A44,'04_Влияние_ОПИУ'!$G$2:$G$2000,"Да"))</x:f>
      </x:c>
      <x:c r="BS44" s="238" t="str">
        <x:f>IF(COUNTA(BO44:BP44)=0,"",N(BP44)+N(BR44))</x:f>
      </x:c>
      <x:c r="BT44" s="252" t="str">
        <x:f>IF(COUNTA(BO44:BP44)=0,"",N(BO44)-N(BS44))</x:f>
      </x:c>
      <x:c r="BU44" s="260" t="str">
        <x:f>IF(COUNTA(BO44:BP44)=0,"",IF(ABS(BT44)&lt;=0.01,IF(ABS(BR44)&gt;0.01,"СОШЛОСЬ ПОСЛЕ КОРР.","СОШЛОСЬ"),IF(ABS(BR44)&gt;0.01,"ЧАСТИЧНО","НЕОПРЕДЕЛЕНО")))</x:f>
      </x:c>
      <x:c r="BV44" s="190"/>
      <x:c r="BW44" s="202"/>
      <x:c r="BX44" s="214" t="str">
        <x:f>IF(COUNTA(BV44:BW44)=0,"",N(BV44)-N(BW44))</x:f>
      </x:c>
      <x:c r="BY44" s="226" t="str">
        <x:f>IF(COUNTA(BV44:BW44)=0,"",SUMIFS('04_Влияние_ОПИУ'!$F$2:$F$2000,'04_Влияние_ОПИУ'!$B$2:$B$2000,"2025-11",'04_Влияние_ОПИУ'!$C$2:$C$2000,$A44,'04_Влияние_ОПИУ'!$G$2:$G$2000,"Да"))</x:f>
      </x:c>
      <x:c r="BZ44" s="238" t="str">
        <x:f>IF(COUNTA(BV44:BW44)=0,"",N(BW44)+N(BY44))</x:f>
      </x:c>
      <x:c r="CA44" s="252" t="str">
        <x:f>IF(COUNTA(BV44:BW44)=0,"",N(BV44)-N(BZ44))</x:f>
      </x:c>
      <x:c r="CB44" s="260" t="str">
        <x:f>IF(COUNTA(BV44:BW44)=0,"",IF(ABS(CA44)&lt;=0.01,IF(ABS(BY44)&gt;0.01,"СОШЛОСЬ ПОСЛЕ КОРР.","СОШЛОСЬ"),IF(ABS(BY44)&gt;0.01,"ЧАСТИЧНО","НЕОПРЕДЕЛЕНО")))</x:f>
      </x:c>
      <x:c r="CC44" s="190"/>
      <x:c r="CD44" s="202"/>
      <x:c r="CE44" s="214" t="str">
        <x:f>IF(COUNTA(CC44:CD44)=0,"",N(CC44)-N(CD44))</x:f>
      </x:c>
      <x:c r="CF44" s="226" t="str">
        <x:f>IF(COUNTA(CC44:CD44)=0,"",SUMIFS('04_Влияние_ОПИУ'!$F$2:$F$2000,'04_Влияние_ОПИУ'!$B$2:$B$2000,"2025-12",'04_Влияние_ОПИУ'!$C$2:$C$2000,$A44,'04_Влияние_ОПИУ'!$G$2:$G$2000,"Да"))</x:f>
      </x:c>
      <x:c r="CG44" s="238" t="str">
        <x:f>IF(COUNTA(CC44:CD44)=0,"",N(CD44)+N(CF44))</x:f>
      </x:c>
      <x:c r="CH44" s="252" t="str">
        <x:f>IF(COUNTA(CC44:CD44)=0,"",N(CC44)-N(CG44))</x:f>
      </x:c>
      <x:c r="CI44" s="260" t="str">
        <x:f>IF(COUNTA(CC44:CD44)=0,"",IF(ABS(CH44)&lt;=0.01,IF(ABS(CF44)&gt;0.01,"СОШЛОСЬ ПОСЛЕ КОРР.","СОШЛОСЬ"),IF(ABS(CF44)&gt;0.01,"ЧАСТИЧНО","НЕОПРЕДЕЛЕНО")))</x:f>
      </x:c>
    </x:row>
    <x:row r="45">
      <x:c r="A45" s="166" t="str">
        <x:v>R040</x:v>
      </x:c>
      <x:c r="B45" s="166" t="str">
        <x:v>        Хоз нужды и прочие (вода, продукты и т.д.)</x:v>
      </x:c>
      <x:c r="C45" s="170" t="str">
        <x:v>        Хоз нужды и прочие (вода, продукты и т.д.)</x:v>
      </x:c>
      <x:c r="D45" s="190"/>
      <x:c r="E45" s="202"/>
      <x:c r="F45" s="214" t="str">
        <x:f>IF(COUNTA(D45:E45)=0,"",N(D45)-N(E45))</x:f>
      </x:c>
      <x:c r="G45" s="226" t="str">
        <x:f>IF(COUNTA(D45:E45)=0,"",SUMIFS('04_Влияние_ОПИУ'!$F$2:$F$2000,'04_Влияние_ОПИУ'!$B$2:$B$2000,"2025-01",'04_Влияние_ОПИУ'!$C$2:$C$2000,$A45,'04_Влияние_ОПИУ'!$G$2:$G$2000,"Да"))</x:f>
      </x:c>
      <x:c r="H45" s="238" t="str">
        <x:f>IF(COUNTA(D45:E45)=0,"",N(E45)+N(G45))</x:f>
      </x:c>
      <x:c r="I45" s="252" t="str">
        <x:f>IF(COUNTA(D45:E45)=0,"",N(D45)-N(H45))</x:f>
      </x:c>
      <x:c r="J45" s="260" t="str">
        <x:f>IF(COUNTA(D45:E45)=0,"",IF(ABS(I45)&lt;=0.01,IF(ABS(G45)&gt;0.01,"СОШЛОСЬ ПОСЛЕ КОРР.","СОШЛОСЬ"),IF(ABS(G45)&gt;0.01,"ЧАСТИЧНО","НЕОПРЕДЕЛЕНО")))</x:f>
      </x:c>
      <x:c r="K45" s="190"/>
      <x:c r="L45" s="202"/>
      <x:c r="M45" s="214" t="str">
        <x:f>IF(COUNTA(K45:L45)=0,"",N(K45)-N(L45))</x:f>
      </x:c>
      <x:c r="N45" s="226" t="str">
        <x:f>IF(COUNTA(K45:L45)=0,"",SUMIFS('04_Влияние_ОПИУ'!$F$2:$F$2000,'04_Влияние_ОПИУ'!$B$2:$B$2000,"2025-02",'04_Влияние_ОПИУ'!$C$2:$C$2000,$A45,'04_Влияние_ОПИУ'!$G$2:$G$2000,"Да"))</x:f>
      </x:c>
      <x:c r="O45" s="238" t="str">
        <x:f>IF(COUNTA(K45:L45)=0,"",N(L45)+N(N45))</x:f>
      </x:c>
      <x:c r="P45" s="252" t="str">
        <x:f>IF(COUNTA(K45:L45)=0,"",N(K45)-N(O45))</x:f>
      </x:c>
      <x:c r="Q45" s="260" t="str">
        <x:f>IF(COUNTA(K45:L45)=0,"",IF(ABS(P45)&lt;=0.01,IF(ABS(N45)&gt;0.01,"СОШЛОСЬ ПОСЛЕ КОРР.","СОШЛОСЬ"),IF(ABS(N45)&gt;0.01,"ЧАСТИЧНО","НЕОПРЕДЕЛЕНО")))</x:f>
      </x:c>
      <x:c r="R45" s="190"/>
      <x:c r="S45" s="202"/>
      <x:c r="T45" s="214" t="str">
        <x:f>IF(COUNTA(R45:S45)=0,"",N(R45)-N(S45))</x:f>
      </x:c>
      <x:c r="U45" s="226" t="str">
        <x:f>IF(COUNTA(R45:S45)=0,"",SUMIFS('04_Влияние_ОПИУ'!$F$2:$F$2000,'04_Влияние_ОПИУ'!$B$2:$B$2000,"2025-03",'04_Влияние_ОПИУ'!$C$2:$C$2000,$A45,'04_Влияние_ОПИУ'!$G$2:$G$2000,"Да"))</x:f>
      </x:c>
      <x:c r="V45" s="238" t="str">
        <x:f>IF(COUNTA(R45:S45)=0,"",N(S45)+N(U45))</x:f>
      </x:c>
      <x:c r="W45" s="252" t="str">
        <x:f>IF(COUNTA(R45:S45)=0,"",N(R45)-N(V45))</x:f>
      </x:c>
      <x:c r="X45" s="260" t="str">
        <x:f>IF(COUNTA(R45:S45)=0,"",IF(ABS(W45)&lt;=0.01,IF(ABS(U45)&gt;0.01,"СОШЛОСЬ ПОСЛЕ КОРР.","СОШЛОСЬ"),IF(ABS(U45)&gt;0.01,"ЧАСТИЧНО","НЕОПРЕДЕЛЕНО")))</x:f>
      </x:c>
      <x:c r="Y45" s="190"/>
      <x:c r="Z45" s="202"/>
      <x:c r="AA45" s="214" t="str">
        <x:f>IF(COUNTA(Y45:Z45)=0,"",N(Y45)-N(Z45))</x:f>
      </x:c>
      <x:c r="AB45" s="226" t="str">
        <x:f>IF(COUNTA(Y45:Z45)=0,"",SUMIFS('04_Влияние_ОПИУ'!$F$2:$F$2000,'04_Влияние_ОПИУ'!$B$2:$B$2000,"2025-04",'04_Влияние_ОПИУ'!$C$2:$C$2000,$A45,'04_Влияние_ОПИУ'!$G$2:$G$2000,"Да"))</x:f>
      </x:c>
      <x:c r="AC45" s="238" t="str">
        <x:f>IF(COUNTA(Y45:Z45)=0,"",N(Z45)+N(AB45))</x:f>
      </x:c>
      <x:c r="AD45" s="252" t="str">
        <x:f>IF(COUNTA(Y45:Z45)=0,"",N(Y45)-N(AC45))</x:f>
      </x:c>
      <x:c r="AE45" s="260" t="str">
        <x:f>IF(COUNTA(Y45:Z45)=0,"",IF(ABS(AD45)&lt;=0.01,IF(ABS(AB45)&gt;0.01,"СОШЛОСЬ ПОСЛЕ КОРР.","СОШЛОСЬ"),IF(ABS(AB45)&gt;0.01,"ЧАСТИЧНО","НЕОПРЕДЕЛЕНО")))</x:f>
      </x:c>
      <x:c r="AF45" s="190"/>
      <x:c r="AG45" s="202"/>
      <x:c r="AH45" s="214" t="str">
        <x:f>IF(COUNTA(AF45:AG45)=0,"",N(AF45)-N(AG45))</x:f>
      </x:c>
      <x:c r="AI45" s="226" t="str">
        <x:f>IF(COUNTA(AF45:AG45)=0,"",SUMIFS('04_Влияние_ОПИУ'!$F$2:$F$2000,'04_Влияние_ОПИУ'!$B$2:$B$2000,"2025-05",'04_Влияние_ОПИУ'!$C$2:$C$2000,$A45,'04_Влияние_ОПИУ'!$G$2:$G$2000,"Да"))</x:f>
      </x:c>
      <x:c r="AJ45" s="238" t="str">
        <x:f>IF(COUNTA(AF45:AG45)=0,"",N(AG45)+N(AI45))</x:f>
      </x:c>
      <x:c r="AK45" s="252" t="str">
        <x:f>IF(COUNTA(AF45:AG45)=0,"",N(AF45)-N(AJ45))</x:f>
      </x:c>
      <x:c r="AL45" s="260" t="str">
        <x:f>IF(COUNTA(AF45:AG45)=0,"",IF(ABS(AK45)&lt;=0.01,IF(ABS(AI45)&gt;0.01,"СОШЛОСЬ ПОСЛЕ КОРР.","СОШЛОСЬ"),IF(ABS(AI45)&gt;0.01,"ЧАСТИЧНО","НЕОПРЕДЕЛЕНО")))</x:f>
      </x:c>
      <x:c r="AM45" s="190"/>
      <x:c r="AN45" s="202"/>
      <x:c r="AO45" s="214" t="str">
        <x:f>IF(COUNTA(AM45:AN45)=0,"",N(AM45)-N(AN45))</x:f>
      </x:c>
      <x:c r="AP45" s="226" t="str">
        <x:f>IF(COUNTA(AM45:AN45)=0,"",SUMIFS('04_Влияние_ОПИУ'!$F$2:$F$2000,'04_Влияние_ОПИУ'!$B$2:$B$2000,"2025-06",'04_Влияние_ОПИУ'!$C$2:$C$2000,$A45,'04_Влияние_ОПИУ'!$G$2:$G$2000,"Да"))</x:f>
      </x:c>
      <x:c r="AQ45" s="238" t="str">
        <x:f>IF(COUNTA(AM45:AN45)=0,"",N(AN45)+N(AP45))</x:f>
      </x:c>
      <x:c r="AR45" s="252" t="str">
        <x:f>IF(COUNTA(AM45:AN45)=0,"",N(AM45)-N(AQ45))</x:f>
      </x:c>
      <x:c r="AS45" s="260" t="str">
        <x:f>IF(COUNTA(AM45:AN45)=0,"",IF(ABS(AR45)&lt;=0.01,IF(ABS(AP45)&gt;0.01,"СОШЛОСЬ ПОСЛЕ КОРР.","СОШЛОСЬ"),IF(ABS(AP45)&gt;0.01,"ЧАСТИЧНО","НЕОПРЕДЕЛЕНО")))</x:f>
      </x:c>
      <x:c r="AT45" s="190"/>
      <x:c r="AU45" s="202"/>
      <x:c r="AV45" s="214" t="str">
        <x:f>IF(COUNTA(AT45:AU45)=0,"",N(AT45)-N(AU45))</x:f>
      </x:c>
      <x:c r="AW45" s="226" t="str">
        <x:f>IF(COUNTA(AT45:AU45)=0,"",SUMIFS('04_Влияние_ОПИУ'!$F$2:$F$2000,'04_Влияние_ОПИУ'!$B$2:$B$2000,"2025-07",'04_Влияние_ОПИУ'!$C$2:$C$2000,$A45,'04_Влияние_ОПИУ'!$G$2:$G$2000,"Да"))</x:f>
      </x:c>
      <x:c r="AX45" s="238" t="str">
        <x:f>IF(COUNTA(AT45:AU45)=0,"",N(AU45)+N(AW45))</x:f>
      </x:c>
      <x:c r="AY45" s="252" t="str">
        <x:f>IF(COUNTA(AT45:AU45)=0,"",N(AT45)-N(AX45))</x:f>
      </x:c>
      <x:c r="AZ45" s="260" t="str">
        <x:f>IF(COUNTA(AT45:AU45)=0,"",IF(ABS(AY45)&lt;=0.01,IF(ABS(AW45)&gt;0.01,"СОШЛОСЬ ПОСЛЕ КОРР.","СОШЛОСЬ"),IF(ABS(AW45)&gt;0.01,"ЧАСТИЧНО","НЕОПРЕДЕЛЕНО")))</x:f>
      </x:c>
      <x:c r="BA45" s="190"/>
      <x:c r="BB45" s="202"/>
      <x:c r="BC45" s="214" t="str">
        <x:f>IF(COUNTA(BA45:BB45)=0,"",N(BA45)-N(BB45))</x:f>
      </x:c>
      <x:c r="BD45" s="226" t="str">
        <x:f>IF(COUNTA(BA45:BB45)=0,"",SUMIFS('04_Влияние_ОПИУ'!$F$2:$F$2000,'04_Влияние_ОПИУ'!$B$2:$B$2000,"2025-08",'04_Влияние_ОПИУ'!$C$2:$C$2000,$A45,'04_Влияние_ОПИУ'!$G$2:$G$2000,"Да"))</x:f>
      </x:c>
      <x:c r="BE45" s="238" t="str">
        <x:f>IF(COUNTA(BA45:BB45)=0,"",N(BB45)+N(BD45))</x:f>
      </x:c>
      <x:c r="BF45" s="252" t="str">
        <x:f>IF(COUNTA(BA45:BB45)=0,"",N(BA45)-N(BE45))</x:f>
      </x:c>
      <x:c r="BG45" s="260" t="str">
        <x:f>IF(COUNTA(BA45:BB45)=0,"",IF(ABS(BF45)&lt;=0.01,IF(ABS(BD45)&gt;0.01,"СОШЛОСЬ ПОСЛЕ КОРР.","СОШЛОСЬ"),IF(ABS(BD45)&gt;0.01,"ЧАСТИЧНО","НЕОПРЕДЕЛЕНО")))</x:f>
      </x:c>
      <x:c r="BH45" s="190"/>
      <x:c r="BI45" s="202"/>
      <x:c r="BJ45" s="214" t="str">
        <x:f>IF(COUNTA(BH45:BI45)=0,"",N(BH45)-N(BI45))</x:f>
      </x:c>
      <x:c r="BK45" s="226" t="str">
        <x:f>IF(COUNTA(BH45:BI45)=0,"",SUMIFS('04_Влияние_ОПИУ'!$F$2:$F$2000,'04_Влияние_ОПИУ'!$B$2:$B$2000,"2025-09",'04_Влияние_ОПИУ'!$C$2:$C$2000,$A45,'04_Влияние_ОПИУ'!$G$2:$G$2000,"Да"))</x:f>
      </x:c>
      <x:c r="BL45" s="238" t="str">
        <x:f>IF(COUNTA(BH45:BI45)=0,"",N(BI45)+N(BK45))</x:f>
      </x:c>
      <x:c r="BM45" s="252" t="str">
        <x:f>IF(COUNTA(BH45:BI45)=0,"",N(BH45)-N(BL45))</x:f>
      </x:c>
      <x:c r="BN45" s="260" t="str">
        <x:f>IF(COUNTA(BH45:BI45)=0,"",IF(ABS(BM45)&lt;=0.01,IF(ABS(BK45)&gt;0.01,"СОШЛОСЬ ПОСЛЕ КОРР.","СОШЛОСЬ"),IF(ABS(BK45)&gt;0.01,"ЧАСТИЧНО","НЕОПРЕДЕЛЕНО")))</x:f>
      </x:c>
      <x:c r="BO45" s="190"/>
      <x:c r="BP45" s="202"/>
      <x:c r="BQ45" s="214" t="str">
        <x:f>IF(COUNTA(BO45:BP45)=0,"",N(BO45)-N(BP45))</x:f>
      </x:c>
      <x:c r="BR45" s="226" t="str">
        <x:f>IF(COUNTA(BO45:BP45)=0,"",SUMIFS('04_Влияние_ОПИУ'!$F$2:$F$2000,'04_Влияние_ОПИУ'!$B$2:$B$2000,"2025-10",'04_Влияние_ОПИУ'!$C$2:$C$2000,$A45,'04_Влияние_ОПИУ'!$G$2:$G$2000,"Да"))</x:f>
      </x:c>
      <x:c r="BS45" s="238" t="str">
        <x:f>IF(COUNTA(BO45:BP45)=0,"",N(BP45)+N(BR45))</x:f>
      </x:c>
      <x:c r="BT45" s="252" t="str">
        <x:f>IF(COUNTA(BO45:BP45)=0,"",N(BO45)-N(BS45))</x:f>
      </x:c>
      <x:c r="BU45" s="260" t="str">
        <x:f>IF(COUNTA(BO45:BP45)=0,"",IF(ABS(BT45)&lt;=0.01,IF(ABS(BR45)&gt;0.01,"СОШЛОСЬ ПОСЛЕ КОРР.","СОШЛОСЬ"),IF(ABS(BR45)&gt;0.01,"ЧАСТИЧНО","НЕОПРЕДЕЛЕНО")))</x:f>
      </x:c>
      <x:c r="BV45" s="190"/>
      <x:c r="BW45" s="202"/>
      <x:c r="BX45" s="214" t="str">
        <x:f>IF(COUNTA(BV45:BW45)=0,"",N(BV45)-N(BW45))</x:f>
      </x:c>
      <x:c r="BY45" s="226" t="str">
        <x:f>IF(COUNTA(BV45:BW45)=0,"",SUMIFS('04_Влияние_ОПИУ'!$F$2:$F$2000,'04_Влияние_ОПИУ'!$B$2:$B$2000,"2025-11",'04_Влияние_ОПИУ'!$C$2:$C$2000,$A45,'04_Влияние_ОПИУ'!$G$2:$G$2000,"Да"))</x:f>
      </x:c>
      <x:c r="BZ45" s="238" t="str">
        <x:f>IF(COUNTA(BV45:BW45)=0,"",N(BW45)+N(BY45))</x:f>
      </x:c>
      <x:c r="CA45" s="252" t="str">
        <x:f>IF(COUNTA(BV45:BW45)=0,"",N(BV45)-N(BZ45))</x:f>
      </x:c>
      <x:c r="CB45" s="260" t="str">
        <x:f>IF(COUNTA(BV45:BW45)=0,"",IF(ABS(CA45)&lt;=0.01,IF(ABS(BY45)&gt;0.01,"СОШЛОСЬ ПОСЛЕ КОРР.","СОШЛОСЬ"),IF(ABS(BY45)&gt;0.01,"ЧАСТИЧНО","НЕОПРЕДЕЛЕНО")))</x:f>
      </x:c>
      <x:c r="CC45" s="190"/>
      <x:c r="CD45" s="202"/>
      <x:c r="CE45" s="214" t="str">
        <x:f>IF(COUNTA(CC45:CD45)=0,"",N(CC45)-N(CD45))</x:f>
      </x:c>
      <x:c r="CF45" s="226" t="str">
        <x:f>IF(COUNTA(CC45:CD45)=0,"",SUMIFS('04_Влияние_ОПИУ'!$F$2:$F$2000,'04_Влияние_ОПИУ'!$B$2:$B$2000,"2025-12",'04_Влияние_ОПИУ'!$C$2:$C$2000,$A45,'04_Влияние_ОПИУ'!$G$2:$G$2000,"Да"))</x:f>
      </x:c>
      <x:c r="CG45" s="238" t="str">
        <x:f>IF(COUNTA(CC45:CD45)=0,"",N(CD45)+N(CF45))</x:f>
      </x:c>
      <x:c r="CH45" s="252" t="str">
        <x:f>IF(COUNTA(CC45:CD45)=0,"",N(CC45)-N(CG45))</x:f>
      </x:c>
      <x:c r="CI45" s="260" t="str">
        <x:f>IF(COUNTA(CC45:CD45)=0,"",IF(ABS(CH45)&lt;=0.01,IF(ABS(CF45)&gt;0.01,"СОШЛОСЬ ПОСЛЕ КОРР.","СОШЛОСЬ"),IF(ABS(CF45)&gt;0.01,"ЧАСТИЧНО","НЕОПРЕДЕЛЕНО")))</x:f>
      </x:c>
    </x:row>
    <x:row r="46">
      <x:c r="A46" s="174" t="str">
        <x:v>R041</x:v>
      </x:c>
      <x:c r="B46" s="174" t="str">
        <x:v>EBITDA</x:v>
      </x:c>
      <x:c r="C46" s="162" t="str">
        <x:v>EBITDA</x:v>
      </x:c>
      <x:c r="D46" s="190"/>
      <x:c r="E46" s="202"/>
      <x:c r="F46" s="214" t="str">
        <x:f>IF(COUNTA(D46:E46)=0,"",N(D46)-N(E46))</x:f>
      </x:c>
      <x:c r="G46" s="226" t="str">
        <x:f>IF(COUNTA(D46:E46)=0,"",SUMIFS('04_Влияние_ОПИУ'!$F$2:$F$2000,'04_Влияние_ОПИУ'!$B$2:$B$2000,"2025-01",'04_Влияние_ОПИУ'!$C$2:$C$2000,$A46,'04_Влияние_ОПИУ'!$G$2:$G$2000,"Да"))</x:f>
      </x:c>
      <x:c r="H46" s="238" t="str">
        <x:f>IF(COUNTA(D46:E46)=0,"",N(E46)+N(G46))</x:f>
      </x:c>
      <x:c r="I46" s="252" t="str">
        <x:f>IF(COUNTA(D46:E46)=0,"",N(D46)-N(H46))</x:f>
      </x:c>
      <x:c r="J46" s="260" t="str">
        <x:f>IF(COUNTA(D46:E46)=0,"",IF(ABS(I46)&lt;=0.01,IF(ABS(G46)&gt;0.01,"СОШЛОСЬ ПОСЛЕ КОРР.","СОШЛОСЬ"),IF(ABS(G46)&gt;0.01,"ЧАСТИЧНО","НЕОПРЕДЕЛЕНО")))</x:f>
      </x:c>
      <x:c r="K46" s="190"/>
      <x:c r="L46" s="202"/>
      <x:c r="M46" s="214" t="str">
        <x:f>IF(COUNTA(K46:L46)=0,"",N(K46)-N(L46))</x:f>
      </x:c>
      <x:c r="N46" s="226" t="str">
        <x:f>IF(COUNTA(K46:L46)=0,"",SUMIFS('04_Влияние_ОПИУ'!$F$2:$F$2000,'04_Влияние_ОПИУ'!$B$2:$B$2000,"2025-02",'04_Влияние_ОПИУ'!$C$2:$C$2000,$A46,'04_Влияние_ОПИУ'!$G$2:$G$2000,"Да"))</x:f>
      </x:c>
      <x:c r="O46" s="238" t="str">
        <x:f>IF(COUNTA(K46:L46)=0,"",N(L46)+N(N46))</x:f>
      </x:c>
      <x:c r="P46" s="252" t="str">
        <x:f>IF(COUNTA(K46:L46)=0,"",N(K46)-N(O46))</x:f>
      </x:c>
      <x:c r="Q46" s="260" t="str">
        <x:f>IF(COUNTA(K46:L46)=0,"",IF(ABS(P46)&lt;=0.01,IF(ABS(N46)&gt;0.01,"СОШЛОСЬ ПОСЛЕ КОРР.","СОШЛОСЬ"),IF(ABS(N46)&gt;0.01,"ЧАСТИЧНО","НЕОПРЕДЕЛЕНО")))</x:f>
      </x:c>
      <x:c r="R46" s="190"/>
      <x:c r="S46" s="202"/>
      <x:c r="T46" s="214" t="str">
        <x:f>IF(COUNTA(R46:S46)=0,"",N(R46)-N(S46))</x:f>
      </x:c>
      <x:c r="U46" s="226" t="str">
        <x:f>IF(COUNTA(R46:S46)=0,"",SUMIFS('04_Влияние_ОПИУ'!$F$2:$F$2000,'04_Влияние_ОПИУ'!$B$2:$B$2000,"2025-03",'04_Влияние_ОПИУ'!$C$2:$C$2000,$A46,'04_Влияние_ОПИУ'!$G$2:$G$2000,"Да"))</x:f>
      </x:c>
      <x:c r="V46" s="238" t="str">
        <x:f>IF(COUNTA(R46:S46)=0,"",N(S46)+N(U46))</x:f>
      </x:c>
      <x:c r="W46" s="252" t="str">
        <x:f>IF(COUNTA(R46:S46)=0,"",N(R46)-N(V46))</x:f>
      </x:c>
      <x:c r="X46" s="260" t="str">
        <x:f>IF(COUNTA(R46:S46)=0,"",IF(ABS(W46)&lt;=0.01,IF(ABS(U46)&gt;0.01,"СОШЛОСЬ ПОСЛЕ КОРР.","СОШЛОСЬ"),IF(ABS(U46)&gt;0.01,"ЧАСТИЧНО","НЕОПРЕДЕЛЕНО")))</x:f>
      </x:c>
      <x:c r="Y46" s="190"/>
      <x:c r="Z46" s="202"/>
      <x:c r="AA46" s="214" t="str">
        <x:f>IF(COUNTA(Y46:Z46)=0,"",N(Y46)-N(Z46))</x:f>
      </x:c>
      <x:c r="AB46" s="226" t="str">
        <x:f>IF(COUNTA(Y46:Z46)=0,"",SUMIFS('04_Влияние_ОПИУ'!$F$2:$F$2000,'04_Влияние_ОПИУ'!$B$2:$B$2000,"2025-04",'04_Влияние_ОПИУ'!$C$2:$C$2000,$A46,'04_Влияние_ОПИУ'!$G$2:$G$2000,"Да"))</x:f>
      </x:c>
      <x:c r="AC46" s="238" t="str">
        <x:f>IF(COUNTA(Y46:Z46)=0,"",N(Z46)+N(AB46))</x:f>
      </x:c>
      <x:c r="AD46" s="252" t="str">
        <x:f>IF(COUNTA(Y46:Z46)=0,"",N(Y46)-N(AC46))</x:f>
      </x:c>
      <x:c r="AE46" s="260" t="str">
        <x:f>IF(COUNTA(Y46:Z46)=0,"",IF(ABS(AD46)&lt;=0.01,IF(ABS(AB46)&gt;0.01,"СОШЛОСЬ ПОСЛЕ КОРР.","СОШЛОСЬ"),IF(ABS(AB46)&gt;0.01,"ЧАСТИЧНО","НЕОПРЕДЕЛЕНО")))</x:f>
      </x:c>
      <x:c r="AF46" s="190"/>
      <x:c r="AG46" s="202"/>
      <x:c r="AH46" s="214" t="str">
        <x:f>IF(COUNTA(AF46:AG46)=0,"",N(AF46)-N(AG46))</x:f>
      </x:c>
      <x:c r="AI46" s="226" t="str">
        <x:f>IF(COUNTA(AF46:AG46)=0,"",SUMIFS('04_Влияние_ОПИУ'!$F$2:$F$2000,'04_Влияние_ОПИУ'!$B$2:$B$2000,"2025-05",'04_Влияние_ОПИУ'!$C$2:$C$2000,$A46,'04_Влияние_ОПИУ'!$G$2:$G$2000,"Да"))</x:f>
      </x:c>
      <x:c r="AJ46" s="238" t="str">
        <x:f>IF(COUNTA(AF46:AG46)=0,"",N(AG46)+N(AI46))</x:f>
      </x:c>
      <x:c r="AK46" s="252" t="str">
        <x:f>IF(COUNTA(AF46:AG46)=0,"",N(AF46)-N(AJ46))</x:f>
      </x:c>
      <x:c r="AL46" s="260" t="str">
        <x:f>IF(COUNTA(AF46:AG46)=0,"",IF(ABS(AK46)&lt;=0.01,IF(ABS(AI46)&gt;0.01,"СОШЛОСЬ ПОСЛЕ КОРР.","СОШЛОСЬ"),IF(ABS(AI46)&gt;0.01,"ЧАСТИЧНО","НЕОПРЕДЕЛЕНО")))</x:f>
      </x:c>
      <x:c r="AM46" s="190"/>
      <x:c r="AN46" s="202"/>
      <x:c r="AO46" s="214" t="str">
        <x:f>IF(COUNTA(AM46:AN46)=0,"",N(AM46)-N(AN46))</x:f>
      </x:c>
      <x:c r="AP46" s="226" t="str">
        <x:f>IF(COUNTA(AM46:AN46)=0,"",SUMIFS('04_Влияние_ОПИУ'!$F$2:$F$2000,'04_Влияние_ОПИУ'!$B$2:$B$2000,"2025-06",'04_Влияние_ОПИУ'!$C$2:$C$2000,$A46,'04_Влияние_ОПИУ'!$G$2:$G$2000,"Да"))</x:f>
      </x:c>
      <x:c r="AQ46" s="238" t="str">
        <x:f>IF(COUNTA(AM46:AN46)=0,"",N(AN46)+N(AP46))</x:f>
      </x:c>
      <x:c r="AR46" s="252" t="str">
        <x:f>IF(COUNTA(AM46:AN46)=0,"",N(AM46)-N(AQ46))</x:f>
      </x:c>
      <x:c r="AS46" s="260" t="str">
        <x:f>IF(COUNTA(AM46:AN46)=0,"",IF(ABS(AR46)&lt;=0.01,IF(ABS(AP46)&gt;0.01,"СОШЛОСЬ ПОСЛЕ КОРР.","СОШЛОСЬ"),IF(ABS(AP46)&gt;0.01,"ЧАСТИЧНО","НЕОПРЕДЕЛЕНО")))</x:f>
      </x:c>
      <x:c r="AT46" s="190"/>
      <x:c r="AU46" s="202"/>
      <x:c r="AV46" s="214" t="str">
        <x:f>IF(COUNTA(AT46:AU46)=0,"",N(AT46)-N(AU46))</x:f>
      </x:c>
      <x:c r="AW46" s="226" t="str">
        <x:f>IF(COUNTA(AT46:AU46)=0,"",SUMIFS('04_Влияние_ОПИУ'!$F$2:$F$2000,'04_Влияние_ОПИУ'!$B$2:$B$2000,"2025-07",'04_Влияние_ОПИУ'!$C$2:$C$2000,$A46,'04_Влияние_ОПИУ'!$G$2:$G$2000,"Да"))</x:f>
      </x:c>
      <x:c r="AX46" s="238" t="str">
        <x:f>IF(COUNTA(AT46:AU46)=0,"",N(AU46)+N(AW46))</x:f>
      </x:c>
      <x:c r="AY46" s="252" t="str">
        <x:f>IF(COUNTA(AT46:AU46)=0,"",N(AT46)-N(AX46))</x:f>
      </x:c>
      <x:c r="AZ46" s="260" t="str">
        <x:f>IF(COUNTA(AT46:AU46)=0,"",IF(ABS(AY46)&lt;=0.01,IF(ABS(AW46)&gt;0.01,"СОШЛОСЬ ПОСЛЕ КОРР.","СОШЛОСЬ"),IF(ABS(AW46)&gt;0.01,"ЧАСТИЧНО","НЕОПРЕДЕЛЕНО")))</x:f>
      </x:c>
      <x:c r="BA46" s="190"/>
      <x:c r="BB46" s="202"/>
      <x:c r="BC46" s="214" t="str">
        <x:f>IF(COUNTA(BA46:BB46)=0,"",N(BA46)-N(BB46))</x:f>
      </x:c>
      <x:c r="BD46" s="226" t="str">
        <x:f>IF(COUNTA(BA46:BB46)=0,"",SUMIFS('04_Влияние_ОПИУ'!$F$2:$F$2000,'04_Влияние_ОПИУ'!$B$2:$B$2000,"2025-08",'04_Влияние_ОПИУ'!$C$2:$C$2000,$A46,'04_Влияние_ОПИУ'!$G$2:$G$2000,"Да"))</x:f>
      </x:c>
      <x:c r="BE46" s="238" t="str">
        <x:f>IF(COUNTA(BA46:BB46)=0,"",N(BB46)+N(BD46))</x:f>
      </x:c>
      <x:c r="BF46" s="252" t="str">
        <x:f>IF(COUNTA(BA46:BB46)=0,"",N(BA46)-N(BE46))</x:f>
      </x:c>
      <x:c r="BG46" s="260" t="str">
        <x:f>IF(COUNTA(BA46:BB46)=0,"",IF(ABS(BF46)&lt;=0.01,IF(ABS(BD46)&gt;0.01,"СОШЛОСЬ ПОСЛЕ КОРР.","СОШЛОСЬ"),IF(ABS(BD46)&gt;0.01,"ЧАСТИЧНО","НЕОПРЕДЕЛЕНО")))</x:f>
      </x:c>
      <x:c r="BH46" s="190"/>
      <x:c r="BI46" s="202"/>
      <x:c r="BJ46" s="214" t="str">
        <x:f>IF(COUNTA(BH46:BI46)=0,"",N(BH46)-N(BI46))</x:f>
      </x:c>
      <x:c r="BK46" s="226" t="str">
        <x:f>IF(COUNTA(BH46:BI46)=0,"",SUMIFS('04_Влияние_ОПИУ'!$F$2:$F$2000,'04_Влияние_ОПИУ'!$B$2:$B$2000,"2025-09",'04_Влияние_ОПИУ'!$C$2:$C$2000,$A46,'04_Влияние_ОПИУ'!$G$2:$G$2000,"Да"))</x:f>
      </x:c>
      <x:c r="BL46" s="238" t="str">
        <x:f>IF(COUNTA(BH46:BI46)=0,"",N(BI46)+N(BK46))</x:f>
      </x:c>
      <x:c r="BM46" s="252" t="str">
        <x:f>IF(COUNTA(BH46:BI46)=0,"",N(BH46)-N(BL46))</x:f>
      </x:c>
      <x:c r="BN46" s="260" t="str">
        <x:f>IF(COUNTA(BH46:BI46)=0,"",IF(ABS(BM46)&lt;=0.01,IF(ABS(BK46)&gt;0.01,"СОШЛОСЬ ПОСЛЕ КОРР.","СОШЛОСЬ"),IF(ABS(BK46)&gt;0.01,"ЧАСТИЧНО","НЕОПРЕДЕЛЕНО")))</x:f>
      </x:c>
      <x:c r="BO46" s="190"/>
      <x:c r="BP46" s="202"/>
      <x:c r="BQ46" s="214" t="str">
        <x:f>IF(COUNTA(BO46:BP46)=0,"",N(BO46)-N(BP46))</x:f>
      </x:c>
      <x:c r="BR46" s="226" t="str">
        <x:f>IF(COUNTA(BO46:BP46)=0,"",SUMIFS('04_Влияние_ОПИУ'!$F$2:$F$2000,'04_Влияние_ОПИУ'!$B$2:$B$2000,"2025-10",'04_Влияние_ОПИУ'!$C$2:$C$2000,$A46,'04_Влияние_ОПИУ'!$G$2:$G$2000,"Да"))</x:f>
      </x:c>
      <x:c r="BS46" s="238" t="str">
        <x:f>IF(COUNTA(BO46:BP46)=0,"",N(BP46)+N(BR46))</x:f>
      </x:c>
      <x:c r="BT46" s="252" t="str">
        <x:f>IF(COUNTA(BO46:BP46)=0,"",N(BO46)-N(BS46))</x:f>
      </x:c>
      <x:c r="BU46" s="260" t="str">
        <x:f>IF(COUNTA(BO46:BP46)=0,"",IF(ABS(BT46)&lt;=0.01,IF(ABS(BR46)&gt;0.01,"СОШЛОСЬ ПОСЛЕ КОРР.","СОШЛОСЬ"),IF(ABS(BR46)&gt;0.01,"ЧАСТИЧНО","НЕОПРЕДЕЛЕНО")))</x:f>
      </x:c>
      <x:c r="BV46" s="190"/>
      <x:c r="BW46" s="202"/>
      <x:c r="BX46" s="214" t="str">
        <x:f>IF(COUNTA(BV46:BW46)=0,"",N(BV46)-N(BW46))</x:f>
      </x:c>
      <x:c r="BY46" s="226" t="str">
        <x:f>IF(COUNTA(BV46:BW46)=0,"",SUMIFS('04_Влияние_ОПИУ'!$F$2:$F$2000,'04_Влияние_ОПИУ'!$B$2:$B$2000,"2025-11",'04_Влияние_ОПИУ'!$C$2:$C$2000,$A46,'04_Влияние_ОПИУ'!$G$2:$G$2000,"Да"))</x:f>
      </x:c>
      <x:c r="BZ46" s="238" t="str">
        <x:f>IF(COUNTA(BV46:BW46)=0,"",N(BW46)+N(BY46))</x:f>
      </x:c>
      <x:c r="CA46" s="252" t="str">
        <x:f>IF(COUNTA(BV46:BW46)=0,"",N(BV46)-N(BZ46))</x:f>
      </x:c>
      <x:c r="CB46" s="260" t="str">
        <x:f>IF(COUNTA(BV46:BW46)=0,"",IF(ABS(CA46)&lt;=0.01,IF(ABS(BY46)&gt;0.01,"СОШЛОСЬ ПОСЛЕ КОРР.","СОШЛОСЬ"),IF(ABS(BY46)&gt;0.01,"ЧАСТИЧНО","НЕОПРЕДЕЛЕНО")))</x:f>
      </x:c>
      <x:c r="CC46" s="190"/>
      <x:c r="CD46" s="202"/>
      <x:c r="CE46" s="214" t="str">
        <x:f>IF(COUNTA(CC46:CD46)=0,"",N(CC46)-N(CD46))</x:f>
      </x:c>
      <x:c r="CF46" s="226" t="str">
        <x:f>IF(COUNTA(CC46:CD46)=0,"",SUMIFS('04_Влияние_ОПИУ'!$F$2:$F$2000,'04_Влияние_ОПИУ'!$B$2:$B$2000,"2025-12",'04_Влияние_ОПИУ'!$C$2:$C$2000,$A46,'04_Влияние_ОПИУ'!$G$2:$G$2000,"Да"))</x:f>
      </x:c>
      <x:c r="CG46" s="238" t="str">
        <x:f>IF(COUNTA(CC46:CD46)=0,"",N(CD46)+N(CF46))</x:f>
      </x:c>
      <x:c r="CH46" s="252" t="str">
        <x:f>IF(COUNTA(CC46:CD46)=0,"",N(CC46)-N(CG46))</x:f>
      </x:c>
      <x:c r="CI46" s="260" t="str">
        <x:f>IF(COUNTA(CC46:CD46)=0,"",IF(ABS(CH46)&lt;=0.01,IF(ABS(CF46)&gt;0.01,"СОШЛОСЬ ПОСЛЕ КОРР.","СОШЛОСЬ"),IF(ABS(CF46)&gt;0.01,"ЧАСТИЧНО","НЕОПРЕДЕЛЕНО")))</x:f>
      </x:c>
    </x:row>
    <x:row r="47">
      <x:c r="A47" s="174" t="str">
        <x:v>R042</x:v>
      </x:c>
      <x:c r="B47" s="174" t="str">
        <x:v>Амортизация</x:v>
      </x:c>
      <x:c r="C47" s="162" t="str">
        <x:v>Амортизация</x:v>
      </x:c>
      <x:c r="D47" s="190"/>
      <x:c r="E47" s="202"/>
      <x:c r="F47" s="214" t="str">
        <x:f>IF(COUNTA(D47:E47)=0,"",N(D47)-N(E47))</x:f>
      </x:c>
      <x:c r="G47" s="226" t="str">
        <x:f>IF(COUNTA(D47:E47)=0,"",SUMIFS('04_Влияние_ОПИУ'!$F$2:$F$2000,'04_Влияние_ОПИУ'!$B$2:$B$2000,"2025-01",'04_Влияние_ОПИУ'!$C$2:$C$2000,$A47,'04_Влияние_ОПИУ'!$G$2:$G$2000,"Да"))</x:f>
      </x:c>
      <x:c r="H47" s="238" t="str">
        <x:f>IF(COUNTA(D47:E47)=0,"",N(E47)+N(G47))</x:f>
      </x:c>
      <x:c r="I47" s="252" t="str">
        <x:f>IF(COUNTA(D47:E47)=0,"",N(D47)-N(H47))</x:f>
      </x:c>
      <x:c r="J47" s="260" t="str">
        <x:f>IF(COUNTA(D47:E47)=0,"",IF(ABS(I47)&lt;=0.01,IF(ABS(G47)&gt;0.01,"СОШЛОСЬ ПОСЛЕ КОРР.","СОШЛОСЬ"),IF(ABS(G47)&gt;0.01,"ЧАСТИЧНО","НЕОПРЕДЕЛЕНО")))</x:f>
      </x:c>
      <x:c r="K47" s="190"/>
      <x:c r="L47" s="202"/>
      <x:c r="M47" s="214" t="str">
        <x:f>IF(COUNTA(K47:L47)=0,"",N(K47)-N(L47))</x:f>
      </x:c>
      <x:c r="N47" s="226" t="str">
        <x:f>IF(COUNTA(K47:L47)=0,"",SUMIFS('04_Влияние_ОПИУ'!$F$2:$F$2000,'04_Влияние_ОПИУ'!$B$2:$B$2000,"2025-02",'04_Влияние_ОПИУ'!$C$2:$C$2000,$A47,'04_Влияние_ОПИУ'!$G$2:$G$2000,"Да"))</x:f>
      </x:c>
      <x:c r="O47" s="238" t="str">
        <x:f>IF(COUNTA(K47:L47)=0,"",N(L47)+N(N47))</x:f>
      </x:c>
      <x:c r="P47" s="252" t="str">
        <x:f>IF(COUNTA(K47:L47)=0,"",N(K47)-N(O47))</x:f>
      </x:c>
      <x:c r="Q47" s="260" t="str">
        <x:f>IF(COUNTA(K47:L47)=0,"",IF(ABS(P47)&lt;=0.01,IF(ABS(N47)&gt;0.01,"СОШЛОСЬ ПОСЛЕ КОРР.","СОШЛОСЬ"),IF(ABS(N47)&gt;0.01,"ЧАСТИЧНО","НЕОПРЕДЕЛЕНО")))</x:f>
      </x:c>
      <x:c r="R47" s="190"/>
      <x:c r="S47" s="202"/>
      <x:c r="T47" s="214" t="str">
        <x:f>IF(COUNTA(R47:S47)=0,"",N(R47)-N(S47))</x:f>
      </x:c>
      <x:c r="U47" s="226" t="str">
        <x:f>IF(COUNTA(R47:S47)=0,"",SUMIFS('04_Влияние_ОПИУ'!$F$2:$F$2000,'04_Влияние_ОПИУ'!$B$2:$B$2000,"2025-03",'04_Влияние_ОПИУ'!$C$2:$C$2000,$A47,'04_Влияние_ОПИУ'!$G$2:$G$2000,"Да"))</x:f>
      </x:c>
      <x:c r="V47" s="238" t="str">
        <x:f>IF(COUNTA(R47:S47)=0,"",N(S47)+N(U47))</x:f>
      </x:c>
      <x:c r="W47" s="252" t="str">
        <x:f>IF(COUNTA(R47:S47)=0,"",N(R47)-N(V47))</x:f>
      </x:c>
      <x:c r="X47" s="260" t="str">
        <x:f>IF(COUNTA(R47:S47)=0,"",IF(ABS(W47)&lt;=0.01,IF(ABS(U47)&gt;0.01,"СОШЛОСЬ ПОСЛЕ КОРР.","СОШЛОСЬ"),IF(ABS(U47)&gt;0.01,"ЧАСТИЧНО","НЕОПРЕДЕЛЕНО")))</x:f>
      </x:c>
      <x:c r="Y47" s="190"/>
      <x:c r="Z47" s="202"/>
      <x:c r="AA47" s="214" t="str">
        <x:f>IF(COUNTA(Y47:Z47)=0,"",N(Y47)-N(Z47))</x:f>
      </x:c>
      <x:c r="AB47" s="226" t="str">
        <x:f>IF(COUNTA(Y47:Z47)=0,"",SUMIFS('04_Влияние_ОПИУ'!$F$2:$F$2000,'04_Влияние_ОПИУ'!$B$2:$B$2000,"2025-04",'04_Влияние_ОПИУ'!$C$2:$C$2000,$A47,'04_Влияние_ОПИУ'!$G$2:$G$2000,"Да"))</x:f>
      </x:c>
      <x:c r="AC47" s="238" t="str">
        <x:f>IF(COUNTA(Y47:Z47)=0,"",N(Z47)+N(AB47))</x:f>
      </x:c>
      <x:c r="AD47" s="252" t="str">
        <x:f>IF(COUNTA(Y47:Z47)=0,"",N(Y47)-N(AC47))</x:f>
      </x:c>
      <x:c r="AE47" s="260" t="str">
        <x:f>IF(COUNTA(Y47:Z47)=0,"",IF(ABS(AD47)&lt;=0.01,IF(ABS(AB47)&gt;0.01,"СОШЛОСЬ ПОСЛЕ КОРР.","СОШЛОСЬ"),IF(ABS(AB47)&gt;0.01,"ЧАСТИЧНО","НЕОПРЕДЕЛЕНО")))</x:f>
      </x:c>
      <x:c r="AF47" s="190"/>
      <x:c r="AG47" s="202"/>
      <x:c r="AH47" s="214" t="str">
        <x:f>IF(COUNTA(AF47:AG47)=0,"",N(AF47)-N(AG47))</x:f>
      </x:c>
      <x:c r="AI47" s="226" t="str">
        <x:f>IF(COUNTA(AF47:AG47)=0,"",SUMIFS('04_Влияние_ОПИУ'!$F$2:$F$2000,'04_Влияние_ОПИУ'!$B$2:$B$2000,"2025-05",'04_Влияние_ОПИУ'!$C$2:$C$2000,$A47,'04_Влияние_ОПИУ'!$G$2:$G$2000,"Да"))</x:f>
      </x:c>
      <x:c r="AJ47" s="238" t="str">
        <x:f>IF(COUNTA(AF47:AG47)=0,"",N(AG47)+N(AI47))</x:f>
      </x:c>
      <x:c r="AK47" s="252" t="str">
        <x:f>IF(COUNTA(AF47:AG47)=0,"",N(AF47)-N(AJ47))</x:f>
      </x:c>
      <x:c r="AL47" s="260" t="str">
        <x:f>IF(COUNTA(AF47:AG47)=0,"",IF(ABS(AK47)&lt;=0.01,IF(ABS(AI47)&gt;0.01,"СОШЛОСЬ ПОСЛЕ КОРР.","СОШЛОСЬ"),IF(ABS(AI47)&gt;0.01,"ЧАСТИЧНО","НЕОПРЕДЕЛЕНО")))</x:f>
      </x:c>
      <x:c r="AM47" s="190"/>
      <x:c r="AN47" s="202"/>
      <x:c r="AO47" s="214" t="str">
        <x:f>IF(COUNTA(AM47:AN47)=0,"",N(AM47)-N(AN47))</x:f>
      </x:c>
      <x:c r="AP47" s="226" t="str">
        <x:f>IF(COUNTA(AM47:AN47)=0,"",SUMIFS('04_Влияние_ОПИУ'!$F$2:$F$2000,'04_Влияние_ОПИУ'!$B$2:$B$2000,"2025-06",'04_Влияние_ОПИУ'!$C$2:$C$2000,$A47,'04_Влияние_ОПИУ'!$G$2:$G$2000,"Да"))</x:f>
      </x:c>
      <x:c r="AQ47" s="238" t="str">
        <x:f>IF(COUNTA(AM47:AN47)=0,"",N(AN47)+N(AP47))</x:f>
      </x:c>
      <x:c r="AR47" s="252" t="str">
        <x:f>IF(COUNTA(AM47:AN47)=0,"",N(AM47)-N(AQ47))</x:f>
      </x:c>
      <x:c r="AS47" s="260" t="str">
        <x:f>IF(COUNTA(AM47:AN47)=0,"",IF(ABS(AR47)&lt;=0.01,IF(ABS(AP47)&gt;0.01,"СОШЛОСЬ ПОСЛЕ КОРР.","СОШЛОСЬ"),IF(ABS(AP47)&gt;0.01,"ЧАСТИЧНО","НЕОПРЕДЕЛЕНО")))</x:f>
      </x:c>
      <x:c r="AT47" s="190"/>
      <x:c r="AU47" s="202"/>
      <x:c r="AV47" s="214" t="str">
        <x:f>IF(COUNTA(AT47:AU47)=0,"",N(AT47)-N(AU47))</x:f>
      </x:c>
      <x:c r="AW47" s="226" t="str">
        <x:f>IF(COUNTA(AT47:AU47)=0,"",SUMIFS('04_Влияние_ОПИУ'!$F$2:$F$2000,'04_Влияние_ОПИУ'!$B$2:$B$2000,"2025-07",'04_Влияние_ОПИУ'!$C$2:$C$2000,$A47,'04_Влияние_ОПИУ'!$G$2:$G$2000,"Да"))</x:f>
      </x:c>
      <x:c r="AX47" s="238" t="str">
        <x:f>IF(COUNTA(AT47:AU47)=0,"",N(AU47)+N(AW47))</x:f>
      </x:c>
      <x:c r="AY47" s="252" t="str">
        <x:f>IF(COUNTA(AT47:AU47)=0,"",N(AT47)-N(AX47))</x:f>
      </x:c>
      <x:c r="AZ47" s="260" t="str">
        <x:f>IF(COUNTA(AT47:AU47)=0,"",IF(ABS(AY47)&lt;=0.01,IF(ABS(AW47)&gt;0.01,"СОШЛОСЬ ПОСЛЕ КОРР.","СОШЛОСЬ"),IF(ABS(AW47)&gt;0.01,"ЧАСТИЧНО","НЕОПРЕДЕЛЕНО")))</x:f>
      </x:c>
      <x:c r="BA47" s="190"/>
      <x:c r="BB47" s="202"/>
      <x:c r="BC47" s="214" t="str">
        <x:f>IF(COUNTA(BA47:BB47)=0,"",N(BA47)-N(BB47))</x:f>
      </x:c>
      <x:c r="BD47" s="226" t="str">
        <x:f>IF(COUNTA(BA47:BB47)=0,"",SUMIFS('04_Влияние_ОПИУ'!$F$2:$F$2000,'04_Влияние_ОПИУ'!$B$2:$B$2000,"2025-08",'04_Влияние_ОПИУ'!$C$2:$C$2000,$A47,'04_Влияние_ОПИУ'!$G$2:$G$2000,"Да"))</x:f>
      </x:c>
      <x:c r="BE47" s="238" t="str">
        <x:f>IF(COUNTA(BA47:BB47)=0,"",N(BB47)+N(BD47))</x:f>
      </x:c>
      <x:c r="BF47" s="252" t="str">
        <x:f>IF(COUNTA(BA47:BB47)=0,"",N(BA47)-N(BE47))</x:f>
      </x:c>
      <x:c r="BG47" s="260" t="str">
        <x:f>IF(COUNTA(BA47:BB47)=0,"",IF(ABS(BF47)&lt;=0.01,IF(ABS(BD47)&gt;0.01,"СОШЛОСЬ ПОСЛЕ КОРР.","СОШЛОСЬ"),IF(ABS(BD47)&gt;0.01,"ЧАСТИЧНО","НЕОПРЕДЕЛЕНО")))</x:f>
      </x:c>
      <x:c r="BH47" s="190"/>
      <x:c r="BI47" s="202"/>
      <x:c r="BJ47" s="214" t="str">
        <x:f>IF(COUNTA(BH47:BI47)=0,"",N(BH47)-N(BI47))</x:f>
      </x:c>
      <x:c r="BK47" s="226" t="str">
        <x:f>IF(COUNTA(BH47:BI47)=0,"",SUMIFS('04_Влияние_ОПИУ'!$F$2:$F$2000,'04_Влияние_ОПИУ'!$B$2:$B$2000,"2025-09",'04_Влияние_ОПИУ'!$C$2:$C$2000,$A47,'04_Влияние_ОПИУ'!$G$2:$G$2000,"Да"))</x:f>
      </x:c>
      <x:c r="BL47" s="238" t="str">
        <x:f>IF(COUNTA(BH47:BI47)=0,"",N(BI47)+N(BK47))</x:f>
      </x:c>
      <x:c r="BM47" s="252" t="str">
        <x:f>IF(COUNTA(BH47:BI47)=0,"",N(BH47)-N(BL47))</x:f>
      </x:c>
      <x:c r="BN47" s="260" t="str">
        <x:f>IF(COUNTA(BH47:BI47)=0,"",IF(ABS(BM47)&lt;=0.01,IF(ABS(BK47)&gt;0.01,"СОШЛОСЬ ПОСЛЕ КОРР.","СОШЛОСЬ"),IF(ABS(BK47)&gt;0.01,"ЧАСТИЧНО","НЕОПРЕДЕЛЕНО")))</x:f>
      </x:c>
      <x:c r="BO47" s="190"/>
      <x:c r="BP47" s="202"/>
      <x:c r="BQ47" s="214" t="str">
        <x:f>IF(COUNTA(BO47:BP47)=0,"",N(BO47)-N(BP47))</x:f>
      </x:c>
      <x:c r="BR47" s="226" t="str">
        <x:f>IF(COUNTA(BO47:BP47)=0,"",SUMIFS('04_Влияние_ОПИУ'!$F$2:$F$2000,'04_Влияние_ОПИУ'!$B$2:$B$2000,"2025-10",'04_Влияние_ОПИУ'!$C$2:$C$2000,$A47,'04_Влияние_ОПИУ'!$G$2:$G$2000,"Да"))</x:f>
      </x:c>
      <x:c r="BS47" s="238" t="str">
        <x:f>IF(COUNTA(BO47:BP47)=0,"",N(BP47)+N(BR47))</x:f>
      </x:c>
      <x:c r="BT47" s="252" t="str">
        <x:f>IF(COUNTA(BO47:BP47)=0,"",N(BO47)-N(BS47))</x:f>
      </x:c>
      <x:c r="BU47" s="260" t="str">
        <x:f>IF(COUNTA(BO47:BP47)=0,"",IF(ABS(BT47)&lt;=0.01,IF(ABS(BR47)&gt;0.01,"СОШЛОСЬ ПОСЛЕ КОРР.","СОШЛОСЬ"),IF(ABS(BR47)&gt;0.01,"ЧАСТИЧНО","НЕОПРЕДЕЛЕНО")))</x:f>
      </x:c>
      <x:c r="BV47" s="190"/>
      <x:c r="BW47" s="202"/>
      <x:c r="BX47" s="214" t="str">
        <x:f>IF(COUNTA(BV47:BW47)=0,"",N(BV47)-N(BW47))</x:f>
      </x:c>
      <x:c r="BY47" s="226" t="str">
        <x:f>IF(COUNTA(BV47:BW47)=0,"",SUMIFS('04_Влияние_ОПИУ'!$F$2:$F$2000,'04_Влияние_ОПИУ'!$B$2:$B$2000,"2025-11",'04_Влияние_ОПИУ'!$C$2:$C$2000,$A47,'04_Влияние_ОПИУ'!$G$2:$G$2000,"Да"))</x:f>
      </x:c>
      <x:c r="BZ47" s="238" t="str">
        <x:f>IF(COUNTA(BV47:BW47)=0,"",N(BW47)+N(BY47))</x:f>
      </x:c>
      <x:c r="CA47" s="252" t="str">
        <x:f>IF(COUNTA(BV47:BW47)=0,"",N(BV47)-N(BZ47))</x:f>
      </x:c>
      <x:c r="CB47" s="260" t="str">
        <x:f>IF(COUNTA(BV47:BW47)=0,"",IF(ABS(CA47)&lt;=0.01,IF(ABS(BY47)&gt;0.01,"СОШЛОСЬ ПОСЛЕ КОРР.","СОШЛОСЬ"),IF(ABS(BY47)&gt;0.01,"ЧАСТИЧНО","НЕОПРЕДЕЛЕНО")))</x:f>
      </x:c>
      <x:c r="CC47" s="190"/>
      <x:c r="CD47" s="202"/>
      <x:c r="CE47" s="214" t="str">
        <x:f>IF(COUNTA(CC47:CD47)=0,"",N(CC47)-N(CD47))</x:f>
      </x:c>
      <x:c r="CF47" s="226" t="str">
        <x:f>IF(COUNTA(CC47:CD47)=0,"",SUMIFS('04_Влияние_ОПИУ'!$F$2:$F$2000,'04_Влияние_ОПИУ'!$B$2:$B$2000,"2025-12",'04_Влияние_ОПИУ'!$C$2:$C$2000,$A47,'04_Влияние_ОПИУ'!$G$2:$G$2000,"Да"))</x:f>
      </x:c>
      <x:c r="CG47" s="238" t="str">
        <x:f>IF(COUNTA(CC47:CD47)=0,"",N(CD47)+N(CF47))</x:f>
      </x:c>
      <x:c r="CH47" s="252" t="str">
        <x:f>IF(COUNTA(CC47:CD47)=0,"",N(CC47)-N(CG47))</x:f>
      </x:c>
      <x:c r="CI47" s="260" t="str">
        <x:f>IF(COUNTA(CC47:CD47)=0,"",IF(ABS(CH47)&lt;=0.01,IF(ABS(CF47)&gt;0.01,"СОШЛОСЬ ПОСЛЕ КОРР.","СОШЛОСЬ"),IF(ABS(CF47)&gt;0.01,"ЧАСТИЧНО","НЕОПРЕДЕЛЕНО")))</x:f>
      </x:c>
    </x:row>
    <x:row r="48">
      <x:c r="A48" s="174" t="str">
        <x:v>R043</x:v>
      </x:c>
      <x:c r="B48" s="174" t="str">
        <x:v>Налоги с доходов текущего периода</x:v>
      </x:c>
      <x:c r="C48" s="162" t="str">
        <x:v>Налоги кроме зарплатных</x:v>
      </x:c>
      <x:c r="D48" s="190"/>
      <x:c r="E48" s="202"/>
      <x:c r="F48" s="214" t="str">
        <x:f>IF(COUNTA(D48:E48)=0,"",N(D48)-N(E48))</x:f>
      </x:c>
      <x:c r="G48" s="226" t="str">
        <x:f>IF(COUNTA(D48:E48)=0,"",SUMIFS('04_Влияние_ОПИУ'!$F$2:$F$2000,'04_Влияние_ОПИУ'!$B$2:$B$2000,"2025-01",'04_Влияние_ОПИУ'!$C$2:$C$2000,$A48,'04_Влияние_ОПИУ'!$G$2:$G$2000,"Да"))</x:f>
      </x:c>
      <x:c r="H48" s="238" t="str">
        <x:f>IF(COUNTA(D48:E48)=0,"",N(E48)+N(G48))</x:f>
      </x:c>
      <x:c r="I48" s="252" t="str">
        <x:f>IF(COUNTA(D48:E48)=0,"",N(D48)-N(H48))</x:f>
      </x:c>
      <x:c r="J48" s="260" t="str">
        <x:f>IF(COUNTA(D48:E48)=0,"",IF(ABS(I48)&lt;=0.01,IF(ABS(G48)&gt;0.01,"СОШЛОСЬ ПОСЛЕ КОРР.","СОШЛОСЬ"),IF(ABS(G48)&gt;0.01,"ЧАСТИЧНО","НЕОПРЕДЕЛЕНО")))</x:f>
      </x:c>
      <x:c r="K48" s="190"/>
      <x:c r="L48" s="202"/>
      <x:c r="M48" s="214" t="str">
        <x:f>IF(COUNTA(K48:L48)=0,"",N(K48)-N(L48))</x:f>
      </x:c>
      <x:c r="N48" s="226" t="str">
        <x:f>IF(COUNTA(K48:L48)=0,"",SUMIFS('04_Влияние_ОПИУ'!$F$2:$F$2000,'04_Влияние_ОПИУ'!$B$2:$B$2000,"2025-02",'04_Влияние_ОПИУ'!$C$2:$C$2000,$A48,'04_Влияние_ОПИУ'!$G$2:$G$2000,"Да"))</x:f>
      </x:c>
      <x:c r="O48" s="238" t="str">
        <x:f>IF(COUNTA(K48:L48)=0,"",N(L48)+N(N48))</x:f>
      </x:c>
      <x:c r="P48" s="252" t="str">
        <x:f>IF(COUNTA(K48:L48)=0,"",N(K48)-N(O48))</x:f>
      </x:c>
      <x:c r="Q48" s="260" t="str">
        <x:f>IF(COUNTA(K48:L48)=0,"",IF(ABS(P48)&lt;=0.01,IF(ABS(N48)&gt;0.01,"СОШЛОСЬ ПОСЛЕ КОРР.","СОШЛОСЬ"),IF(ABS(N48)&gt;0.01,"ЧАСТИЧНО","НЕОПРЕДЕЛЕНО")))</x:f>
      </x:c>
      <x:c r="R48" s="190"/>
      <x:c r="S48" s="202"/>
      <x:c r="T48" s="214" t="str">
        <x:f>IF(COUNTA(R48:S48)=0,"",N(R48)-N(S48))</x:f>
      </x:c>
      <x:c r="U48" s="226" t="str">
        <x:f>IF(COUNTA(R48:S48)=0,"",SUMIFS('04_Влияние_ОПИУ'!$F$2:$F$2000,'04_Влияние_ОПИУ'!$B$2:$B$2000,"2025-03",'04_Влияние_ОПИУ'!$C$2:$C$2000,$A48,'04_Влияние_ОПИУ'!$G$2:$G$2000,"Да"))</x:f>
      </x:c>
      <x:c r="V48" s="238" t="str">
        <x:f>IF(COUNTA(R48:S48)=0,"",N(S48)+N(U48))</x:f>
      </x:c>
      <x:c r="W48" s="252" t="str">
        <x:f>IF(COUNTA(R48:S48)=0,"",N(R48)-N(V48))</x:f>
      </x:c>
      <x:c r="X48" s="260" t="str">
        <x:f>IF(COUNTA(R48:S48)=0,"",IF(ABS(W48)&lt;=0.01,IF(ABS(U48)&gt;0.01,"СОШЛОСЬ ПОСЛЕ КОРР.","СОШЛОСЬ"),IF(ABS(U48)&gt;0.01,"ЧАСТИЧНО","НЕОПРЕДЕЛЕНО")))</x:f>
      </x:c>
      <x:c r="Y48" s="190"/>
      <x:c r="Z48" s="202"/>
      <x:c r="AA48" s="214" t="str">
        <x:f>IF(COUNTA(Y48:Z48)=0,"",N(Y48)-N(Z48))</x:f>
      </x:c>
      <x:c r="AB48" s="226" t="str">
        <x:f>IF(COUNTA(Y48:Z48)=0,"",SUMIFS('04_Влияние_ОПИУ'!$F$2:$F$2000,'04_Влияние_ОПИУ'!$B$2:$B$2000,"2025-04",'04_Влияние_ОПИУ'!$C$2:$C$2000,$A48,'04_Влияние_ОПИУ'!$G$2:$G$2000,"Да"))</x:f>
      </x:c>
      <x:c r="AC48" s="238" t="str">
        <x:f>IF(COUNTA(Y48:Z48)=0,"",N(Z48)+N(AB48))</x:f>
      </x:c>
      <x:c r="AD48" s="252" t="str">
        <x:f>IF(COUNTA(Y48:Z48)=0,"",N(Y48)-N(AC48))</x:f>
      </x:c>
      <x:c r="AE48" s="260" t="str">
        <x:f>IF(COUNTA(Y48:Z48)=0,"",IF(ABS(AD48)&lt;=0.01,IF(ABS(AB48)&gt;0.01,"СОШЛОСЬ ПОСЛЕ КОРР.","СОШЛОСЬ"),IF(ABS(AB48)&gt;0.01,"ЧАСТИЧНО","НЕОПРЕДЕЛЕНО")))</x:f>
      </x:c>
      <x:c r="AF48" s="190"/>
      <x:c r="AG48" s="202"/>
      <x:c r="AH48" s="214" t="str">
        <x:f>IF(COUNTA(AF48:AG48)=0,"",N(AF48)-N(AG48))</x:f>
      </x:c>
      <x:c r="AI48" s="226" t="str">
        <x:f>IF(COUNTA(AF48:AG48)=0,"",SUMIFS('04_Влияние_ОПИУ'!$F$2:$F$2000,'04_Влияние_ОПИУ'!$B$2:$B$2000,"2025-05",'04_Влияние_ОПИУ'!$C$2:$C$2000,$A48,'04_Влияние_ОПИУ'!$G$2:$G$2000,"Да"))</x:f>
      </x:c>
      <x:c r="AJ48" s="238" t="str">
        <x:f>IF(COUNTA(AF48:AG48)=0,"",N(AG48)+N(AI48))</x:f>
      </x:c>
      <x:c r="AK48" s="252" t="str">
        <x:f>IF(COUNTA(AF48:AG48)=0,"",N(AF48)-N(AJ48))</x:f>
      </x:c>
      <x:c r="AL48" s="260" t="str">
        <x:f>IF(COUNTA(AF48:AG48)=0,"",IF(ABS(AK48)&lt;=0.01,IF(ABS(AI48)&gt;0.01,"СОШЛОСЬ ПОСЛЕ КОРР.","СОШЛОСЬ"),IF(ABS(AI48)&gt;0.01,"ЧАСТИЧНО","НЕОПРЕДЕЛЕНО")))</x:f>
      </x:c>
      <x:c r="AM48" s="190"/>
      <x:c r="AN48" s="202"/>
      <x:c r="AO48" s="214" t="str">
        <x:f>IF(COUNTA(AM48:AN48)=0,"",N(AM48)-N(AN48))</x:f>
      </x:c>
      <x:c r="AP48" s="226" t="str">
        <x:f>IF(COUNTA(AM48:AN48)=0,"",SUMIFS('04_Влияние_ОПИУ'!$F$2:$F$2000,'04_Влияние_ОПИУ'!$B$2:$B$2000,"2025-06",'04_Влияние_ОПИУ'!$C$2:$C$2000,$A48,'04_Влияние_ОПИУ'!$G$2:$G$2000,"Да"))</x:f>
      </x:c>
      <x:c r="AQ48" s="238" t="str">
        <x:f>IF(COUNTA(AM48:AN48)=0,"",N(AN48)+N(AP48))</x:f>
      </x:c>
      <x:c r="AR48" s="252" t="str">
        <x:f>IF(COUNTA(AM48:AN48)=0,"",N(AM48)-N(AQ48))</x:f>
      </x:c>
      <x:c r="AS48" s="260" t="str">
        <x:f>IF(COUNTA(AM48:AN48)=0,"",IF(ABS(AR48)&lt;=0.01,IF(ABS(AP48)&gt;0.01,"СОШЛОСЬ ПОСЛЕ КОРР.","СОШЛОСЬ"),IF(ABS(AP48)&gt;0.01,"ЧАСТИЧНО","НЕОПРЕДЕЛЕНО")))</x:f>
      </x:c>
      <x:c r="AT48" s="190"/>
      <x:c r="AU48" s="202"/>
      <x:c r="AV48" s="214" t="str">
        <x:f>IF(COUNTA(AT48:AU48)=0,"",N(AT48)-N(AU48))</x:f>
      </x:c>
      <x:c r="AW48" s="226" t="str">
        <x:f>IF(COUNTA(AT48:AU48)=0,"",SUMIFS('04_Влияние_ОПИУ'!$F$2:$F$2000,'04_Влияние_ОПИУ'!$B$2:$B$2000,"2025-07",'04_Влияние_ОПИУ'!$C$2:$C$2000,$A48,'04_Влияние_ОПИУ'!$G$2:$G$2000,"Да"))</x:f>
      </x:c>
      <x:c r="AX48" s="238" t="str">
        <x:f>IF(COUNTA(AT48:AU48)=0,"",N(AU48)+N(AW48))</x:f>
      </x:c>
      <x:c r="AY48" s="252" t="str">
        <x:f>IF(COUNTA(AT48:AU48)=0,"",N(AT48)-N(AX48))</x:f>
      </x:c>
      <x:c r="AZ48" s="260" t="str">
        <x:f>IF(COUNTA(AT48:AU48)=0,"",IF(ABS(AY48)&lt;=0.01,IF(ABS(AW48)&gt;0.01,"СОШЛОСЬ ПОСЛЕ КОРР.","СОШЛОСЬ"),IF(ABS(AW48)&gt;0.01,"ЧАСТИЧНО","НЕОПРЕДЕЛЕНО")))</x:f>
      </x:c>
      <x:c r="BA48" s="190"/>
      <x:c r="BB48" s="202"/>
      <x:c r="BC48" s="214" t="str">
        <x:f>IF(COUNTA(BA48:BB48)=0,"",N(BA48)-N(BB48))</x:f>
      </x:c>
      <x:c r="BD48" s="226" t="str">
        <x:f>IF(COUNTA(BA48:BB48)=0,"",SUMIFS('04_Влияние_ОПИУ'!$F$2:$F$2000,'04_Влияние_ОПИУ'!$B$2:$B$2000,"2025-08",'04_Влияние_ОПИУ'!$C$2:$C$2000,$A48,'04_Влияние_ОПИУ'!$G$2:$G$2000,"Да"))</x:f>
      </x:c>
      <x:c r="BE48" s="238" t="str">
        <x:f>IF(COUNTA(BA48:BB48)=0,"",N(BB48)+N(BD48))</x:f>
      </x:c>
      <x:c r="BF48" s="252" t="str">
        <x:f>IF(COUNTA(BA48:BB48)=0,"",N(BA48)-N(BE48))</x:f>
      </x:c>
      <x:c r="BG48" s="260" t="str">
        <x:f>IF(COUNTA(BA48:BB48)=0,"",IF(ABS(BF48)&lt;=0.01,IF(ABS(BD48)&gt;0.01,"СОШЛОСЬ ПОСЛЕ КОРР.","СОШЛОСЬ"),IF(ABS(BD48)&gt;0.01,"ЧАСТИЧНО","НЕОПРЕДЕЛЕНО")))</x:f>
      </x:c>
      <x:c r="BH48" s="190"/>
      <x:c r="BI48" s="202"/>
      <x:c r="BJ48" s="214" t="str">
        <x:f>IF(COUNTA(BH48:BI48)=0,"",N(BH48)-N(BI48))</x:f>
      </x:c>
      <x:c r="BK48" s="226" t="str">
        <x:f>IF(COUNTA(BH48:BI48)=0,"",SUMIFS('04_Влияние_ОПИУ'!$F$2:$F$2000,'04_Влияние_ОПИУ'!$B$2:$B$2000,"2025-09",'04_Влияние_ОПИУ'!$C$2:$C$2000,$A48,'04_Влияние_ОПИУ'!$G$2:$G$2000,"Да"))</x:f>
      </x:c>
      <x:c r="BL48" s="238" t="str">
        <x:f>IF(COUNTA(BH48:BI48)=0,"",N(BI48)+N(BK48))</x:f>
      </x:c>
      <x:c r="BM48" s="252" t="str">
        <x:f>IF(COUNTA(BH48:BI48)=0,"",N(BH48)-N(BL48))</x:f>
      </x:c>
      <x:c r="BN48" s="260" t="str">
        <x:f>IF(COUNTA(BH48:BI48)=0,"",IF(ABS(BM48)&lt;=0.01,IF(ABS(BK48)&gt;0.01,"СОШЛОСЬ ПОСЛЕ КОРР.","СОШЛОСЬ"),IF(ABS(BK48)&gt;0.01,"ЧАСТИЧНО","НЕОПРЕДЕЛЕНО")))</x:f>
      </x:c>
      <x:c r="BO48" s="190"/>
      <x:c r="BP48" s="202"/>
      <x:c r="BQ48" s="214" t="str">
        <x:f>IF(COUNTA(BO48:BP48)=0,"",N(BO48)-N(BP48))</x:f>
      </x:c>
      <x:c r="BR48" s="226" t="str">
        <x:f>IF(COUNTA(BO48:BP48)=0,"",SUMIFS('04_Влияние_ОПИУ'!$F$2:$F$2000,'04_Влияние_ОПИУ'!$B$2:$B$2000,"2025-10",'04_Влияние_ОПИУ'!$C$2:$C$2000,$A48,'04_Влияние_ОПИУ'!$G$2:$G$2000,"Да"))</x:f>
      </x:c>
      <x:c r="BS48" s="238" t="str">
        <x:f>IF(COUNTA(BO48:BP48)=0,"",N(BP48)+N(BR48))</x:f>
      </x:c>
      <x:c r="BT48" s="252" t="str">
        <x:f>IF(COUNTA(BO48:BP48)=0,"",N(BO48)-N(BS48))</x:f>
      </x:c>
      <x:c r="BU48" s="260" t="str">
        <x:f>IF(COUNTA(BO48:BP48)=0,"",IF(ABS(BT48)&lt;=0.01,IF(ABS(BR48)&gt;0.01,"СОШЛОСЬ ПОСЛЕ КОРР.","СОШЛОСЬ"),IF(ABS(BR48)&gt;0.01,"ЧАСТИЧНО","НЕОПРЕДЕЛЕНО")))</x:f>
      </x:c>
      <x:c r="BV48" s="190"/>
      <x:c r="BW48" s="202"/>
      <x:c r="BX48" s="214" t="str">
        <x:f>IF(COUNTA(BV48:BW48)=0,"",N(BV48)-N(BW48))</x:f>
      </x:c>
      <x:c r="BY48" s="226" t="str">
        <x:f>IF(COUNTA(BV48:BW48)=0,"",SUMIFS('04_Влияние_ОПИУ'!$F$2:$F$2000,'04_Влияние_ОПИУ'!$B$2:$B$2000,"2025-11",'04_Влияние_ОПИУ'!$C$2:$C$2000,$A48,'04_Влияние_ОПИУ'!$G$2:$G$2000,"Да"))</x:f>
      </x:c>
      <x:c r="BZ48" s="238" t="str">
        <x:f>IF(COUNTA(BV48:BW48)=0,"",N(BW48)+N(BY48))</x:f>
      </x:c>
      <x:c r="CA48" s="252" t="str">
        <x:f>IF(COUNTA(BV48:BW48)=0,"",N(BV48)-N(BZ48))</x:f>
      </x:c>
      <x:c r="CB48" s="260" t="str">
        <x:f>IF(COUNTA(BV48:BW48)=0,"",IF(ABS(CA48)&lt;=0.01,IF(ABS(BY48)&gt;0.01,"СОШЛОСЬ ПОСЛЕ КОРР.","СОШЛОСЬ"),IF(ABS(BY48)&gt;0.01,"ЧАСТИЧНО","НЕОПРЕДЕЛЕНО")))</x:f>
      </x:c>
      <x:c r="CC48" s="190"/>
      <x:c r="CD48" s="202"/>
      <x:c r="CE48" s="214" t="str">
        <x:f>IF(COUNTA(CC48:CD48)=0,"",N(CC48)-N(CD48))</x:f>
      </x:c>
      <x:c r="CF48" s="226" t="str">
        <x:f>IF(COUNTA(CC48:CD48)=0,"",SUMIFS('04_Влияние_ОПИУ'!$F$2:$F$2000,'04_Влияние_ОПИУ'!$B$2:$B$2000,"2025-12",'04_Влияние_ОПИУ'!$C$2:$C$2000,$A48,'04_Влияние_ОПИУ'!$G$2:$G$2000,"Да"))</x:f>
      </x:c>
      <x:c r="CG48" s="238" t="str">
        <x:f>IF(COUNTA(CC48:CD48)=0,"",N(CD48)+N(CF48))</x:f>
      </x:c>
      <x:c r="CH48" s="252" t="str">
        <x:f>IF(COUNTA(CC48:CD48)=0,"",N(CC48)-N(CG48))</x:f>
      </x:c>
      <x:c r="CI48" s="260" t="str">
        <x:f>IF(COUNTA(CC48:CD48)=0,"",IF(ABS(CH48)&lt;=0.01,IF(ABS(CF48)&gt;0.01,"СОШЛОСЬ ПОСЛЕ КОРР.","СОШЛОСЬ"),IF(ABS(CF48)&gt;0.01,"ЧАСТИЧНО","НЕОПРЕДЕЛЕНО")))</x:f>
      </x:c>
    </x:row>
    <x:row r="49">
      <x:c r="A49" s="174" t="str">
        <x:v>R044</x:v>
      </x:c>
      <x:c r="B49" s="174" t="str">
        <x:v>Операционная прибыль</x:v>
      </x:c>
      <x:c r="C49" s="162" t="str">
        <x:v>Операционная прибыль</x:v>
      </x:c>
      <x:c r="D49" s="190"/>
      <x:c r="E49" s="202"/>
      <x:c r="F49" s="214" t="str">
        <x:f>IF(COUNTA(D49:E49)=0,"",N(D49)-N(E49))</x:f>
      </x:c>
      <x:c r="G49" s="226" t="str">
        <x:f>IF(COUNTA(D49:E49)=0,"",SUMIFS('04_Влияние_ОПИУ'!$F$2:$F$2000,'04_Влияние_ОПИУ'!$B$2:$B$2000,"2025-01",'04_Влияние_ОПИУ'!$C$2:$C$2000,$A49,'04_Влияние_ОПИУ'!$G$2:$G$2000,"Да"))</x:f>
      </x:c>
      <x:c r="H49" s="238" t="str">
        <x:f>IF(COUNTA(D49:E49)=0,"",N(E49)+N(G49))</x:f>
      </x:c>
      <x:c r="I49" s="252" t="str">
        <x:f>IF(COUNTA(D49:E49)=0,"",N(D49)-N(H49))</x:f>
      </x:c>
      <x:c r="J49" s="260" t="str">
        <x:f>IF(COUNTA(D49:E49)=0,"",IF(ABS(I49)&lt;=0.01,IF(ABS(G49)&gt;0.01,"СОШЛОСЬ ПОСЛЕ КОРР.","СОШЛОСЬ"),IF(ABS(G49)&gt;0.01,"ЧАСТИЧНО","НЕОПРЕДЕЛЕНО")))</x:f>
      </x:c>
      <x:c r="K49" s="190"/>
      <x:c r="L49" s="202"/>
      <x:c r="M49" s="214" t="str">
        <x:f>IF(COUNTA(K49:L49)=0,"",N(K49)-N(L49))</x:f>
      </x:c>
      <x:c r="N49" s="226" t="str">
        <x:f>IF(COUNTA(K49:L49)=0,"",SUMIFS('04_Влияние_ОПИУ'!$F$2:$F$2000,'04_Влияние_ОПИУ'!$B$2:$B$2000,"2025-02",'04_Влияние_ОПИУ'!$C$2:$C$2000,$A49,'04_Влияние_ОПИУ'!$G$2:$G$2000,"Да"))</x:f>
      </x:c>
      <x:c r="O49" s="238" t="str">
        <x:f>IF(COUNTA(K49:L49)=0,"",N(L49)+N(N49))</x:f>
      </x:c>
      <x:c r="P49" s="252" t="str">
        <x:f>IF(COUNTA(K49:L49)=0,"",N(K49)-N(O49))</x:f>
      </x:c>
      <x:c r="Q49" s="260" t="str">
        <x:f>IF(COUNTA(K49:L49)=0,"",IF(ABS(P49)&lt;=0.01,IF(ABS(N49)&gt;0.01,"СОШЛОСЬ ПОСЛЕ КОРР.","СОШЛОСЬ"),IF(ABS(N49)&gt;0.01,"ЧАСТИЧНО","НЕОПРЕДЕЛЕНО")))</x:f>
      </x:c>
      <x:c r="R49" s="190"/>
      <x:c r="S49" s="202"/>
      <x:c r="T49" s="214" t="str">
        <x:f>IF(COUNTA(R49:S49)=0,"",N(R49)-N(S49))</x:f>
      </x:c>
      <x:c r="U49" s="226" t="str">
        <x:f>IF(COUNTA(R49:S49)=0,"",SUMIFS('04_Влияние_ОПИУ'!$F$2:$F$2000,'04_Влияние_ОПИУ'!$B$2:$B$2000,"2025-03",'04_Влияние_ОПИУ'!$C$2:$C$2000,$A49,'04_Влияние_ОПИУ'!$G$2:$G$2000,"Да"))</x:f>
      </x:c>
      <x:c r="V49" s="238" t="str">
        <x:f>IF(COUNTA(R49:S49)=0,"",N(S49)+N(U49))</x:f>
      </x:c>
      <x:c r="W49" s="252" t="str">
        <x:f>IF(COUNTA(R49:S49)=0,"",N(R49)-N(V49))</x:f>
      </x:c>
      <x:c r="X49" s="260" t="str">
        <x:f>IF(COUNTA(R49:S49)=0,"",IF(ABS(W49)&lt;=0.01,IF(ABS(U49)&gt;0.01,"СОШЛОСЬ ПОСЛЕ КОРР.","СОШЛОСЬ"),IF(ABS(U49)&gt;0.01,"ЧАСТИЧНО","НЕОПРЕДЕЛЕНО")))</x:f>
      </x:c>
      <x:c r="Y49" s="190"/>
      <x:c r="Z49" s="202"/>
      <x:c r="AA49" s="214" t="str">
        <x:f>IF(COUNTA(Y49:Z49)=0,"",N(Y49)-N(Z49))</x:f>
      </x:c>
      <x:c r="AB49" s="226" t="str">
        <x:f>IF(COUNTA(Y49:Z49)=0,"",SUMIFS('04_Влияние_ОПИУ'!$F$2:$F$2000,'04_Влияние_ОПИУ'!$B$2:$B$2000,"2025-04",'04_Влияние_ОПИУ'!$C$2:$C$2000,$A49,'04_Влияние_ОПИУ'!$G$2:$G$2000,"Да"))</x:f>
      </x:c>
      <x:c r="AC49" s="238" t="str">
        <x:f>IF(COUNTA(Y49:Z49)=0,"",N(Z49)+N(AB49))</x:f>
      </x:c>
      <x:c r="AD49" s="252" t="str">
        <x:f>IF(COUNTA(Y49:Z49)=0,"",N(Y49)-N(AC49))</x:f>
      </x:c>
      <x:c r="AE49" s="260" t="str">
        <x:f>IF(COUNTA(Y49:Z49)=0,"",IF(ABS(AD49)&lt;=0.01,IF(ABS(AB49)&gt;0.01,"СОШЛОСЬ ПОСЛЕ КОРР.","СОШЛОСЬ"),IF(ABS(AB49)&gt;0.01,"ЧАСТИЧНО","НЕОПРЕДЕЛЕНО")))</x:f>
      </x:c>
      <x:c r="AF49" s="190"/>
      <x:c r="AG49" s="202"/>
      <x:c r="AH49" s="214" t="str">
        <x:f>IF(COUNTA(AF49:AG49)=0,"",N(AF49)-N(AG49))</x:f>
      </x:c>
      <x:c r="AI49" s="226" t="str">
        <x:f>IF(COUNTA(AF49:AG49)=0,"",SUMIFS('04_Влияние_ОПИУ'!$F$2:$F$2000,'04_Влияние_ОПИУ'!$B$2:$B$2000,"2025-05",'04_Влияние_ОПИУ'!$C$2:$C$2000,$A49,'04_Влияние_ОПИУ'!$G$2:$G$2000,"Да"))</x:f>
      </x:c>
      <x:c r="AJ49" s="238" t="str">
        <x:f>IF(COUNTA(AF49:AG49)=0,"",N(AG49)+N(AI49))</x:f>
      </x:c>
      <x:c r="AK49" s="252" t="str">
        <x:f>IF(COUNTA(AF49:AG49)=0,"",N(AF49)-N(AJ49))</x:f>
      </x:c>
      <x:c r="AL49" s="260" t="str">
        <x:f>IF(COUNTA(AF49:AG49)=0,"",IF(ABS(AK49)&lt;=0.01,IF(ABS(AI49)&gt;0.01,"СОШЛОСЬ ПОСЛЕ КОРР.","СОШЛОСЬ"),IF(ABS(AI49)&gt;0.01,"ЧАСТИЧНО","НЕОПРЕДЕЛЕНО")))</x:f>
      </x:c>
      <x:c r="AM49" s="190"/>
      <x:c r="AN49" s="202"/>
      <x:c r="AO49" s="214" t="str">
        <x:f>IF(COUNTA(AM49:AN49)=0,"",N(AM49)-N(AN49))</x:f>
      </x:c>
      <x:c r="AP49" s="226" t="str">
        <x:f>IF(COUNTA(AM49:AN49)=0,"",SUMIFS('04_Влияние_ОПИУ'!$F$2:$F$2000,'04_Влияние_ОПИУ'!$B$2:$B$2000,"2025-06",'04_Влияние_ОПИУ'!$C$2:$C$2000,$A49,'04_Влияние_ОПИУ'!$G$2:$G$2000,"Да"))</x:f>
      </x:c>
      <x:c r="AQ49" s="238" t="str">
        <x:f>IF(COUNTA(AM49:AN49)=0,"",N(AN49)+N(AP49))</x:f>
      </x:c>
      <x:c r="AR49" s="252" t="str">
        <x:f>IF(COUNTA(AM49:AN49)=0,"",N(AM49)-N(AQ49))</x:f>
      </x:c>
      <x:c r="AS49" s="260" t="str">
        <x:f>IF(COUNTA(AM49:AN49)=0,"",IF(ABS(AR49)&lt;=0.01,IF(ABS(AP49)&gt;0.01,"СОШЛОСЬ ПОСЛЕ КОРР.","СОШЛОСЬ"),IF(ABS(AP49)&gt;0.01,"ЧАСТИЧНО","НЕОПРЕДЕЛЕНО")))</x:f>
      </x:c>
      <x:c r="AT49" s="190"/>
      <x:c r="AU49" s="202"/>
      <x:c r="AV49" s="214" t="str">
        <x:f>IF(COUNTA(AT49:AU49)=0,"",N(AT49)-N(AU49))</x:f>
      </x:c>
      <x:c r="AW49" s="226" t="str">
        <x:f>IF(COUNTA(AT49:AU49)=0,"",SUMIFS('04_Влияние_ОПИУ'!$F$2:$F$2000,'04_Влияние_ОПИУ'!$B$2:$B$2000,"2025-07",'04_Влияние_ОПИУ'!$C$2:$C$2000,$A49,'04_Влияние_ОПИУ'!$G$2:$G$2000,"Да"))</x:f>
      </x:c>
      <x:c r="AX49" s="238" t="str">
        <x:f>IF(COUNTA(AT49:AU49)=0,"",N(AU49)+N(AW49))</x:f>
      </x:c>
      <x:c r="AY49" s="252" t="str">
        <x:f>IF(COUNTA(AT49:AU49)=0,"",N(AT49)-N(AX49))</x:f>
      </x:c>
      <x:c r="AZ49" s="260" t="str">
        <x:f>IF(COUNTA(AT49:AU49)=0,"",IF(ABS(AY49)&lt;=0.01,IF(ABS(AW49)&gt;0.01,"СОШЛОСЬ ПОСЛЕ КОРР.","СОШЛОСЬ"),IF(ABS(AW49)&gt;0.01,"ЧАСТИЧНО","НЕОПРЕДЕЛЕНО")))</x:f>
      </x:c>
      <x:c r="BA49" s="190"/>
      <x:c r="BB49" s="202"/>
      <x:c r="BC49" s="214" t="str">
        <x:f>IF(COUNTA(BA49:BB49)=0,"",N(BA49)-N(BB49))</x:f>
      </x:c>
      <x:c r="BD49" s="226" t="str">
        <x:f>IF(COUNTA(BA49:BB49)=0,"",SUMIFS('04_Влияние_ОПИУ'!$F$2:$F$2000,'04_Влияние_ОПИУ'!$B$2:$B$2000,"2025-08",'04_Влияние_ОПИУ'!$C$2:$C$2000,$A49,'04_Влияние_ОПИУ'!$G$2:$G$2000,"Да"))</x:f>
      </x:c>
      <x:c r="BE49" s="238" t="str">
        <x:f>IF(COUNTA(BA49:BB49)=0,"",N(BB49)+N(BD49))</x:f>
      </x:c>
      <x:c r="BF49" s="252" t="str">
        <x:f>IF(COUNTA(BA49:BB49)=0,"",N(BA49)-N(BE49))</x:f>
      </x:c>
      <x:c r="BG49" s="260" t="str">
        <x:f>IF(COUNTA(BA49:BB49)=0,"",IF(ABS(BF49)&lt;=0.01,IF(ABS(BD49)&gt;0.01,"СОШЛОСЬ ПОСЛЕ КОРР.","СОШЛОСЬ"),IF(ABS(BD49)&gt;0.01,"ЧАСТИЧНО","НЕОПРЕДЕЛЕНО")))</x:f>
      </x:c>
      <x:c r="BH49" s="190"/>
      <x:c r="BI49" s="202"/>
      <x:c r="BJ49" s="214" t="str">
        <x:f>IF(COUNTA(BH49:BI49)=0,"",N(BH49)-N(BI49))</x:f>
      </x:c>
      <x:c r="BK49" s="226" t="str">
        <x:f>IF(COUNTA(BH49:BI49)=0,"",SUMIFS('04_Влияние_ОПИУ'!$F$2:$F$2000,'04_Влияние_ОПИУ'!$B$2:$B$2000,"2025-09",'04_Влияние_ОПИУ'!$C$2:$C$2000,$A49,'04_Влияние_ОПИУ'!$G$2:$G$2000,"Да"))</x:f>
      </x:c>
      <x:c r="BL49" s="238" t="str">
        <x:f>IF(COUNTA(BH49:BI49)=0,"",N(BI49)+N(BK49))</x:f>
      </x:c>
      <x:c r="BM49" s="252" t="str">
        <x:f>IF(COUNTA(BH49:BI49)=0,"",N(BH49)-N(BL49))</x:f>
      </x:c>
      <x:c r="BN49" s="260" t="str">
        <x:f>IF(COUNTA(BH49:BI49)=0,"",IF(ABS(BM49)&lt;=0.01,IF(ABS(BK49)&gt;0.01,"СОШЛОСЬ ПОСЛЕ КОРР.","СОШЛОСЬ"),IF(ABS(BK49)&gt;0.01,"ЧАСТИЧНО","НЕОПРЕДЕЛЕНО")))</x:f>
      </x:c>
      <x:c r="BO49" s="190"/>
      <x:c r="BP49" s="202"/>
      <x:c r="BQ49" s="214" t="str">
        <x:f>IF(COUNTA(BO49:BP49)=0,"",N(BO49)-N(BP49))</x:f>
      </x:c>
      <x:c r="BR49" s="226" t="str">
        <x:f>IF(COUNTA(BO49:BP49)=0,"",SUMIFS('04_Влияние_ОПИУ'!$F$2:$F$2000,'04_Влияние_ОПИУ'!$B$2:$B$2000,"2025-10",'04_Влияние_ОПИУ'!$C$2:$C$2000,$A49,'04_Влияние_ОПИУ'!$G$2:$G$2000,"Да"))</x:f>
      </x:c>
      <x:c r="BS49" s="238" t="str">
        <x:f>IF(COUNTA(BO49:BP49)=0,"",N(BP49)+N(BR49))</x:f>
      </x:c>
      <x:c r="BT49" s="252" t="str">
        <x:f>IF(COUNTA(BO49:BP49)=0,"",N(BO49)-N(BS49))</x:f>
      </x:c>
      <x:c r="BU49" s="260" t="str">
        <x:f>IF(COUNTA(BO49:BP49)=0,"",IF(ABS(BT49)&lt;=0.01,IF(ABS(BR49)&gt;0.01,"СОШЛОСЬ ПОСЛЕ КОРР.","СОШЛОСЬ"),IF(ABS(BR49)&gt;0.01,"ЧАСТИЧНО","НЕОПРЕДЕЛЕНО")))</x:f>
      </x:c>
      <x:c r="BV49" s="190"/>
      <x:c r="BW49" s="202"/>
      <x:c r="BX49" s="214" t="str">
        <x:f>IF(COUNTA(BV49:BW49)=0,"",N(BV49)-N(BW49))</x:f>
      </x:c>
      <x:c r="BY49" s="226" t="str">
        <x:f>IF(COUNTA(BV49:BW49)=0,"",SUMIFS('04_Влияние_ОПИУ'!$F$2:$F$2000,'04_Влияние_ОПИУ'!$B$2:$B$2000,"2025-11",'04_Влияние_ОПИУ'!$C$2:$C$2000,$A49,'04_Влияние_ОПИУ'!$G$2:$G$2000,"Да"))</x:f>
      </x:c>
      <x:c r="BZ49" s="238" t="str">
        <x:f>IF(COUNTA(BV49:BW49)=0,"",N(BW49)+N(BY49))</x:f>
      </x:c>
      <x:c r="CA49" s="252" t="str">
        <x:f>IF(COUNTA(BV49:BW49)=0,"",N(BV49)-N(BZ49))</x:f>
      </x:c>
      <x:c r="CB49" s="260" t="str">
        <x:f>IF(COUNTA(BV49:BW49)=0,"",IF(ABS(CA49)&lt;=0.01,IF(ABS(BY49)&gt;0.01,"СОШЛОСЬ ПОСЛЕ КОРР.","СОШЛОСЬ"),IF(ABS(BY49)&gt;0.01,"ЧАСТИЧНО","НЕОПРЕДЕЛЕНО")))</x:f>
      </x:c>
      <x:c r="CC49" s="190"/>
      <x:c r="CD49" s="202"/>
      <x:c r="CE49" s="214" t="str">
        <x:f>IF(COUNTA(CC49:CD49)=0,"",N(CC49)-N(CD49))</x:f>
      </x:c>
      <x:c r="CF49" s="226" t="str">
        <x:f>IF(COUNTA(CC49:CD49)=0,"",SUMIFS('04_Влияние_ОПИУ'!$F$2:$F$2000,'04_Влияние_ОПИУ'!$B$2:$B$2000,"2025-12",'04_Влияние_ОПИУ'!$C$2:$C$2000,$A49,'04_Влияние_ОПИУ'!$G$2:$G$2000,"Да"))</x:f>
      </x:c>
      <x:c r="CG49" s="238" t="str">
        <x:f>IF(COUNTA(CC49:CD49)=0,"",N(CD49)+N(CF49))</x:f>
      </x:c>
      <x:c r="CH49" s="252" t="str">
        <x:f>IF(COUNTA(CC49:CD49)=0,"",N(CC49)-N(CG49))</x:f>
      </x:c>
      <x:c r="CI49" s="260" t="str">
        <x:f>IF(COUNTA(CC49:CD49)=0,"",IF(ABS(CH49)&lt;=0.01,IF(ABS(CF49)&gt;0.01,"СОШЛОСЬ ПОСЛЕ КОРР.","СОШЛОСЬ"),IF(ABS(CF49)&gt;0.01,"ЧАСТИЧНО","НЕОПРЕДЕЛЕНО")))</x:f>
      </x:c>
    </x:row>
    <x:row r="50">
      <x:c r="A50" s="174" t="str">
        <x:v>R045</x:v>
      </x:c>
      <x:c r="B50" s="174" t="str">
        <x:v>Итоги по финансовой деятельности</x:v>
      </x:c>
      <x:c r="C50" s="162" t="str">
        <x:v>Результат по финансовой деятельности</x:v>
      </x:c>
      <x:c r="D50" s="190"/>
      <x:c r="E50" s="202"/>
      <x:c r="F50" s="214" t="str">
        <x:f>IF(COUNTA(D50:E50)=0,"",N(D50)-N(E50))</x:f>
      </x:c>
      <x:c r="G50" s="226" t="str">
        <x:f>IF(COUNTA(D50:E50)=0,"",SUMIFS('04_Влияние_ОПИУ'!$F$2:$F$2000,'04_Влияние_ОПИУ'!$B$2:$B$2000,"2025-01",'04_Влияние_ОПИУ'!$C$2:$C$2000,$A50,'04_Влияние_ОПИУ'!$G$2:$G$2000,"Да"))</x:f>
      </x:c>
      <x:c r="H50" s="238" t="str">
        <x:f>IF(COUNTA(D50:E50)=0,"",N(E50)+N(G50))</x:f>
      </x:c>
      <x:c r="I50" s="252" t="str">
        <x:f>IF(COUNTA(D50:E50)=0,"",N(D50)-N(H50))</x:f>
      </x:c>
      <x:c r="J50" s="260" t="str">
        <x:f>IF(COUNTA(D50:E50)=0,"",IF(ABS(I50)&lt;=0.01,IF(ABS(G50)&gt;0.01,"СОШЛОСЬ ПОСЛЕ КОРР.","СОШЛОСЬ"),IF(ABS(G50)&gt;0.01,"ЧАСТИЧНО","НЕОПРЕДЕЛЕНО")))</x:f>
      </x:c>
      <x:c r="K50" s="190"/>
      <x:c r="L50" s="202"/>
      <x:c r="M50" s="214" t="str">
        <x:f>IF(COUNTA(K50:L50)=0,"",N(K50)-N(L50))</x:f>
      </x:c>
      <x:c r="N50" s="226" t="str">
        <x:f>IF(COUNTA(K50:L50)=0,"",SUMIFS('04_Влияние_ОПИУ'!$F$2:$F$2000,'04_Влияние_ОПИУ'!$B$2:$B$2000,"2025-02",'04_Влияние_ОПИУ'!$C$2:$C$2000,$A50,'04_Влияние_ОПИУ'!$G$2:$G$2000,"Да"))</x:f>
      </x:c>
      <x:c r="O50" s="238" t="str">
        <x:f>IF(COUNTA(K50:L50)=0,"",N(L50)+N(N50))</x:f>
      </x:c>
      <x:c r="P50" s="252" t="str">
        <x:f>IF(COUNTA(K50:L50)=0,"",N(K50)-N(O50))</x:f>
      </x:c>
      <x:c r="Q50" s="260" t="str">
        <x:f>IF(COUNTA(K50:L50)=0,"",IF(ABS(P50)&lt;=0.01,IF(ABS(N50)&gt;0.01,"СОШЛОСЬ ПОСЛЕ КОРР.","СОШЛОСЬ"),IF(ABS(N50)&gt;0.01,"ЧАСТИЧНО","НЕОПРЕДЕЛЕНО")))</x:f>
      </x:c>
      <x:c r="R50" s="190"/>
      <x:c r="S50" s="202"/>
      <x:c r="T50" s="214" t="str">
        <x:f>IF(COUNTA(R50:S50)=0,"",N(R50)-N(S50))</x:f>
      </x:c>
      <x:c r="U50" s="226" t="str">
        <x:f>IF(COUNTA(R50:S50)=0,"",SUMIFS('04_Влияние_ОПИУ'!$F$2:$F$2000,'04_Влияние_ОПИУ'!$B$2:$B$2000,"2025-03",'04_Влияние_ОПИУ'!$C$2:$C$2000,$A50,'04_Влияние_ОПИУ'!$G$2:$G$2000,"Да"))</x:f>
      </x:c>
      <x:c r="V50" s="238" t="str">
        <x:f>IF(COUNTA(R50:S50)=0,"",N(S50)+N(U50))</x:f>
      </x:c>
      <x:c r="W50" s="252" t="str">
        <x:f>IF(COUNTA(R50:S50)=0,"",N(R50)-N(V50))</x:f>
      </x:c>
      <x:c r="X50" s="260" t="str">
        <x:f>IF(COUNTA(R50:S50)=0,"",IF(ABS(W50)&lt;=0.01,IF(ABS(U50)&gt;0.01,"СОШЛОСЬ ПОСЛЕ КОРР.","СОШЛОСЬ"),IF(ABS(U50)&gt;0.01,"ЧАСТИЧНО","НЕОПРЕДЕЛЕНО")))</x:f>
      </x:c>
      <x:c r="Y50" s="190"/>
      <x:c r="Z50" s="202"/>
      <x:c r="AA50" s="214" t="str">
        <x:f>IF(COUNTA(Y50:Z50)=0,"",N(Y50)-N(Z50))</x:f>
      </x:c>
      <x:c r="AB50" s="226" t="str">
        <x:f>IF(COUNTA(Y50:Z50)=0,"",SUMIFS('04_Влияние_ОПИУ'!$F$2:$F$2000,'04_Влияние_ОПИУ'!$B$2:$B$2000,"2025-04",'04_Влияние_ОПИУ'!$C$2:$C$2000,$A50,'04_Влияние_ОПИУ'!$G$2:$G$2000,"Да"))</x:f>
      </x:c>
      <x:c r="AC50" s="238" t="str">
        <x:f>IF(COUNTA(Y50:Z50)=0,"",N(Z50)+N(AB50))</x:f>
      </x:c>
      <x:c r="AD50" s="252" t="str">
        <x:f>IF(COUNTA(Y50:Z50)=0,"",N(Y50)-N(AC50))</x:f>
      </x:c>
      <x:c r="AE50" s="260" t="str">
        <x:f>IF(COUNTA(Y50:Z50)=0,"",IF(ABS(AD50)&lt;=0.01,IF(ABS(AB50)&gt;0.01,"СОШЛОСЬ ПОСЛЕ КОРР.","СОШЛОСЬ"),IF(ABS(AB50)&gt;0.01,"ЧАСТИЧНО","НЕОПРЕДЕЛЕНО")))</x:f>
      </x:c>
      <x:c r="AF50" s="190"/>
      <x:c r="AG50" s="202"/>
      <x:c r="AH50" s="214" t="str">
        <x:f>IF(COUNTA(AF50:AG50)=0,"",N(AF50)-N(AG50))</x:f>
      </x:c>
      <x:c r="AI50" s="226" t="str">
        <x:f>IF(COUNTA(AF50:AG50)=0,"",SUMIFS('04_Влияние_ОПИУ'!$F$2:$F$2000,'04_Влияние_ОПИУ'!$B$2:$B$2000,"2025-05",'04_Влияние_ОПИУ'!$C$2:$C$2000,$A50,'04_Влияние_ОПИУ'!$G$2:$G$2000,"Да"))</x:f>
      </x:c>
      <x:c r="AJ50" s="238" t="str">
        <x:f>IF(COUNTA(AF50:AG50)=0,"",N(AG50)+N(AI50))</x:f>
      </x:c>
      <x:c r="AK50" s="252" t="str">
        <x:f>IF(COUNTA(AF50:AG50)=0,"",N(AF50)-N(AJ50))</x:f>
      </x:c>
      <x:c r="AL50" s="260" t="str">
        <x:f>IF(COUNTA(AF50:AG50)=0,"",IF(ABS(AK50)&lt;=0.01,IF(ABS(AI50)&gt;0.01,"СОШЛОСЬ ПОСЛЕ КОРР.","СОШЛОСЬ"),IF(ABS(AI50)&gt;0.01,"ЧАСТИЧНО","НЕОПРЕДЕЛЕНО")))</x:f>
      </x:c>
      <x:c r="AM50" s="190"/>
      <x:c r="AN50" s="202"/>
      <x:c r="AO50" s="214" t="str">
        <x:f>IF(COUNTA(AM50:AN50)=0,"",N(AM50)-N(AN50))</x:f>
      </x:c>
      <x:c r="AP50" s="226" t="str">
        <x:f>IF(COUNTA(AM50:AN50)=0,"",SUMIFS('04_Влияние_ОПИУ'!$F$2:$F$2000,'04_Влияние_ОПИУ'!$B$2:$B$2000,"2025-06",'04_Влияние_ОПИУ'!$C$2:$C$2000,$A50,'04_Влияние_ОПИУ'!$G$2:$G$2000,"Да"))</x:f>
      </x:c>
      <x:c r="AQ50" s="238" t="str">
        <x:f>IF(COUNTA(AM50:AN50)=0,"",N(AN50)+N(AP50))</x:f>
      </x:c>
      <x:c r="AR50" s="252" t="str">
        <x:f>IF(COUNTA(AM50:AN50)=0,"",N(AM50)-N(AQ50))</x:f>
      </x:c>
      <x:c r="AS50" s="260" t="str">
        <x:f>IF(COUNTA(AM50:AN50)=0,"",IF(ABS(AR50)&lt;=0.01,IF(ABS(AP50)&gt;0.01,"СОШЛОСЬ ПОСЛЕ КОРР.","СОШЛОСЬ"),IF(ABS(AP50)&gt;0.01,"ЧАСТИЧНО","НЕОПРЕДЕЛЕНО")))</x:f>
      </x:c>
      <x:c r="AT50" s="190"/>
      <x:c r="AU50" s="202"/>
      <x:c r="AV50" s="214" t="str">
        <x:f>IF(COUNTA(AT50:AU50)=0,"",N(AT50)-N(AU50))</x:f>
      </x:c>
      <x:c r="AW50" s="226" t="str">
        <x:f>IF(COUNTA(AT50:AU50)=0,"",SUMIFS('04_Влияние_ОПИУ'!$F$2:$F$2000,'04_Влияние_ОПИУ'!$B$2:$B$2000,"2025-07",'04_Влияние_ОПИУ'!$C$2:$C$2000,$A50,'04_Влияние_ОПИУ'!$G$2:$G$2000,"Да"))</x:f>
      </x:c>
      <x:c r="AX50" s="238" t="str">
        <x:f>IF(COUNTA(AT50:AU50)=0,"",N(AU50)+N(AW50))</x:f>
      </x:c>
      <x:c r="AY50" s="252" t="str">
        <x:f>IF(COUNTA(AT50:AU50)=0,"",N(AT50)-N(AX50))</x:f>
      </x:c>
      <x:c r="AZ50" s="260" t="str">
        <x:f>IF(COUNTA(AT50:AU50)=0,"",IF(ABS(AY50)&lt;=0.01,IF(ABS(AW50)&gt;0.01,"СОШЛОСЬ ПОСЛЕ КОРР.","СОШЛОСЬ"),IF(ABS(AW50)&gt;0.01,"ЧАСТИЧНО","НЕОПРЕДЕЛЕНО")))</x:f>
      </x:c>
      <x:c r="BA50" s="190"/>
      <x:c r="BB50" s="202"/>
      <x:c r="BC50" s="214" t="str">
        <x:f>IF(COUNTA(BA50:BB50)=0,"",N(BA50)-N(BB50))</x:f>
      </x:c>
      <x:c r="BD50" s="226" t="str">
        <x:f>IF(COUNTA(BA50:BB50)=0,"",SUMIFS('04_Влияние_ОПИУ'!$F$2:$F$2000,'04_Влияние_ОПИУ'!$B$2:$B$2000,"2025-08",'04_Влияние_ОПИУ'!$C$2:$C$2000,$A50,'04_Влияние_ОПИУ'!$G$2:$G$2000,"Да"))</x:f>
      </x:c>
      <x:c r="BE50" s="238" t="str">
        <x:f>IF(COUNTA(BA50:BB50)=0,"",N(BB50)+N(BD50))</x:f>
      </x:c>
      <x:c r="BF50" s="252" t="str">
        <x:f>IF(COUNTA(BA50:BB50)=0,"",N(BA50)-N(BE50))</x:f>
      </x:c>
      <x:c r="BG50" s="260" t="str">
        <x:f>IF(COUNTA(BA50:BB50)=0,"",IF(ABS(BF50)&lt;=0.01,IF(ABS(BD50)&gt;0.01,"СОШЛОСЬ ПОСЛЕ КОРР.","СОШЛОСЬ"),IF(ABS(BD50)&gt;0.01,"ЧАСТИЧНО","НЕОПРЕДЕЛЕНО")))</x:f>
      </x:c>
      <x:c r="BH50" s="190"/>
      <x:c r="BI50" s="202"/>
      <x:c r="BJ50" s="214" t="str">
        <x:f>IF(COUNTA(BH50:BI50)=0,"",N(BH50)-N(BI50))</x:f>
      </x:c>
      <x:c r="BK50" s="226" t="str">
        <x:f>IF(COUNTA(BH50:BI50)=0,"",SUMIFS('04_Влияние_ОПИУ'!$F$2:$F$2000,'04_Влияние_ОПИУ'!$B$2:$B$2000,"2025-09",'04_Влияние_ОПИУ'!$C$2:$C$2000,$A50,'04_Влияние_ОПИУ'!$G$2:$G$2000,"Да"))</x:f>
      </x:c>
      <x:c r="BL50" s="238" t="str">
        <x:f>IF(COUNTA(BH50:BI50)=0,"",N(BI50)+N(BK50))</x:f>
      </x:c>
      <x:c r="BM50" s="252" t="str">
        <x:f>IF(COUNTA(BH50:BI50)=0,"",N(BH50)-N(BL50))</x:f>
      </x:c>
      <x:c r="BN50" s="260" t="str">
        <x:f>IF(COUNTA(BH50:BI50)=0,"",IF(ABS(BM50)&lt;=0.01,IF(ABS(BK50)&gt;0.01,"СОШЛОСЬ ПОСЛЕ КОРР.","СОШЛОСЬ"),IF(ABS(BK50)&gt;0.01,"ЧАСТИЧНО","НЕОПРЕДЕЛЕНО")))</x:f>
      </x:c>
      <x:c r="BO50" s="190"/>
      <x:c r="BP50" s="202"/>
      <x:c r="BQ50" s="214" t="str">
        <x:f>IF(COUNTA(BO50:BP50)=0,"",N(BO50)-N(BP50))</x:f>
      </x:c>
      <x:c r="BR50" s="226" t="str">
        <x:f>IF(COUNTA(BO50:BP50)=0,"",SUMIFS('04_Влияние_ОПИУ'!$F$2:$F$2000,'04_Влияние_ОПИУ'!$B$2:$B$2000,"2025-10",'04_Влияние_ОПИУ'!$C$2:$C$2000,$A50,'04_Влияние_ОПИУ'!$G$2:$G$2000,"Да"))</x:f>
      </x:c>
      <x:c r="BS50" s="238" t="str">
        <x:f>IF(COUNTA(BO50:BP50)=0,"",N(BP50)+N(BR50))</x:f>
      </x:c>
      <x:c r="BT50" s="252" t="str">
        <x:f>IF(COUNTA(BO50:BP50)=0,"",N(BO50)-N(BS50))</x:f>
      </x:c>
      <x:c r="BU50" s="260" t="str">
        <x:f>IF(COUNTA(BO50:BP50)=0,"",IF(ABS(BT50)&lt;=0.01,IF(ABS(BR50)&gt;0.01,"СОШЛОСЬ ПОСЛЕ КОРР.","СОШЛОСЬ"),IF(ABS(BR50)&gt;0.01,"ЧАСТИЧНО","НЕОПРЕДЕЛЕНО")))</x:f>
      </x:c>
      <x:c r="BV50" s="190"/>
      <x:c r="BW50" s="202"/>
      <x:c r="BX50" s="214" t="str">
        <x:f>IF(COUNTA(BV50:BW50)=0,"",N(BV50)-N(BW50))</x:f>
      </x:c>
      <x:c r="BY50" s="226" t="str">
        <x:f>IF(COUNTA(BV50:BW50)=0,"",SUMIFS('04_Влияние_ОПИУ'!$F$2:$F$2000,'04_Влияние_ОПИУ'!$B$2:$B$2000,"2025-11",'04_Влияние_ОПИУ'!$C$2:$C$2000,$A50,'04_Влияние_ОПИУ'!$G$2:$G$2000,"Да"))</x:f>
      </x:c>
      <x:c r="BZ50" s="238" t="str">
        <x:f>IF(COUNTA(BV50:BW50)=0,"",N(BW50)+N(BY50))</x:f>
      </x:c>
      <x:c r="CA50" s="252" t="str">
        <x:f>IF(COUNTA(BV50:BW50)=0,"",N(BV50)-N(BZ50))</x:f>
      </x:c>
      <x:c r="CB50" s="260" t="str">
        <x:f>IF(COUNTA(BV50:BW50)=0,"",IF(ABS(CA50)&lt;=0.01,IF(ABS(BY50)&gt;0.01,"СОШЛОСЬ ПОСЛЕ КОРР.","СОШЛОСЬ"),IF(ABS(BY50)&gt;0.01,"ЧАСТИЧНО","НЕОПРЕДЕЛЕНО")))</x:f>
      </x:c>
      <x:c r="CC50" s="190"/>
      <x:c r="CD50" s="202"/>
      <x:c r="CE50" s="214" t="str">
        <x:f>IF(COUNTA(CC50:CD50)=0,"",N(CC50)-N(CD50))</x:f>
      </x:c>
      <x:c r="CF50" s="226" t="str">
        <x:f>IF(COUNTA(CC50:CD50)=0,"",SUMIFS('04_Влияние_ОПИУ'!$F$2:$F$2000,'04_Влияние_ОПИУ'!$B$2:$B$2000,"2025-12",'04_Влияние_ОПИУ'!$C$2:$C$2000,$A50,'04_Влияние_ОПИУ'!$G$2:$G$2000,"Да"))</x:f>
      </x:c>
      <x:c r="CG50" s="238" t="str">
        <x:f>IF(COUNTA(CC50:CD50)=0,"",N(CD50)+N(CF50))</x:f>
      </x:c>
      <x:c r="CH50" s="252" t="str">
        <x:f>IF(COUNTA(CC50:CD50)=0,"",N(CC50)-N(CG50))</x:f>
      </x:c>
      <x:c r="CI50" s="260" t="str">
        <x:f>IF(COUNTA(CC50:CD50)=0,"",IF(ABS(CH50)&lt;=0.01,IF(ABS(CF50)&gt;0.01,"СОШЛОСЬ ПОСЛЕ КОРР.","СОШЛОСЬ"),IF(ABS(CF50)&gt;0.01,"ЧАСТИЧНО","НЕОПРЕДЕЛЕНО")))</x:f>
      </x:c>
    </x:row>
    <x:row r="51">
      <x:c r="A51" s="158" t="str">
        <x:v>R046</x:v>
      </x:c>
      <x:c r="B51" s="158" t="str">
        <x:v>  Доходы по финансовой деятельности</x:v>
      </x:c>
      <x:c r="C51" s="162" t="str">
        <x:v>  Доход по финансовой деятельности</x:v>
      </x:c>
      <x:c r="D51" s="190"/>
      <x:c r="E51" s="202"/>
      <x:c r="F51" s="214" t="str">
        <x:f>IF(COUNTA(D51:E51)=0,"",N(D51)-N(E51))</x:f>
      </x:c>
      <x:c r="G51" s="226" t="str">
        <x:f>IF(COUNTA(D51:E51)=0,"",SUMIFS('04_Влияние_ОПИУ'!$F$2:$F$2000,'04_Влияние_ОПИУ'!$B$2:$B$2000,"2025-01",'04_Влияние_ОПИУ'!$C$2:$C$2000,$A51,'04_Влияние_ОПИУ'!$G$2:$G$2000,"Да"))</x:f>
      </x:c>
      <x:c r="H51" s="238" t="str">
        <x:f>IF(COUNTA(D51:E51)=0,"",N(E51)+N(G51))</x:f>
      </x:c>
      <x:c r="I51" s="252" t="str">
        <x:f>IF(COUNTA(D51:E51)=0,"",N(D51)-N(H51))</x:f>
      </x:c>
      <x:c r="J51" s="260" t="str">
        <x:f>IF(COUNTA(D51:E51)=0,"",IF(ABS(I51)&lt;=0.01,IF(ABS(G51)&gt;0.01,"СОШЛОСЬ ПОСЛЕ КОРР.","СОШЛОСЬ"),IF(ABS(G51)&gt;0.01,"ЧАСТИЧНО","НЕОПРЕДЕЛЕНО")))</x:f>
      </x:c>
      <x:c r="K51" s="190"/>
      <x:c r="L51" s="202"/>
      <x:c r="M51" s="214" t="str">
        <x:f>IF(COUNTA(K51:L51)=0,"",N(K51)-N(L51))</x:f>
      </x:c>
      <x:c r="N51" s="226" t="str">
        <x:f>IF(COUNTA(K51:L51)=0,"",SUMIFS('04_Влияние_ОПИУ'!$F$2:$F$2000,'04_Влияние_ОПИУ'!$B$2:$B$2000,"2025-02",'04_Влияние_ОПИУ'!$C$2:$C$2000,$A51,'04_Влияние_ОПИУ'!$G$2:$G$2000,"Да"))</x:f>
      </x:c>
      <x:c r="O51" s="238" t="str">
        <x:f>IF(COUNTA(K51:L51)=0,"",N(L51)+N(N51))</x:f>
      </x:c>
      <x:c r="P51" s="252" t="str">
        <x:f>IF(COUNTA(K51:L51)=0,"",N(K51)-N(O51))</x:f>
      </x:c>
      <x:c r="Q51" s="260" t="str">
        <x:f>IF(COUNTA(K51:L51)=0,"",IF(ABS(P51)&lt;=0.01,IF(ABS(N51)&gt;0.01,"СОШЛОСЬ ПОСЛЕ КОРР.","СОШЛОСЬ"),IF(ABS(N51)&gt;0.01,"ЧАСТИЧНО","НЕОПРЕДЕЛЕНО")))</x:f>
      </x:c>
      <x:c r="R51" s="190"/>
      <x:c r="S51" s="202"/>
      <x:c r="T51" s="214" t="str">
        <x:f>IF(COUNTA(R51:S51)=0,"",N(R51)-N(S51))</x:f>
      </x:c>
      <x:c r="U51" s="226" t="str">
        <x:f>IF(COUNTA(R51:S51)=0,"",SUMIFS('04_Влияние_ОПИУ'!$F$2:$F$2000,'04_Влияние_ОПИУ'!$B$2:$B$2000,"2025-03",'04_Влияние_ОПИУ'!$C$2:$C$2000,$A51,'04_Влияние_ОПИУ'!$G$2:$G$2000,"Да"))</x:f>
      </x:c>
      <x:c r="V51" s="238" t="str">
        <x:f>IF(COUNTA(R51:S51)=0,"",N(S51)+N(U51))</x:f>
      </x:c>
      <x:c r="W51" s="252" t="str">
        <x:f>IF(COUNTA(R51:S51)=0,"",N(R51)-N(V51))</x:f>
      </x:c>
      <x:c r="X51" s="260" t="str">
        <x:f>IF(COUNTA(R51:S51)=0,"",IF(ABS(W51)&lt;=0.01,IF(ABS(U51)&gt;0.01,"СОШЛОСЬ ПОСЛЕ КОРР.","СОШЛОСЬ"),IF(ABS(U51)&gt;0.01,"ЧАСТИЧНО","НЕОПРЕДЕЛЕНО")))</x:f>
      </x:c>
      <x:c r="Y51" s="190"/>
      <x:c r="Z51" s="202"/>
      <x:c r="AA51" s="214" t="str">
        <x:f>IF(COUNTA(Y51:Z51)=0,"",N(Y51)-N(Z51))</x:f>
      </x:c>
      <x:c r="AB51" s="226" t="str">
        <x:f>IF(COUNTA(Y51:Z51)=0,"",SUMIFS('04_Влияние_ОПИУ'!$F$2:$F$2000,'04_Влияние_ОПИУ'!$B$2:$B$2000,"2025-04",'04_Влияние_ОПИУ'!$C$2:$C$2000,$A51,'04_Влияние_ОПИУ'!$G$2:$G$2000,"Да"))</x:f>
      </x:c>
      <x:c r="AC51" s="238" t="str">
        <x:f>IF(COUNTA(Y51:Z51)=0,"",N(Z51)+N(AB51))</x:f>
      </x:c>
      <x:c r="AD51" s="252" t="str">
        <x:f>IF(COUNTA(Y51:Z51)=0,"",N(Y51)-N(AC51))</x:f>
      </x:c>
      <x:c r="AE51" s="260" t="str">
        <x:f>IF(COUNTA(Y51:Z51)=0,"",IF(ABS(AD51)&lt;=0.01,IF(ABS(AB51)&gt;0.01,"СОШЛОСЬ ПОСЛЕ КОРР.","СОШЛОСЬ"),IF(ABS(AB51)&gt;0.01,"ЧАСТИЧНО","НЕОПРЕДЕЛЕНО")))</x:f>
      </x:c>
      <x:c r="AF51" s="190"/>
      <x:c r="AG51" s="202"/>
      <x:c r="AH51" s="214" t="str">
        <x:f>IF(COUNTA(AF51:AG51)=0,"",N(AF51)-N(AG51))</x:f>
      </x:c>
      <x:c r="AI51" s="226" t="str">
        <x:f>IF(COUNTA(AF51:AG51)=0,"",SUMIFS('04_Влияние_ОПИУ'!$F$2:$F$2000,'04_Влияние_ОПИУ'!$B$2:$B$2000,"2025-05",'04_Влияние_ОПИУ'!$C$2:$C$2000,$A51,'04_Влияние_ОПИУ'!$G$2:$G$2000,"Да"))</x:f>
      </x:c>
      <x:c r="AJ51" s="238" t="str">
        <x:f>IF(COUNTA(AF51:AG51)=0,"",N(AG51)+N(AI51))</x:f>
      </x:c>
      <x:c r="AK51" s="252" t="str">
        <x:f>IF(COUNTA(AF51:AG51)=0,"",N(AF51)-N(AJ51))</x:f>
      </x:c>
      <x:c r="AL51" s="260" t="str">
        <x:f>IF(COUNTA(AF51:AG51)=0,"",IF(ABS(AK51)&lt;=0.01,IF(ABS(AI51)&gt;0.01,"СОШЛОСЬ ПОСЛЕ КОРР.","СОШЛОСЬ"),IF(ABS(AI51)&gt;0.01,"ЧАСТИЧНО","НЕОПРЕДЕЛЕНО")))</x:f>
      </x:c>
      <x:c r="AM51" s="190"/>
      <x:c r="AN51" s="202"/>
      <x:c r="AO51" s="214" t="str">
        <x:f>IF(COUNTA(AM51:AN51)=0,"",N(AM51)-N(AN51))</x:f>
      </x:c>
      <x:c r="AP51" s="226" t="str">
        <x:f>IF(COUNTA(AM51:AN51)=0,"",SUMIFS('04_Влияние_ОПИУ'!$F$2:$F$2000,'04_Влияние_ОПИУ'!$B$2:$B$2000,"2025-06",'04_Влияние_ОПИУ'!$C$2:$C$2000,$A51,'04_Влияние_ОПИУ'!$G$2:$G$2000,"Да"))</x:f>
      </x:c>
      <x:c r="AQ51" s="238" t="str">
        <x:f>IF(COUNTA(AM51:AN51)=0,"",N(AN51)+N(AP51))</x:f>
      </x:c>
      <x:c r="AR51" s="252" t="str">
        <x:f>IF(COUNTA(AM51:AN51)=0,"",N(AM51)-N(AQ51))</x:f>
      </x:c>
      <x:c r="AS51" s="260" t="str">
        <x:f>IF(COUNTA(AM51:AN51)=0,"",IF(ABS(AR51)&lt;=0.01,IF(ABS(AP51)&gt;0.01,"СОШЛОСЬ ПОСЛЕ КОРР.","СОШЛОСЬ"),IF(ABS(AP51)&gt;0.01,"ЧАСТИЧНО","НЕОПРЕДЕЛЕНО")))</x:f>
      </x:c>
      <x:c r="AT51" s="190"/>
      <x:c r="AU51" s="202"/>
      <x:c r="AV51" s="214" t="str">
        <x:f>IF(COUNTA(AT51:AU51)=0,"",N(AT51)-N(AU51))</x:f>
      </x:c>
      <x:c r="AW51" s="226" t="str">
        <x:f>IF(COUNTA(AT51:AU51)=0,"",SUMIFS('04_Влияние_ОПИУ'!$F$2:$F$2000,'04_Влияние_ОПИУ'!$B$2:$B$2000,"2025-07",'04_Влияние_ОПИУ'!$C$2:$C$2000,$A51,'04_Влияние_ОПИУ'!$G$2:$G$2000,"Да"))</x:f>
      </x:c>
      <x:c r="AX51" s="238" t="str">
        <x:f>IF(COUNTA(AT51:AU51)=0,"",N(AU51)+N(AW51))</x:f>
      </x:c>
      <x:c r="AY51" s="252" t="str">
        <x:f>IF(COUNTA(AT51:AU51)=0,"",N(AT51)-N(AX51))</x:f>
      </x:c>
      <x:c r="AZ51" s="260" t="str">
        <x:f>IF(COUNTA(AT51:AU51)=0,"",IF(ABS(AY51)&lt;=0.01,IF(ABS(AW51)&gt;0.01,"СОШЛОСЬ ПОСЛЕ КОРР.","СОШЛОСЬ"),IF(ABS(AW51)&gt;0.01,"ЧАСТИЧНО","НЕОПРЕДЕЛЕНО")))</x:f>
      </x:c>
      <x:c r="BA51" s="190"/>
      <x:c r="BB51" s="202"/>
      <x:c r="BC51" s="214" t="str">
        <x:f>IF(COUNTA(BA51:BB51)=0,"",N(BA51)-N(BB51))</x:f>
      </x:c>
      <x:c r="BD51" s="226" t="str">
        <x:f>IF(COUNTA(BA51:BB51)=0,"",SUMIFS('04_Влияние_ОПИУ'!$F$2:$F$2000,'04_Влияние_ОПИУ'!$B$2:$B$2000,"2025-08",'04_Влияние_ОПИУ'!$C$2:$C$2000,$A51,'04_Влияние_ОПИУ'!$G$2:$G$2000,"Да"))</x:f>
      </x:c>
      <x:c r="BE51" s="238" t="str">
        <x:f>IF(COUNTA(BA51:BB51)=0,"",N(BB51)+N(BD51))</x:f>
      </x:c>
      <x:c r="BF51" s="252" t="str">
        <x:f>IF(COUNTA(BA51:BB51)=0,"",N(BA51)-N(BE51))</x:f>
      </x:c>
      <x:c r="BG51" s="260" t="str">
        <x:f>IF(COUNTA(BA51:BB51)=0,"",IF(ABS(BF51)&lt;=0.01,IF(ABS(BD51)&gt;0.01,"СОШЛОСЬ ПОСЛЕ КОРР.","СОШЛОСЬ"),IF(ABS(BD51)&gt;0.01,"ЧАСТИЧНО","НЕОПРЕДЕЛЕНО")))</x:f>
      </x:c>
      <x:c r="BH51" s="190"/>
      <x:c r="BI51" s="202"/>
      <x:c r="BJ51" s="214" t="str">
        <x:f>IF(COUNTA(BH51:BI51)=0,"",N(BH51)-N(BI51))</x:f>
      </x:c>
      <x:c r="BK51" s="226" t="str">
        <x:f>IF(COUNTA(BH51:BI51)=0,"",SUMIFS('04_Влияние_ОПИУ'!$F$2:$F$2000,'04_Влияние_ОПИУ'!$B$2:$B$2000,"2025-09",'04_Влияние_ОПИУ'!$C$2:$C$2000,$A51,'04_Влияние_ОПИУ'!$G$2:$G$2000,"Да"))</x:f>
      </x:c>
      <x:c r="BL51" s="238" t="str">
        <x:f>IF(COUNTA(BH51:BI51)=0,"",N(BI51)+N(BK51))</x:f>
      </x:c>
      <x:c r="BM51" s="252" t="str">
        <x:f>IF(COUNTA(BH51:BI51)=0,"",N(BH51)-N(BL51))</x:f>
      </x:c>
      <x:c r="BN51" s="260" t="str">
        <x:f>IF(COUNTA(BH51:BI51)=0,"",IF(ABS(BM51)&lt;=0.01,IF(ABS(BK51)&gt;0.01,"СОШЛОСЬ ПОСЛЕ КОРР.","СОШЛОСЬ"),IF(ABS(BK51)&gt;0.01,"ЧАСТИЧНО","НЕОПРЕДЕЛЕНО")))</x:f>
      </x:c>
      <x:c r="BO51" s="190"/>
      <x:c r="BP51" s="202"/>
      <x:c r="BQ51" s="214" t="str">
        <x:f>IF(COUNTA(BO51:BP51)=0,"",N(BO51)-N(BP51))</x:f>
      </x:c>
      <x:c r="BR51" s="226" t="str">
        <x:f>IF(COUNTA(BO51:BP51)=0,"",SUMIFS('04_Влияние_ОПИУ'!$F$2:$F$2000,'04_Влияние_ОПИУ'!$B$2:$B$2000,"2025-10",'04_Влияние_ОПИУ'!$C$2:$C$2000,$A51,'04_Влияние_ОПИУ'!$G$2:$G$2000,"Да"))</x:f>
      </x:c>
      <x:c r="BS51" s="238" t="str">
        <x:f>IF(COUNTA(BO51:BP51)=0,"",N(BP51)+N(BR51))</x:f>
      </x:c>
      <x:c r="BT51" s="252" t="str">
        <x:f>IF(COUNTA(BO51:BP51)=0,"",N(BO51)-N(BS51))</x:f>
      </x:c>
      <x:c r="BU51" s="260" t="str">
        <x:f>IF(COUNTA(BO51:BP51)=0,"",IF(ABS(BT51)&lt;=0.01,IF(ABS(BR51)&gt;0.01,"СОШЛОСЬ ПОСЛЕ КОРР.","СОШЛОСЬ"),IF(ABS(BR51)&gt;0.01,"ЧАСТИЧНО","НЕОПРЕДЕЛЕНО")))</x:f>
      </x:c>
      <x:c r="BV51" s="190"/>
      <x:c r="BW51" s="202"/>
      <x:c r="BX51" s="214" t="str">
        <x:f>IF(COUNTA(BV51:BW51)=0,"",N(BV51)-N(BW51))</x:f>
      </x:c>
      <x:c r="BY51" s="226" t="str">
        <x:f>IF(COUNTA(BV51:BW51)=0,"",SUMIFS('04_Влияние_ОПИУ'!$F$2:$F$2000,'04_Влияние_ОПИУ'!$B$2:$B$2000,"2025-11",'04_Влияние_ОПИУ'!$C$2:$C$2000,$A51,'04_Влияние_ОПИУ'!$G$2:$G$2000,"Да"))</x:f>
      </x:c>
      <x:c r="BZ51" s="238" t="str">
        <x:f>IF(COUNTA(BV51:BW51)=0,"",N(BW51)+N(BY51))</x:f>
      </x:c>
      <x:c r="CA51" s="252" t="str">
        <x:f>IF(COUNTA(BV51:BW51)=0,"",N(BV51)-N(BZ51))</x:f>
      </x:c>
      <x:c r="CB51" s="260" t="str">
        <x:f>IF(COUNTA(BV51:BW51)=0,"",IF(ABS(CA51)&lt;=0.01,IF(ABS(BY51)&gt;0.01,"СОШЛОСЬ ПОСЛЕ КОРР.","СОШЛОСЬ"),IF(ABS(BY51)&gt;0.01,"ЧАСТИЧНО","НЕОПРЕДЕЛЕНО")))</x:f>
      </x:c>
      <x:c r="CC51" s="190"/>
      <x:c r="CD51" s="202"/>
      <x:c r="CE51" s="214" t="str">
        <x:f>IF(COUNTA(CC51:CD51)=0,"",N(CC51)-N(CD51))</x:f>
      </x:c>
      <x:c r="CF51" s="226" t="str">
        <x:f>IF(COUNTA(CC51:CD51)=0,"",SUMIFS('04_Влияние_ОПИУ'!$F$2:$F$2000,'04_Влияние_ОПИУ'!$B$2:$B$2000,"2025-12",'04_Влияние_ОПИУ'!$C$2:$C$2000,$A51,'04_Влияние_ОПИУ'!$G$2:$G$2000,"Да"))</x:f>
      </x:c>
      <x:c r="CG51" s="238" t="str">
        <x:f>IF(COUNTA(CC51:CD51)=0,"",N(CD51)+N(CF51))</x:f>
      </x:c>
      <x:c r="CH51" s="252" t="str">
        <x:f>IF(COUNTA(CC51:CD51)=0,"",N(CC51)-N(CG51))</x:f>
      </x:c>
      <x:c r="CI51" s="260" t="str">
        <x:f>IF(COUNTA(CC51:CD51)=0,"",IF(ABS(CH51)&lt;=0.01,IF(ABS(CF51)&gt;0.01,"СОШЛОСЬ ПОСЛЕ КОРР.","СОШЛОСЬ"),IF(ABS(CF51)&gt;0.01,"ЧАСТИЧНО","НЕОПРЕДЕЛЕНО")))</x:f>
      </x:c>
    </x:row>
    <x:row r="52">
      <x:c r="A52" s="166" t="str">
        <x:v>R047</x:v>
      </x:c>
      <x:c r="B52" s="166" t="str">
        <x:v>      % по депозитам</x:v>
      </x:c>
      <x:c r="C52" s="170"/>
      <x:c r="D52" s="190"/>
      <x:c r="E52" s="202"/>
      <x:c r="F52" s="214" t="str">
        <x:f>IF(COUNTA(D52:E52)=0,"",N(D52)-N(E52))</x:f>
      </x:c>
      <x:c r="G52" s="226" t="str">
        <x:f>IF(COUNTA(D52:E52)=0,"",SUMIFS('04_Влияние_ОПИУ'!$F$2:$F$2000,'04_Влияние_ОПИУ'!$B$2:$B$2000,"2025-01",'04_Влияние_ОПИУ'!$C$2:$C$2000,$A52,'04_Влияние_ОПИУ'!$G$2:$G$2000,"Да"))</x:f>
      </x:c>
      <x:c r="H52" s="238" t="str">
        <x:f>IF(COUNTA(D52:E52)=0,"",N(E52)+N(G52))</x:f>
      </x:c>
      <x:c r="I52" s="252" t="str">
        <x:f>IF(COUNTA(D52:E52)=0,"",N(D52)-N(H52))</x:f>
      </x:c>
      <x:c r="J52" s="260" t="str">
        <x:f>IF(COUNTA(D52:E52)=0,"",IF(ABS(I52)&lt;=0.01,IF(ABS(G52)&gt;0.01,"СОШЛОСЬ ПОСЛЕ КОРР.","СОШЛОСЬ"),IF(ABS(G52)&gt;0.01,"ЧАСТИЧНО","НЕОПРЕДЕЛЕНО")))</x:f>
      </x:c>
      <x:c r="K52" s="190"/>
      <x:c r="L52" s="202"/>
      <x:c r="M52" s="214" t="str">
        <x:f>IF(COUNTA(K52:L52)=0,"",N(K52)-N(L52))</x:f>
      </x:c>
      <x:c r="N52" s="226" t="str">
        <x:f>IF(COUNTA(K52:L52)=0,"",SUMIFS('04_Влияние_ОПИУ'!$F$2:$F$2000,'04_Влияние_ОПИУ'!$B$2:$B$2000,"2025-02",'04_Влияние_ОПИУ'!$C$2:$C$2000,$A52,'04_Влияние_ОПИУ'!$G$2:$G$2000,"Да"))</x:f>
      </x:c>
      <x:c r="O52" s="238" t="str">
        <x:f>IF(COUNTA(K52:L52)=0,"",N(L52)+N(N52))</x:f>
      </x:c>
      <x:c r="P52" s="252" t="str">
        <x:f>IF(COUNTA(K52:L52)=0,"",N(K52)-N(O52))</x:f>
      </x:c>
      <x:c r="Q52" s="260" t="str">
        <x:f>IF(COUNTA(K52:L52)=0,"",IF(ABS(P52)&lt;=0.01,IF(ABS(N52)&gt;0.01,"СОШЛОСЬ ПОСЛЕ КОРР.","СОШЛОСЬ"),IF(ABS(N52)&gt;0.01,"ЧАСТИЧНО","НЕОПРЕДЕЛЕНО")))</x:f>
      </x:c>
      <x:c r="R52" s="190"/>
      <x:c r="S52" s="202"/>
      <x:c r="T52" s="214" t="str">
        <x:f>IF(COUNTA(R52:S52)=0,"",N(R52)-N(S52))</x:f>
      </x:c>
      <x:c r="U52" s="226" t="str">
        <x:f>IF(COUNTA(R52:S52)=0,"",SUMIFS('04_Влияние_ОПИУ'!$F$2:$F$2000,'04_Влияние_ОПИУ'!$B$2:$B$2000,"2025-03",'04_Влияние_ОПИУ'!$C$2:$C$2000,$A52,'04_Влияние_ОПИУ'!$G$2:$G$2000,"Да"))</x:f>
      </x:c>
      <x:c r="V52" s="238" t="str">
        <x:f>IF(COUNTA(R52:S52)=0,"",N(S52)+N(U52))</x:f>
      </x:c>
      <x:c r="W52" s="252" t="str">
        <x:f>IF(COUNTA(R52:S52)=0,"",N(R52)-N(V52))</x:f>
      </x:c>
      <x:c r="X52" s="260" t="str">
        <x:f>IF(COUNTA(R52:S52)=0,"",IF(ABS(W52)&lt;=0.01,IF(ABS(U52)&gt;0.01,"СОШЛОСЬ ПОСЛЕ КОРР.","СОШЛОСЬ"),IF(ABS(U52)&gt;0.01,"ЧАСТИЧНО","НЕОПРЕДЕЛЕНО")))</x:f>
      </x:c>
      <x:c r="Y52" s="190"/>
      <x:c r="Z52" s="202"/>
      <x:c r="AA52" s="214" t="str">
        <x:f>IF(COUNTA(Y52:Z52)=0,"",N(Y52)-N(Z52))</x:f>
      </x:c>
      <x:c r="AB52" s="226" t="str">
        <x:f>IF(COUNTA(Y52:Z52)=0,"",SUMIFS('04_Влияние_ОПИУ'!$F$2:$F$2000,'04_Влияние_ОПИУ'!$B$2:$B$2000,"2025-04",'04_Влияние_ОПИУ'!$C$2:$C$2000,$A52,'04_Влияние_ОПИУ'!$G$2:$G$2000,"Да"))</x:f>
      </x:c>
      <x:c r="AC52" s="238" t="str">
        <x:f>IF(COUNTA(Y52:Z52)=0,"",N(Z52)+N(AB52))</x:f>
      </x:c>
      <x:c r="AD52" s="252" t="str">
        <x:f>IF(COUNTA(Y52:Z52)=0,"",N(Y52)-N(AC52))</x:f>
      </x:c>
      <x:c r="AE52" s="260" t="str">
        <x:f>IF(COUNTA(Y52:Z52)=0,"",IF(ABS(AD52)&lt;=0.01,IF(ABS(AB52)&gt;0.01,"СОШЛОСЬ ПОСЛЕ КОРР.","СОШЛОСЬ"),IF(ABS(AB52)&gt;0.01,"ЧАСТИЧНО","НЕОПРЕДЕЛЕНО")))</x:f>
      </x:c>
      <x:c r="AF52" s="190"/>
      <x:c r="AG52" s="202"/>
      <x:c r="AH52" s="214" t="str">
        <x:f>IF(COUNTA(AF52:AG52)=0,"",N(AF52)-N(AG52))</x:f>
      </x:c>
      <x:c r="AI52" s="226" t="str">
        <x:f>IF(COUNTA(AF52:AG52)=0,"",SUMIFS('04_Влияние_ОПИУ'!$F$2:$F$2000,'04_Влияние_ОПИУ'!$B$2:$B$2000,"2025-05",'04_Влияние_ОПИУ'!$C$2:$C$2000,$A52,'04_Влияние_ОПИУ'!$G$2:$G$2000,"Да"))</x:f>
      </x:c>
      <x:c r="AJ52" s="238" t="str">
        <x:f>IF(COUNTA(AF52:AG52)=0,"",N(AG52)+N(AI52))</x:f>
      </x:c>
      <x:c r="AK52" s="252" t="str">
        <x:f>IF(COUNTA(AF52:AG52)=0,"",N(AF52)-N(AJ52))</x:f>
      </x:c>
      <x:c r="AL52" s="260" t="str">
        <x:f>IF(COUNTA(AF52:AG52)=0,"",IF(ABS(AK52)&lt;=0.01,IF(ABS(AI52)&gt;0.01,"СОШЛОСЬ ПОСЛЕ КОРР.","СОШЛОСЬ"),IF(ABS(AI52)&gt;0.01,"ЧАСТИЧНО","НЕОПРЕДЕЛЕНО")))</x:f>
      </x:c>
      <x:c r="AM52" s="190"/>
      <x:c r="AN52" s="202"/>
      <x:c r="AO52" s="214" t="str">
        <x:f>IF(COUNTA(AM52:AN52)=0,"",N(AM52)-N(AN52))</x:f>
      </x:c>
      <x:c r="AP52" s="226" t="str">
        <x:f>IF(COUNTA(AM52:AN52)=0,"",SUMIFS('04_Влияние_ОПИУ'!$F$2:$F$2000,'04_Влияние_ОПИУ'!$B$2:$B$2000,"2025-06",'04_Влияние_ОПИУ'!$C$2:$C$2000,$A52,'04_Влияние_ОПИУ'!$G$2:$G$2000,"Да"))</x:f>
      </x:c>
      <x:c r="AQ52" s="238" t="str">
        <x:f>IF(COUNTA(AM52:AN52)=0,"",N(AN52)+N(AP52))</x:f>
      </x:c>
      <x:c r="AR52" s="252" t="str">
        <x:f>IF(COUNTA(AM52:AN52)=0,"",N(AM52)-N(AQ52))</x:f>
      </x:c>
      <x:c r="AS52" s="260" t="str">
        <x:f>IF(COUNTA(AM52:AN52)=0,"",IF(ABS(AR52)&lt;=0.01,IF(ABS(AP52)&gt;0.01,"СОШЛОСЬ ПОСЛЕ КОРР.","СОШЛОСЬ"),IF(ABS(AP52)&gt;0.01,"ЧАСТИЧНО","НЕОПРЕДЕЛЕНО")))</x:f>
      </x:c>
      <x:c r="AT52" s="190"/>
      <x:c r="AU52" s="202"/>
      <x:c r="AV52" s="214" t="str">
        <x:f>IF(COUNTA(AT52:AU52)=0,"",N(AT52)-N(AU52))</x:f>
      </x:c>
      <x:c r="AW52" s="226" t="str">
        <x:f>IF(COUNTA(AT52:AU52)=0,"",SUMIFS('04_Влияние_ОПИУ'!$F$2:$F$2000,'04_Влияние_ОПИУ'!$B$2:$B$2000,"2025-07",'04_Влияние_ОПИУ'!$C$2:$C$2000,$A52,'04_Влияние_ОПИУ'!$G$2:$G$2000,"Да"))</x:f>
      </x:c>
      <x:c r="AX52" s="238" t="str">
        <x:f>IF(COUNTA(AT52:AU52)=0,"",N(AU52)+N(AW52))</x:f>
      </x:c>
      <x:c r="AY52" s="252" t="str">
        <x:f>IF(COUNTA(AT52:AU52)=0,"",N(AT52)-N(AX52))</x:f>
      </x:c>
      <x:c r="AZ52" s="260" t="str">
        <x:f>IF(COUNTA(AT52:AU52)=0,"",IF(ABS(AY52)&lt;=0.01,IF(ABS(AW52)&gt;0.01,"СОШЛОСЬ ПОСЛЕ КОРР.","СОШЛОСЬ"),IF(ABS(AW52)&gt;0.01,"ЧАСТИЧНО","НЕОПРЕДЕЛЕНО")))</x:f>
      </x:c>
      <x:c r="BA52" s="190"/>
      <x:c r="BB52" s="202"/>
      <x:c r="BC52" s="214" t="str">
        <x:f>IF(COUNTA(BA52:BB52)=0,"",N(BA52)-N(BB52))</x:f>
      </x:c>
      <x:c r="BD52" s="226" t="str">
        <x:f>IF(COUNTA(BA52:BB52)=0,"",SUMIFS('04_Влияние_ОПИУ'!$F$2:$F$2000,'04_Влияние_ОПИУ'!$B$2:$B$2000,"2025-08",'04_Влияние_ОПИУ'!$C$2:$C$2000,$A52,'04_Влияние_ОПИУ'!$G$2:$G$2000,"Да"))</x:f>
      </x:c>
      <x:c r="BE52" s="238" t="str">
        <x:f>IF(COUNTA(BA52:BB52)=0,"",N(BB52)+N(BD52))</x:f>
      </x:c>
      <x:c r="BF52" s="252" t="str">
        <x:f>IF(COUNTA(BA52:BB52)=0,"",N(BA52)-N(BE52))</x:f>
      </x:c>
      <x:c r="BG52" s="260" t="str">
        <x:f>IF(COUNTA(BA52:BB52)=0,"",IF(ABS(BF52)&lt;=0.01,IF(ABS(BD52)&gt;0.01,"СОШЛОСЬ ПОСЛЕ КОРР.","СОШЛОСЬ"),IF(ABS(BD52)&gt;0.01,"ЧАСТИЧНО","НЕОПРЕДЕЛЕНО")))</x:f>
      </x:c>
      <x:c r="BH52" s="190"/>
      <x:c r="BI52" s="202"/>
      <x:c r="BJ52" s="214" t="str">
        <x:f>IF(COUNTA(BH52:BI52)=0,"",N(BH52)-N(BI52))</x:f>
      </x:c>
      <x:c r="BK52" s="226" t="str">
        <x:f>IF(COUNTA(BH52:BI52)=0,"",SUMIFS('04_Влияние_ОПИУ'!$F$2:$F$2000,'04_Влияние_ОПИУ'!$B$2:$B$2000,"2025-09",'04_Влияние_ОПИУ'!$C$2:$C$2000,$A52,'04_Влияние_ОПИУ'!$G$2:$G$2000,"Да"))</x:f>
      </x:c>
      <x:c r="BL52" s="238" t="str">
        <x:f>IF(COUNTA(BH52:BI52)=0,"",N(BI52)+N(BK52))</x:f>
      </x:c>
      <x:c r="BM52" s="252" t="str">
        <x:f>IF(COUNTA(BH52:BI52)=0,"",N(BH52)-N(BL52))</x:f>
      </x:c>
      <x:c r="BN52" s="260" t="str">
        <x:f>IF(COUNTA(BH52:BI52)=0,"",IF(ABS(BM52)&lt;=0.01,IF(ABS(BK52)&gt;0.01,"СОШЛОСЬ ПОСЛЕ КОРР.","СОШЛОСЬ"),IF(ABS(BK52)&gt;0.01,"ЧАСТИЧНО","НЕОПРЕДЕЛЕНО")))</x:f>
      </x:c>
      <x:c r="BO52" s="190"/>
      <x:c r="BP52" s="202"/>
      <x:c r="BQ52" s="214" t="str">
        <x:f>IF(COUNTA(BO52:BP52)=0,"",N(BO52)-N(BP52))</x:f>
      </x:c>
      <x:c r="BR52" s="226" t="str">
        <x:f>IF(COUNTA(BO52:BP52)=0,"",SUMIFS('04_Влияние_ОПИУ'!$F$2:$F$2000,'04_Влияние_ОПИУ'!$B$2:$B$2000,"2025-10",'04_Влияние_ОПИУ'!$C$2:$C$2000,$A52,'04_Влияние_ОПИУ'!$G$2:$G$2000,"Да"))</x:f>
      </x:c>
      <x:c r="BS52" s="238" t="str">
        <x:f>IF(COUNTA(BO52:BP52)=0,"",N(BP52)+N(BR52))</x:f>
      </x:c>
      <x:c r="BT52" s="252" t="str">
        <x:f>IF(COUNTA(BO52:BP52)=0,"",N(BO52)-N(BS52))</x:f>
      </x:c>
      <x:c r="BU52" s="260" t="str">
        <x:f>IF(COUNTA(BO52:BP52)=0,"",IF(ABS(BT52)&lt;=0.01,IF(ABS(BR52)&gt;0.01,"СОШЛОСЬ ПОСЛЕ КОРР.","СОШЛОСЬ"),IF(ABS(BR52)&gt;0.01,"ЧАСТИЧНО","НЕОПРЕДЕЛЕНО")))</x:f>
      </x:c>
      <x:c r="BV52" s="190"/>
      <x:c r="BW52" s="202"/>
      <x:c r="BX52" s="214" t="str">
        <x:f>IF(COUNTA(BV52:BW52)=0,"",N(BV52)-N(BW52))</x:f>
      </x:c>
      <x:c r="BY52" s="226" t="str">
        <x:f>IF(COUNTA(BV52:BW52)=0,"",SUMIFS('04_Влияние_ОПИУ'!$F$2:$F$2000,'04_Влияние_ОПИУ'!$B$2:$B$2000,"2025-11",'04_Влияние_ОПИУ'!$C$2:$C$2000,$A52,'04_Влияние_ОПИУ'!$G$2:$G$2000,"Да"))</x:f>
      </x:c>
      <x:c r="BZ52" s="238" t="str">
        <x:f>IF(COUNTA(BV52:BW52)=0,"",N(BW52)+N(BY52))</x:f>
      </x:c>
      <x:c r="CA52" s="252" t="str">
        <x:f>IF(COUNTA(BV52:BW52)=0,"",N(BV52)-N(BZ52))</x:f>
      </x:c>
      <x:c r="CB52" s="260" t="str">
        <x:f>IF(COUNTA(BV52:BW52)=0,"",IF(ABS(CA52)&lt;=0.01,IF(ABS(BY52)&gt;0.01,"СОШЛОСЬ ПОСЛЕ КОРР.","СОШЛОСЬ"),IF(ABS(BY52)&gt;0.01,"ЧАСТИЧНО","НЕОПРЕДЕЛЕНО")))</x:f>
      </x:c>
      <x:c r="CC52" s="190"/>
      <x:c r="CD52" s="202"/>
      <x:c r="CE52" s="214" t="str">
        <x:f>IF(COUNTA(CC52:CD52)=0,"",N(CC52)-N(CD52))</x:f>
      </x:c>
      <x:c r="CF52" s="226" t="str">
        <x:f>IF(COUNTA(CC52:CD52)=0,"",SUMIFS('04_Влияние_ОПИУ'!$F$2:$F$2000,'04_Влияние_ОПИУ'!$B$2:$B$2000,"2025-12",'04_Влияние_ОПИУ'!$C$2:$C$2000,$A52,'04_Влияние_ОПИУ'!$G$2:$G$2000,"Да"))</x:f>
      </x:c>
      <x:c r="CG52" s="238" t="str">
        <x:f>IF(COUNTA(CC52:CD52)=0,"",N(CD52)+N(CF52))</x:f>
      </x:c>
      <x:c r="CH52" s="252" t="str">
        <x:f>IF(COUNTA(CC52:CD52)=0,"",N(CC52)-N(CG52))</x:f>
      </x:c>
      <x:c r="CI52" s="260" t="str">
        <x:f>IF(COUNTA(CC52:CD52)=0,"",IF(ABS(CH52)&lt;=0.01,IF(ABS(CF52)&gt;0.01,"СОШЛОСЬ ПОСЛЕ КОРР.","СОШЛОСЬ"),IF(ABS(CF52)&gt;0.01,"ЧАСТИЧНО","НЕОПРЕДЕЛЕНО")))</x:f>
      </x:c>
    </x:row>
    <x:row r="53">
      <x:c r="A53" s="166" t="str">
        <x:v>R048</x:v>
      </x:c>
      <x:c r="B53" s="166" t="str">
        <x:v>      % по кредитам сотрудников</x:v>
      </x:c>
      <x:c r="C53" s="170" t="str">
        <x:v>      % по кредитам сотрудников</x:v>
      </x:c>
      <x:c r="D53" s="190"/>
      <x:c r="E53" s="202"/>
      <x:c r="F53" s="214" t="str">
        <x:f>IF(COUNTA(D53:E53)=0,"",N(D53)-N(E53))</x:f>
      </x:c>
      <x:c r="G53" s="226" t="str">
        <x:f>IF(COUNTA(D53:E53)=0,"",SUMIFS('04_Влияние_ОПИУ'!$F$2:$F$2000,'04_Влияние_ОПИУ'!$B$2:$B$2000,"2025-01",'04_Влияние_ОПИУ'!$C$2:$C$2000,$A53,'04_Влияние_ОПИУ'!$G$2:$G$2000,"Да"))</x:f>
      </x:c>
      <x:c r="H53" s="238" t="str">
        <x:f>IF(COUNTA(D53:E53)=0,"",N(E53)+N(G53))</x:f>
      </x:c>
      <x:c r="I53" s="252" t="str">
        <x:f>IF(COUNTA(D53:E53)=0,"",N(D53)-N(H53))</x:f>
      </x:c>
      <x:c r="J53" s="260" t="str">
        <x:f>IF(COUNTA(D53:E53)=0,"",IF(ABS(I53)&lt;=0.01,IF(ABS(G53)&gt;0.01,"СОШЛОСЬ ПОСЛЕ КОРР.","СОШЛОСЬ"),IF(ABS(G53)&gt;0.01,"ЧАСТИЧНО","НЕОПРЕДЕЛЕНО")))</x:f>
      </x:c>
      <x:c r="K53" s="190"/>
      <x:c r="L53" s="202"/>
      <x:c r="M53" s="214" t="str">
        <x:f>IF(COUNTA(K53:L53)=0,"",N(K53)-N(L53))</x:f>
      </x:c>
      <x:c r="N53" s="226" t="str">
        <x:f>IF(COUNTA(K53:L53)=0,"",SUMIFS('04_Влияние_ОПИУ'!$F$2:$F$2000,'04_Влияние_ОПИУ'!$B$2:$B$2000,"2025-02",'04_Влияние_ОПИУ'!$C$2:$C$2000,$A53,'04_Влияние_ОПИУ'!$G$2:$G$2000,"Да"))</x:f>
      </x:c>
      <x:c r="O53" s="238" t="str">
        <x:f>IF(COUNTA(K53:L53)=0,"",N(L53)+N(N53))</x:f>
      </x:c>
      <x:c r="P53" s="252" t="str">
        <x:f>IF(COUNTA(K53:L53)=0,"",N(K53)-N(O53))</x:f>
      </x:c>
      <x:c r="Q53" s="260" t="str">
        <x:f>IF(COUNTA(K53:L53)=0,"",IF(ABS(P53)&lt;=0.01,IF(ABS(N53)&gt;0.01,"СОШЛОСЬ ПОСЛЕ КОРР.","СОШЛОСЬ"),IF(ABS(N53)&gt;0.01,"ЧАСТИЧНО","НЕОПРЕДЕЛЕНО")))</x:f>
      </x:c>
      <x:c r="R53" s="190"/>
      <x:c r="S53" s="202"/>
      <x:c r="T53" s="214" t="str">
        <x:f>IF(COUNTA(R53:S53)=0,"",N(R53)-N(S53))</x:f>
      </x:c>
      <x:c r="U53" s="226" t="str">
        <x:f>IF(COUNTA(R53:S53)=0,"",SUMIFS('04_Влияние_ОПИУ'!$F$2:$F$2000,'04_Влияние_ОПИУ'!$B$2:$B$2000,"2025-03",'04_Влияние_ОПИУ'!$C$2:$C$2000,$A53,'04_Влияние_ОПИУ'!$G$2:$G$2000,"Да"))</x:f>
      </x:c>
      <x:c r="V53" s="238" t="str">
        <x:f>IF(COUNTA(R53:S53)=0,"",N(S53)+N(U53))</x:f>
      </x:c>
      <x:c r="W53" s="252" t="str">
        <x:f>IF(COUNTA(R53:S53)=0,"",N(R53)-N(V53))</x:f>
      </x:c>
      <x:c r="X53" s="260" t="str">
        <x:f>IF(COUNTA(R53:S53)=0,"",IF(ABS(W53)&lt;=0.01,IF(ABS(U53)&gt;0.01,"СОШЛОСЬ ПОСЛЕ КОРР.","СОШЛОСЬ"),IF(ABS(U53)&gt;0.01,"ЧАСТИЧНО","НЕОПРЕДЕЛЕНО")))</x:f>
      </x:c>
      <x:c r="Y53" s="190"/>
      <x:c r="Z53" s="202"/>
      <x:c r="AA53" s="214" t="str">
        <x:f>IF(COUNTA(Y53:Z53)=0,"",N(Y53)-N(Z53))</x:f>
      </x:c>
      <x:c r="AB53" s="226" t="str">
        <x:f>IF(COUNTA(Y53:Z53)=0,"",SUMIFS('04_Влияние_ОПИУ'!$F$2:$F$2000,'04_Влияние_ОПИУ'!$B$2:$B$2000,"2025-04",'04_Влияние_ОПИУ'!$C$2:$C$2000,$A53,'04_Влияние_ОПИУ'!$G$2:$G$2000,"Да"))</x:f>
      </x:c>
      <x:c r="AC53" s="238" t="str">
        <x:f>IF(COUNTA(Y53:Z53)=0,"",N(Z53)+N(AB53))</x:f>
      </x:c>
      <x:c r="AD53" s="252" t="str">
        <x:f>IF(COUNTA(Y53:Z53)=0,"",N(Y53)-N(AC53))</x:f>
      </x:c>
      <x:c r="AE53" s="260" t="str">
        <x:f>IF(COUNTA(Y53:Z53)=0,"",IF(ABS(AD53)&lt;=0.01,IF(ABS(AB53)&gt;0.01,"СОШЛОСЬ ПОСЛЕ КОРР.","СОШЛОСЬ"),IF(ABS(AB53)&gt;0.01,"ЧАСТИЧНО","НЕОПРЕДЕЛЕНО")))</x:f>
      </x:c>
      <x:c r="AF53" s="190"/>
      <x:c r="AG53" s="202"/>
      <x:c r="AH53" s="214" t="str">
        <x:f>IF(COUNTA(AF53:AG53)=0,"",N(AF53)-N(AG53))</x:f>
      </x:c>
      <x:c r="AI53" s="226" t="str">
        <x:f>IF(COUNTA(AF53:AG53)=0,"",SUMIFS('04_Влияние_ОПИУ'!$F$2:$F$2000,'04_Влияние_ОПИУ'!$B$2:$B$2000,"2025-05",'04_Влияние_ОПИУ'!$C$2:$C$2000,$A53,'04_Влияние_ОПИУ'!$G$2:$G$2000,"Да"))</x:f>
      </x:c>
      <x:c r="AJ53" s="238" t="str">
        <x:f>IF(COUNTA(AF53:AG53)=0,"",N(AG53)+N(AI53))</x:f>
      </x:c>
      <x:c r="AK53" s="252" t="str">
        <x:f>IF(COUNTA(AF53:AG53)=0,"",N(AF53)-N(AJ53))</x:f>
      </x:c>
      <x:c r="AL53" s="260" t="str">
        <x:f>IF(COUNTA(AF53:AG53)=0,"",IF(ABS(AK53)&lt;=0.01,IF(ABS(AI53)&gt;0.01,"СОШЛОСЬ ПОСЛЕ КОРР.","СОШЛОСЬ"),IF(ABS(AI53)&gt;0.01,"ЧАСТИЧНО","НЕОПРЕДЕЛЕНО")))</x:f>
      </x:c>
      <x:c r="AM53" s="190"/>
      <x:c r="AN53" s="202"/>
      <x:c r="AO53" s="214" t="str">
        <x:f>IF(COUNTA(AM53:AN53)=0,"",N(AM53)-N(AN53))</x:f>
      </x:c>
      <x:c r="AP53" s="226" t="str">
        <x:f>IF(COUNTA(AM53:AN53)=0,"",SUMIFS('04_Влияние_ОПИУ'!$F$2:$F$2000,'04_Влияние_ОПИУ'!$B$2:$B$2000,"2025-06",'04_Влияние_ОПИУ'!$C$2:$C$2000,$A53,'04_Влияние_ОПИУ'!$G$2:$G$2000,"Да"))</x:f>
      </x:c>
      <x:c r="AQ53" s="238" t="str">
        <x:f>IF(COUNTA(AM53:AN53)=0,"",N(AN53)+N(AP53))</x:f>
      </x:c>
      <x:c r="AR53" s="252" t="str">
        <x:f>IF(COUNTA(AM53:AN53)=0,"",N(AM53)-N(AQ53))</x:f>
      </x:c>
      <x:c r="AS53" s="260" t="str">
        <x:f>IF(COUNTA(AM53:AN53)=0,"",IF(ABS(AR53)&lt;=0.01,IF(ABS(AP53)&gt;0.01,"СОШЛОСЬ ПОСЛЕ КОРР.","СОШЛОСЬ"),IF(ABS(AP53)&gt;0.01,"ЧАСТИЧНО","НЕОПРЕДЕЛЕНО")))</x:f>
      </x:c>
      <x:c r="AT53" s="190"/>
      <x:c r="AU53" s="202"/>
      <x:c r="AV53" s="214" t="str">
        <x:f>IF(COUNTA(AT53:AU53)=0,"",N(AT53)-N(AU53))</x:f>
      </x:c>
      <x:c r="AW53" s="226" t="str">
        <x:f>IF(COUNTA(AT53:AU53)=0,"",SUMIFS('04_Влияние_ОПИУ'!$F$2:$F$2000,'04_Влияние_ОПИУ'!$B$2:$B$2000,"2025-07",'04_Влияние_ОПИУ'!$C$2:$C$2000,$A53,'04_Влияние_ОПИУ'!$G$2:$G$2000,"Да"))</x:f>
      </x:c>
      <x:c r="AX53" s="238" t="str">
        <x:f>IF(COUNTA(AT53:AU53)=0,"",N(AU53)+N(AW53))</x:f>
      </x:c>
      <x:c r="AY53" s="252" t="str">
        <x:f>IF(COUNTA(AT53:AU53)=0,"",N(AT53)-N(AX53))</x:f>
      </x:c>
      <x:c r="AZ53" s="260" t="str">
        <x:f>IF(COUNTA(AT53:AU53)=0,"",IF(ABS(AY53)&lt;=0.01,IF(ABS(AW53)&gt;0.01,"СОШЛОСЬ ПОСЛЕ КОРР.","СОШЛОСЬ"),IF(ABS(AW53)&gt;0.01,"ЧАСТИЧНО","НЕОПРЕДЕЛЕНО")))</x:f>
      </x:c>
      <x:c r="BA53" s="190"/>
      <x:c r="BB53" s="202"/>
      <x:c r="BC53" s="214" t="str">
        <x:f>IF(COUNTA(BA53:BB53)=0,"",N(BA53)-N(BB53))</x:f>
      </x:c>
      <x:c r="BD53" s="226" t="str">
        <x:f>IF(COUNTA(BA53:BB53)=0,"",SUMIFS('04_Влияние_ОПИУ'!$F$2:$F$2000,'04_Влияние_ОПИУ'!$B$2:$B$2000,"2025-08",'04_Влияние_ОПИУ'!$C$2:$C$2000,$A53,'04_Влияние_ОПИУ'!$G$2:$G$2000,"Да"))</x:f>
      </x:c>
      <x:c r="BE53" s="238" t="str">
        <x:f>IF(COUNTA(BA53:BB53)=0,"",N(BB53)+N(BD53))</x:f>
      </x:c>
      <x:c r="BF53" s="252" t="str">
        <x:f>IF(COUNTA(BA53:BB53)=0,"",N(BA53)-N(BE53))</x:f>
      </x:c>
      <x:c r="BG53" s="260" t="str">
        <x:f>IF(COUNTA(BA53:BB53)=0,"",IF(ABS(BF53)&lt;=0.01,IF(ABS(BD53)&gt;0.01,"СОШЛОСЬ ПОСЛЕ КОРР.","СОШЛОСЬ"),IF(ABS(BD53)&gt;0.01,"ЧАСТИЧНО","НЕОПРЕДЕЛЕНО")))</x:f>
      </x:c>
      <x:c r="BH53" s="190"/>
      <x:c r="BI53" s="202"/>
      <x:c r="BJ53" s="214" t="str">
        <x:f>IF(COUNTA(BH53:BI53)=0,"",N(BH53)-N(BI53))</x:f>
      </x:c>
      <x:c r="BK53" s="226" t="str">
        <x:f>IF(COUNTA(BH53:BI53)=0,"",SUMIFS('04_Влияние_ОПИУ'!$F$2:$F$2000,'04_Влияние_ОПИУ'!$B$2:$B$2000,"2025-09",'04_Влияние_ОПИУ'!$C$2:$C$2000,$A53,'04_Влияние_ОПИУ'!$G$2:$G$2000,"Да"))</x:f>
      </x:c>
      <x:c r="BL53" s="238" t="str">
        <x:f>IF(COUNTA(BH53:BI53)=0,"",N(BI53)+N(BK53))</x:f>
      </x:c>
      <x:c r="BM53" s="252" t="str">
        <x:f>IF(COUNTA(BH53:BI53)=0,"",N(BH53)-N(BL53))</x:f>
      </x:c>
      <x:c r="BN53" s="260" t="str">
        <x:f>IF(COUNTA(BH53:BI53)=0,"",IF(ABS(BM53)&lt;=0.01,IF(ABS(BK53)&gt;0.01,"СОШЛОСЬ ПОСЛЕ КОРР.","СОШЛОСЬ"),IF(ABS(BK53)&gt;0.01,"ЧАСТИЧНО","НЕОПРЕДЕЛЕНО")))</x:f>
      </x:c>
      <x:c r="BO53" s="190"/>
      <x:c r="BP53" s="202"/>
      <x:c r="BQ53" s="214" t="str">
        <x:f>IF(COUNTA(BO53:BP53)=0,"",N(BO53)-N(BP53))</x:f>
      </x:c>
      <x:c r="BR53" s="226" t="str">
        <x:f>IF(COUNTA(BO53:BP53)=0,"",SUMIFS('04_Влияние_ОПИУ'!$F$2:$F$2000,'04_Влияние_ОПИУ'!$B$2:$B$2000,"2025-10",'04_Влияние_ОПИУ'!$C$2:$C$2000,$A53,'04_Влияние_ОПИУ'!$G$2:$G$2000,"Да"))</x:f>
      </x:c>
      <x:c r="BS53" s="238" t="str">
        <x:f>IF(COUNTA(BO53:BP53)=0,"",N(BP53)+N(BR53))</x:f>
      </x:c>
      <x:c r="BT53" s="252" t="str">
        <x:f>IF(COUNTA(BO53:BP53)=0,"",N(BO53)-N(BS53))</x:f>
      </x:c>
      <x:c r="BU53" s="260" t="str">
        <x:f>IF(COUNTA(BO53:BP53)=0,"",IF(ABS(BT53)&lt;=0.01,IF(ABS(BR53)&gt;0.01,"СОШЛОСЬ ПОСЛЕ КОРР.","СОШЛОСЬ"),IF(ABS(BR53)&gt;0.01,"ЧАСТИЧНО","НЕОПРЕДЕЛЕНО")))</x:f>
      </x:c>
      <x:c r="BV53" s="190"/>
      <x:c r="BW53" s="202"/>
      <x:c r="BX53" s="214" t="str">
        <x:f>IF(COUNTA(BV53:BW53)=0,"",N(BV53)-N(BW53))</x:f>
      </x:c>
      <x:c r="BY53" s="226" t="str">
        <x:f>IF(COUNTA(BV53:BW53)=0,"",SUMIFS('04_Влияние_ОПИУ'!$F$2:$F$2000,'04_Влияние_ОПИУ'!$B$2:$B$2000,"2025-11",'04_Влияние_ОПИУ'!$C$2:$C$2000,$A53,'04_Влияние_ОПИУ'!$G$2:$G$2000,"Да"))</x:f>
      </x:c>
      <x:c r="BZ53" s="238" t="str">
        <x:f>IF(COUNTA(BV53:BW53)=0,"",N(BW53)+N(BY53))</x:f>
      </x:c>
      <x:c r="CA53" s="252" t="str">
        <x:f>IF(COUNTA(BV53:BW53)=0,"",N(BV53)-N(BZ53))</x:f>
      </x:c>
      <x:c r="CB53" s="260" t="str">
        <x:f>IF(COUNTA(BV53:BW53)=0,"",IF(ABS(CA53)&lt;=0.01,IF(ABS(BY53)&gt;0.01,"СОШЛОСЬ ПОСЛЕ КОРР.","СОШЛОСЬ"),IF(ABS(BY53)&gt;0.01,"ЧАСТИЧНО","НЕОПРЕДЕЛЕНО")))</x:f>
      </x:c>
      <x:c r="CC53" s="190"/>
      <x:c r="CD53" s="202"/>
      <x:c r="CE53" s="214" t="str">
        <x:f>IF(COUNTA(CC53:CD53)=0,"",N(CC53)-N(CD53))</x:f>
      </x:c>
      <x:c r="CF53" s="226" t="str">
        <x:f>IF(COUNTA(CC53:CD53)=0,"",SUMIFS('04_Влияние_ОПИУ'!$F$2:$F$2000,'04_Влияние_ОПИУ'!$B$2:$B$2000,"2025-12",'04_Влияние_ОПИУ'!$C$2:$C$2000,$A53,'04_Влияние_ОПИУ'!$G$2:$G$2000,"Да"))</x:f>
      </x:c>
      <x:c r="CG53" s="238" t="str">
        <x:f>IF(COUNTA(CC53:CD53)=0,"",N(CD53)+N(CF53))</x:f>
      </x:c>
      <x:c r="CH53" s="252" t="str">
        <x:f>IF(COUNTA(CC53:CD53)=0,"",N(CC53)-N(CG53))</x:f>
      </x:c>
      <x:c r="CI53" s="260" t="str">
        <x:f>IF(COUNTA(CC53:CD53)=0,"",IF(ABS(CH53)&lt;=0.01,IF(ABS(CF53)&gt;0.01,"СОШЛОСЬ ПОСЛЕ КОРР.","СОШЛОСЬ"),IF(ABS(CF53)&gt;0.01,"ЧАСТИЧНО","НЕОПРЕДЕЛЕНО")))</x:f>
      </x:c>
    </x:row>
    <x:row r="54">
      <x:c r="A54" s="158" t="str">
        <x:v>R049</x:v>
      </x:c>
      <x:c r="B54" s="158" t="str">
        <x:v>  Расходы по финансовой деятельности</x:v>
      </x:c>
      <x:c r="C54" s="162"/>
      <x:c r="D54" s="190"/>
      <x:c r="E54" s="202"/>
      <x:c r="F54" s="214" t="str">
        <x:f>IF(COUNTA(D54:E54)=0,"",N(D54)-N(E54))</x:f>
      </x:c>
      <x:c r="G54" s="226" t="str">
        <x:f>IF(COUNTA(D54:E54)=0,"",SUMIFS('04_Влияние_ОПИУ'!$F$2:$F$2000,'04_Влияние_ОПИУ'!$B$2:$B$2000,"2025-01",'04_Влияние_ОПИУ'!$C$2:$C$2000,$A54,'04_Влияние_ОПИУ'!$G$2:$G$2000,"Да"))</x:f>
      </x:c>
      <x:c r="H54" s="238" t="str">
        <x:f>IF(COUNTA(D54:E54)=0,"",N(E54)+N(G54))</x:f>
      </x:c>
      <x:c r="I54" s="252" t="str">
        <x:f>IF(COUNTA(D54:E54)=0,"",N(D54)-N(H54))</x:f>
      </x:c>
      <x:c r="J54" s="260" t="str">
        <x:f>IF(COUNTA(D54:E54)=0,"",IF(ABS(I54)&lt;=0.01,IF(ABS(G54)&gt;0.01,"СОШЛОСЬ ПОСЛЕ КОРР.","СОШЛОСЬ"),IF(ABS(G54)&gt;0.01,"ЧАСТИЧНО","НЕОПРЕДЕЛЕНО")))</x:f>
      </x:c>
      <x:c r="K54" s="190"/>
      <x:c r="L54" s="202"/>
      <x:c r="M54" s="214" t="str">
        <x:f>IF(COUNTA(K54:L54)=0,"",N(K54)-N(L54))</x:f>
      </x:c>
      <x:c r="N54" s="226" t="str">
        <x:f>IF(COUNTA(K54:L54)=0,"",SUMIFS('04_Влияние_ОПИУ'!$F$2:$F$2000,'04_Влияние_ОПИУ'!$B$2:$B$2000,"2025-02",'04_Влияние_ОПИУ'!$C$2:$C$2000,$A54,'04_Влияние_ОПИУ'!$G$2:$G$2000,"Да"))</x:f>
      </x:c>
      <x:c r="O54" s="238" t="str">
        <x:f>IF(COUNTA(K54:L54)=0,"",N(L54)+N(N54))</x:f>
      </x:c>
      <x:c r="P54" s="252" t="str">
        <x:f>IF(COUNTA(K54:L54)=0,"",N(K54)-N(O54))</x:f>
      </x:c>
      <x:c r="Q54" s="260" t="str">
        <x:f>IF(COUNTA(K54:L54)=0,"",IF(ABS(P54)&lt;=0.01,IF(ABS(N54)&gt;0.01,"СОШЛОСЬ ПОСЛЕ КОРР.","СОШЛОСЬ"),IF(ABS(N54)&gt;0.01,"ЧАСТИЧНО","НЕОПРЕДЕЛЕНО")))</x:f>
      </x:c>
      <x:c r="R54" s="190"/>
      <x:c r="S54" s="202"/>
      <x:c r="T54" s="214" t="str">
        <x:f>IF(COUNTA(R54:S54)=0,"",N(R54)-N(S54))</x:f>
      </x:c>
      <x:c r="U54" s="226" t="str">
        <x:f>IF(COUNTA(R54:S54)=0,"",SUMIFS('04_Влияние_ОПИУ'!$F$2:$F$2000,'04_Влияние_ОПИУ'!$B$2:$B$2000,"2025-03",'04_Влияние_ОПИУ'!$C$2:$C$2000,$A54,'04_Влияние_ОПИУ'!$G$2:$G$2000,"Да"))</x:f>
      </x:c>
      <x:c r="V54" s="238" t="str">
        <x:f>IF(COUNTA(R54:S54)=0,"",N(S54)+N(U54))</x:f>
      </x:c>
      <x:c r="W54" s="252" t="str">
        <x:f>IF(COUNTA(R54:S54)=0,"",N(R54)-N(V54))</x:f>
      </x:c>
      <x:c r="X54" s="260" t="str">
        <x:f>IF(COUNTA(R54:S54)=0,"",IF(ABS(W54)&lt;=0.01,IF(ABS(U54)&gt;0.01,"СОШЛОСЬ ПОСЛЕ КОРР.","СОШЛОСЬ"),IF(ABS(U54)&gt;0.01,"ЧАСТИЧНО","НЕОПРЕДЕЛЕНО")))</x:f>
      </x:c>
      <x:c r="Y54" s="190"/>
      <x:c r="Z54" s="202"/>
      <x:c r="AA54" s="214" t="str">
        <x:f>IF(COUNTA(Y54:Z54)=0,"",N(Y54)-N(Z54))</x:f>
      </x:c>
      <x:c r="AB54" s="226" t="str">
        <x:f>IF(COUNTA(Y54:Z54)=0,"",SUMIFS('04_Влияние_ОПИУ'!$F$2:$F$2000,'04_Влияние_ОПИУ'!$B$2:$B$2000,"2025-04",'04_Влияние_ОПИУ'!$C$2:$C$2000,$A54,'04_Влияние_ОПИУ'!$G$2:$G$2000,"Да"))</x:f>
      </x:c>
      <x:c r="AC54" s="238" t="str">
        <x:f>IF(COUNTA(Y54:Z54)=0,"",N(Z54)+N(AB54))</x:f>
      </x:c>
      <x:c r="AD54" s="252" t="str">
        <x:f>IF(COUNTA(Y54:Z54)=0,"",N(Y54)-N(AC54))</x:f>
      </x:c>
      <x:c r="AE54" s="260" t="str">
        <x:f>IF(COUNTA(Y54:Z54)=0,"",IF(ABS(AD54)&lt;=0.01,IF(ABS(AB54)&gt;0.01,"СОШЛОСЬ ПОСЛЕ КОРР.","СОШЛОСЬ"),IF(ABS(AB54)&gt;0.01,"ЧАСТИЧНО","НЕОПРЕДЕЛЕНО")))</x:f>
      </x:c>
      <x:c r="AF54" s="190"/>
      <x:c r="AG54" s="202"/>
      <x:c r="AH54" s="214" t="str">
        <x:f>IF(COUNTA(AF54:AG54)=0,"",N(AF54)-N(AG54))</x:f>
      </x:c>
      <x:c r="AI54" s="226" t="str">
        <x:f>IF(COUNTA(AF54:AG54)=0,"",SUMIFS('04_Влияние_ОПИУ'!$F$2:$F$2000,'04_Влияние_ОПИУ'!$B$2:$B$2000,"2025-05",'04_Влияние_ОПИУ'!$C$2:$C$2000,$A54,'04_Влияние_ОПИУ'!$G$2:$G$2000,"Да"))</x:f>
      </x:c>
      <x:c r="AJ54" s="238" t="str">
        <x:f>IF(COUNTA(AF54:AG54)=0,"",N(AG54)+N(AI54))</x:f>
      </x:c>
      <x:c r="AK54" s="252" t="str">
        <x:f>IF(COUNTA(AF54:AG54)=0,"",N(AF54)-N(AJ54))</x:f>
      </x:c>
      <x:c r="AL54" s="260" t="str">
        <x:f>IF(COUNTA(AF54:AG54)=0,"",IF(ABS(AK54)&lt;=0.01,IF(ABS(AI54)&gt;0.01,"СОШЛОСЬ ПОСЛЕ КОРР.","СОШЛОСЬ"),IF(ABS(AI54)&gt;0.01,"ЧАСТИЧНО","НЕОПРЕДЕЛЕНО")))</x:f>
      </x:c>
      <x:c r="AM54" s="190"/>
      <x:c r="AN54" s="202"/>
      <x:c r="AO54" s="214" t="str">
        <x:f>IF(COUNTA(AM54:AN54)=0,"",N(AM54)-N(AN54))</x:f>
      </x:c>
      <x:c r="AP54" s="226" t="str">
        <x:f>IF(COUNTA(AM54:AN54)=0,"",SUMIFS('04_Влияние_ОПИУ'!$F$2:$F$2000,'04_Влияние_ОПИУ'!$B$2:$B$2000,"2025-06",'04_Влияние_ОПИУ'!$C$2:$C$2000,$A54,'04_Влияние_ОПИУ'!$G$2:$G$2000,"Да"))</x:f>
      </x:c>
      <x:c r="AQ54" s="238" t="str">
        <x:f>IF(COUNTA(AM54:AN54)=0,"",N(AN54)+N(AP54))</x:f>
      </x:c>
      <x:c r="AR54" s="252" t="str">
        <x:f>IF(COUNTA(AM54:AN54)=0,"",N(AM54)-N(AQ54))</x:f>
      </x:c>
      <x:c r="AS54" s="260" t="str">
        <x:f>IF(COUNTA(AM54:AN54)=0,"",IF(ABS(AR54)&lt;=0.01,IF(ABS(AP54)&gt;0.01,"СОШЛОСЬ ПОСЛЕ КОРР.","СОШЛОСЬ"),IF(ABS(AP54)&gt;0.01,"ЧАСТИЧНО","НЕОПРЕДЕЛЕНО")))</x:f>
      </x:c>
      <x:c r="AT54" s="190"/>
      <x:c r="AU54" s="202"/>
      <x:c r="AV54" s="214" t="str">
        <x:f>IF(COUNTA(AT54:AU54)=0,"",N(AT54)-N(AU54))</x:f>
      </x:c>
      <x:c r="AW54" s="226" t="str">
        <x:f>IF(COUNTA(AT54:AU54)=0,"",SUMIFS('04_Влияние_ОПИУ'!$F$2:$F$2000,'04_Влияние_ОПИУ'!$B$2:$B$2000,"2025-07",'04_Влияние_ОПИУ'!$C$2:$C$2000,$A54,'04_Влияние_ОПИУ'!$G$2:$G$2000,"Да"))</x:f>
      </x:c>
      <x:c r="AX54" s="238" t="str">
        <x:f>IF(COUNTA(AT54:AU54)=0,"",N(AU54)+N(AW54))</x:f>
      </x:c>
      <x:c r="AY54" s="252" t="str">
        <x:f>IF(COUNTA(AT54:AU54)=0,"",N(AT54)-N(AX54))</x:f>
      </x:c>
      <x:c r="AZ54" s="260" t="str">
        <x:f>IF(COUNTA(AT54:AU54)=0,"",IF(ABS(AY54)&lt;=0.01,IF(ABS(AW54)&gt;0.01,"СОШЛОСЬ ПОСЛЕ КОРР.","СОШЛОСЬ"),IF(ABS(AW54)&gt;0.01,"ЧАСТИЧНО","НЕОПРЕДЕЛЕНО")))</x:f>
      </x:c>
      <x:c r="BA54" s="190"/>
      <x:c r="BB54" s="202"/>
      <x:c r="BC54" s="214" t="str">
        <x:f>IF(COUNTA(BA54:BB54)=0,"",N(BA54)-N(BB54))</x:f>
      </x:c>
      <x:c r="BD54" s="226" t="str">
        <x:f>IF(COUNTA(BA54:BB54)=0,"",SUMIFS('04_Влияние_ОПИУ'!$F$2:$F$2000,'04_Влияние_ОПИУ'!$B$2:$B$2000,"2025-08",'04_Влияние_ОПИУ'!$C$2:$C$2000,$A54,'04_Влияние_ОПИУ'!$G$2:$G$2000,"Да"))</x:f>
      </x:c>
      <x:c r="BE54" s="238" t="str">
        <x:f>IF(COUNTA(BA54:BB54)=0,"",N(BB54)+N(BD54))</x:f>
      </x:c>
      <x:c r="BF54" s="252" t="str">
        <x:f>IF(COUNTA(BA54:BB54)=0,"",N(BA54)-N(BE54))</x:f>
      </x:c>
      <x:c r="BG54" s="260" t="str">
        <x:f>IF(COUNTA(BA54:BB54)=0,"",IF(ABS(BF54)&lt;=0.01,IF(ABS(BD54)&gt;0.01,"СОШЛОСЬ ПОСЛЕ КОРР.","СОШЛОСЬ"),IF(ABS(BD54)&gt;0.01,"ЧАСТИЧНО","НЕОПРЕДЕЛЕНО")))</x:f>
      </x:c>
      <x:c r="BH54" s="190"/>
      <x:c r="BI54" s="202"/>
      <x:c r="BJ54" s="214" t="str">
        <x:f>IF(COUNTA(BH54:BI54)=0,"",N(BH54)-N(BI54))</x:f>
      </x:c>
      <x:c r="BK54" s="226" t="str">
        <x:f>IF(COUNTA(BH54:BI54)=0,"",SUMIFS('04_Влияние_ОПИУ'!$F$2:$F$2000,'04_Влияние_ОПИУ'!$B$2:$B$2000,"2025-09",'04_Влияние_ОПИУ'!$C$2:$C$2000,$A54,'04_Влияние_ОПИУ'!$G$2:$G$2000,"Да"))</x:f>
      </x:c>
      <x:c r="BL54" s="238" t="str">
        <x:f>IF(COUNTA(BH54:BI54)=0,"",N(BI54)+N(BK54))</x:f>
      </x:c>
      <x:c r="BM54" s="252" t="str">
        <x:f>IF(COUNTA(BH54:BI54)=0,"",N(BH54)-N(BL54))</x:f>
      </x:c>
      <x:c r="BN54" s="260" t="str">
        <x:f>IF(COUNTA(BH54:BI54)=0,"",IF(ABS(BM54)&lt;=0.01,IF(ABS(BK54)&gt;0.01,"СОШЛОСЬ ПОСЛЕ КОРР.","СОШЛОСЬ"),IF(ABS(BK54)&gt;0.01,"ЧАСТИЧНО","НЕОПРЕДЕЛЕНО")))</x:f>
      </x:c>
      <x:c r="BO54" s="190"/>
      <x:c r="BP54" s="202"/>
      <x:c r="BQ54" s="214" t="str">
        <x:f>IF(COUNTA(BO54:BP54)=0,"",N(BO54)-N(BP54))</x:f>
      </x:c>
      <x:c r="BR54" s="226" t="str">
        <x:f>IF(COUNTA(BO54:BP54)=0,"",SUMIFS('04_Влияние_ОПИУ'!$F$2:$F$2000,'04_Влияние_ОПИУ'!$B$2:$B$2000,"2025-10",'04_Влияние_ОПИУ'!$C$2:$C$2000,$A54,'04_Влияние_ОПИУ'!$G$2:$G$2000,"Да"))</x:f>
      </x:c>
      <x:c r="BS54" s="238" t="str">
        <x:f>IF(COUNTA(BO54:BP54)=0,"",N(BP54)+N(BR54))</x:f>
      </x:c>
      <x:c r="BT54" s="252" t="str">
        <x:f>IF(COUNTA(BO54:BP54)=0,"",N(BO54)-N(BS54))</x:f>
      </x:c>
      <x:c r="BU54" s="260" t="str">
        <x:f>IF(COUNTA(BO54:BP54)=0,"",IF(ABS(BT54)&lt;=0.01,IF(ABS(BR54)&gt;0.01,"СОШЛОСЬ ПОСЛЕ КОРР.","СОШЛОСЬ"),IF(ABS(BR54)&gt;0.01,"ЧАСТИЧНО","НЕОПРЕДЕЛЕНО")))</x:f>
      </x:c>
      <x:c r="BV54" s="190"/>
      <x:c r="BW54" s="202"/>
      <x:c r="BX54" s="214" t="str">
        <x:f>IF(COUNTA(BV54:BW54)=0,"",N(BV54)-N(BW54))</x:f>
      </x:c>
      <x:c r="BY54" s="226" t="str">
        <x:f>IF(COUNTA(BV54:BW54)=0,"",SUMIFS('04_Влияние_ОПИУ'!$F$2:$F$2000,'04_Влияние_ОПИУ'!$B$2:$B$2000,"2025-11",'04_Влияние_ОПИУ'!$C$2:$C$2000,$A54,'04_Влияние_ОПИУ'!$G$2:$G$2000,"Да"))</x:f>
      </x:c>
      <x:c r="BZ54" s="238" t="str">
        <x:f>IF(COUNTA(BV54:BW54)=0,"",N(BW54)+N(BY54))</x:f>
      </x:c>
      <x:c r="CA54" s="252" t="str">
        <x:f>IF(COUNTA(BV54:BW54)=0,"",N(BV54)-N(BZ54))</x:f>
      </x:c>
      <x:c r="CB54" s="260" t="str">
        <x:f>IF(COUNTA(BV54:BW54)=0,"",IF(ABS(CA54)&lt;=0.01,IF(ABS(BY54)&gt;0.01,"СОШЛОСЬ ПОСЛЕ КОРР.","СОШЛОСЬ"),IF(ABS(BY54)&gt;0.01,"ЧАСТИЧНО","НЕОПРЕДЕЛЕНО")))</x:f>
      </x:c>
      <x:c r="CC54" s="190"/>
      <x:c r="CD54" s="202"/>
      <x:c r="CE54" s="214" t="str">
        <x:f>IF(COUNTA(CC54:CD54)=0,"",N(CC54)-N(CD54))</x:f>
      </x:c>
      <x:c r="CF54" s="226" t="str">
        <x:f>IF(COUNTA(CC54:CD54)=0,"",SUMIFS('04_Влияние_ОПИУ'!$F$2:$F$2000,'04_Влияние_ОПИУ'!$B$2:$B$2000,"2025-12",'04_Влияние_ОПИУ'!$C$2:$C$2000,$A54,'04_Влияние_ОПИУ'!$G$2:$G$2000,"Да"))</x:f>
      </x:c>
      <x:c r="CG54" s="238" t="str">
        <x:f>IF(COUNTA(CC54:CD54)=0,"",N(CD54)+N(CF54))</x:f>
      </x:c>
      <x:c r="CH54" s="252" t="str">
        <x:f>IF(COUNTA(CC54:CD54)=0,"",N(CC54)-N(CG54))</x:f>
      </x:c>
      <x:c r="CI54" s="260" t="str">
        <x:f>IF(COUNTA(CC54:CD54)=0,"",IF(ABS(CH54)&lt;=0.01,IF(ABS(CF54)&gt;0.01,"СОШЛОСЬ ПОСЛЕ КОРР.","СОШЛОСЬ"),IF(ABS(CF54)&gt;0.01,"ЧАСТИЧНО","НЕОПРЕДЕЛЕНО")))</x:f>
      </x:c>
    </x:row>
    <x:row r="55">
      <x:c r="A55" s="178" t="str">
        <x:v>R050</x:v>
      </x:c>
      <x:c r="B55" s="178" t="str">
        <x:v>    Административные расходы</x:v>
      </x:c>
      <x:c r="C55" s="162"/>
      <x:c r="D55" s="190"/>
      <x:c r="E55" s="202"/>
      <x:c r="F55" s="214" t="str">
        <x:f>IF(COUNTA(D55:E55)=0,"",N(D55)-N(E55))</x:f>
      </x:c>
      <x:c r="G55" s="226" t="str">
        <x:f>IF(COUNTA(D55:E55)=0,"",SUMIFS('04_Влияние_ОПИУ'!$F$2:$F$2000,'04_Влияние_ОПИУ'!$B$2:$B$2000,"2025-01",'04_Влияние_ОПИУ'!$C$2:$C$2000,$A55,'04_Влияние_ОПИУ'!$G$2:$G$2000,"Да"))</x:f>
      </x:c>
      <x:c r="H55" s="238" t="str">
        <x:f>IF(COUNTA(D55:E55)=0,"",N(E55)+N(G55))</x:f>
      </x:c>
      <x:c r="I55" s="252" t="str">
        <x:f>IF(COUNTA(D55:E55)=0,"",N(D55)-N(H55))</x:f>
      </x:c>
      <x:c r="J55" s="260" t="str">
        <x:f>IF(COUNTA(D55:E55)=0,"",IF(ABS(I55)&lt;=0.01,IF(ABS(G55)&gt;0.01,"СОШЛОСЬ ПОСЛЕ КОРР.","СОШЛОСЬ"),IF(ABS(G55)&gt;0.01,"ЧАСТИЧНО","НЕОПРЕДЕЛЕНО")))</x:f>
      </x:c>
      <x:c r="K55" s="190"/>
      <x:c r="L55" s="202"/>
      <x:c r="M55" s="214" t="str">
        <x:f>IF(COUNTA(K55:L55)=0,"",N(K55)-N(L55))</x:f>
      </x:c>
      <x:c r="N55" s="226" t="str">
        <x:f>IF(COUNTA(K55:L55)=0,"",SUMIFS('04_Влияние_ОПИУ'!$F$2:$F$2000,'04_Влияние_ОПИУ'!$B$2:$B$2000,"2025-02",'04_Влияние_ОПИУ'!$C$2:$C$2000,$A55,'04_Влияние_ОПИУ'!$G$2:$G$2000,"Да"))</x:f>
      </x:c>
      <x:c r="O55" s="238" t="str">
        <x:f>IF(COUNTA(K55:L55)=0,"",N(L55)+N(N55))</x:f>
      </x:c>
      <x:c r="P55" s="252" t="str">
        <x:f>IF(COUNTA(K55:L55)=0,"",N(K55)-N(O55))</x:f>
      </x:c>
      <x:c r="Q55" s="260" t="str">
        <x:f>IF(COUNTA(K55:L55)=0,"",IF(ABS(P55)&lt;=0.01,IF(ABS(N55)&gt;0.01,"СОШЛОСЬ ПОСЛЕ КОРР.","СОШЛОСЬ"),IF(ABS(N55)&gt;0.01,"ЧАСТИЧНО","НЕОПРЕДЕЛЕНО")))</x:f>
      </x:c>
      <x:c r="R55" s="190"/>
      <x:c r="S55" s="202"/>
      <x:c r="T55" s="214" t="str">
        <x:f>IF(COUNTA(R55:S55)=0,"",N(R55)-N(S55))</x:f>
      </x:c>
      <x:c r="U55" s="226" t="str">
        <x:f>IF(COUNTA(R55:S55)=0,"",SUMIFS('04_Влияние_ОПИУ'!$F$2:$F$2000,'04_Влияние_ОПИУ'!$B$2:$B$2000,"2025-03",'04_Влияние_ОПИУ'!$C$2:$C$2000,$A55,'04_Влияние_ОПИУ'!$G$2:$G$2000,"Да"))</x:f>
      </x:c>
      <x:c r="V55" s="238" t="str">
        <x:f>IF(COUNTA(R55:S55)=0,"",N(S55)+N(U55))</x:f>
      </x:c>
      <x:c r="W55" s="252" t="str">
        <x:f>IF(COUNTA(R55:S55)=0,"",N(R55)-N(V55))</x:f>
      </x:c>
      <x:c r="X55" s="260" t="str">
        <x:f>IF(COUNTA(R55:S55)=0,"",IF(ABS(W55)&lt;=0.01,IF(ABS(U55)&gt;0.01,"СОШЛОСЬ ПОСЛЕ КОРР.","СОШЛОСЬ"),IF(ABS(U55)&gt;0.01,"ЧАСТИЧНО","НЕОПРЕДЕЛЕНО")))</x:f>
      </x:c>
      <x:c r="Y55" s="190"/>
      <x:c r="Z55" s="202"/>
      <x:c r="AA55" s="214" t="str">
        <x:f>IF(COUNTA(Y55:Z55)=0,"",N(Y55)-N(Z55))</x:f>
      </x:c>
      <x:c r="AB55" s="226" t="str">
        <x:f>IF(COUNTA(Y55:Z55)=0,"",SUMIFS('04_Влияние_ОПИУ'!$F$2:$F$2000,'04_Влияние_ОПИУ'!$B$2:$B$2000,"2025-04",'04_Влияние_ОПИУ'!$C$2:$C$2000,$A55,'04_Влияние_ОПИУ'!$G$2:$G$2000,"Да"))</x:f>
      </x:c>
      <x:c r="AC55" s="238" t="str">
        <x:f>IF(COUNTA(Y55:Z55)=0,"",N(Z55)+N(AB55))</x:f>
      </x:c>
      <x:c r="AD55" s="252" t="str">
        <x:f>IF(COUNTA(Y55:Z55)=0,"",N(Y55)-N(AC55))</x:f>
      </x:c>
      <x:c r="AE55" s="260" t="str">
        <x:f>IF(COUNTA(Y55:Z55)=0,"",IF(ABS(AD55)&lt;=0.01,IF(ABS(AB55)&gt;0.01,"СОШЛОСЬ ПОСЛЕ КОРР.","СОШЛОСЬ"),IF(ABS(AB55)&gt;0.01,"ЧАСТИЧНО","НЕОПРЕДЕЛЕНО")))</x:f>
      </x:c>
      <x:c r="AF55" s="190"/>
      <x:c r="AG55" s="202"/>
      <x:c r="AH55" s="214" t="str">
        <x:f>IF(COUNTA(AF55:AG55)=0,"",N(AF55)-N(AG55))</x:f>
      </x:c>
      <x:c r="AI55" s="226" t="str">
        <x:f>IF(COUNTA(AF55:AG55)=0,"",SUMIFS('04_Влияние_ОПИУ'!$F$2:$F$2000,'04_Влияние_ОПИУ'!$B$2:$B$2000,"2025-05",'04_Влияние_ОПИУ'!$C$2:$C$2000,$A55,'04_Влияние_ОПИУ'!$G$2:$G$2000,"Да"))</x:f>
      </x:c>
      <x:c r="AJ55" s="238" t="str">
        <x:f>IF(COUNTA(AF55:AG55)=0,"",N(AG55)+N(AI55))</x:f>
      </x:c>
      <x:c r="AK55" s="252" t="str">
        <x:f>IF(COUNTA(AF55:AG55)=0,"",N(AF55)-N(AJ55))</x:f>
      </x:c>
      <x:c r="AL55" s="260" t="str">
        <x:f>IF(COUNTA(AF55:AG55)=0,"",IF(ABS(AK55)&lt;=0.01,IF(ABS(AI55)&gt;0.01,"СОШЛОСЬ ПОСЛЕ КОРР.","СОШЛОСЬ"),IF(ABS(AI55)&gt;0.01,"ЧАСТИЧНО","НЕОПРЕДЕЛЕНО")))</x:f>
      </x:c>
      <x:c r="AM55" s="190"/>
      <x:c r="AN55" s="202"/>
      <x:c r="AO55" s="214" t="str">
        <x:f>IF(COUNTA(AM55:AN55)=0,"",N(AM55)-N(AN55))</x:f>
      </x:c>
      <x:c r="AP55" s="226" t="str">
        <x:f>IF(COUNTA(AM55:AN55)=0,"",SUMIFS('04_Влияние_ОПИУ'!$F$2:$F$2000,'04_Влияние_ОПИУ'!$B$2:$B$2000,"2025-06",'04_Влияние_ОПИУ'!$C$2:$C$2000,$A55,'04_Влияние_ОПИУ'!$G$2:$G$2000,"Да"))</x:f>
      </x:c>
      <x:c r="AQ55" s="238" t="str">
        <x:f>IF(COUNTA(AM55:AN55)=0,"",N(AN55)+N(AP55))</x:f>
      </x:c>
      <x:c r="AR55" s="252" t="str">
        <x:f>IF(COUNTA(AM55:AN55)=0,"",N(AM55)-N(AQ55))</x:f>
      </x:c>
      <x:c r="AS55" s="260" t="str">
        <x:f>IF(COUNTA(AM55:AN55)=0,"",IF(ABS(AR55)&lt;=0.01,IF(ABS(AP55)&gt;0.01,"СОШЛОСЬ ПОСЛЕ КОРР.","СОШЛОСЬ"),IF(ABS(AP55)&gt;0.01,"ЧАСТИЧНО","НЕОПРЕДЕЛЕНО")))</x:f>
      </x:c>
      <x:c r="AT55" s="190"/>
      <x:c r="AU55" s="202"/>
      <x:c r="AV55" s="214" t="str">
        <x:f>IF(COUNTA(AT55:AU55)=0,"",N(AT55)-N(AU55))</x:f>
      </x:c>
      <x:c r="AW55" s="226" t="str">
        <x:f>IF(COUNTA(AT55:AU55)=0,"",SUMIFS('04_Влияние_ОПИУ'!$F$2:$F$2000,'04_Влияние_ОПИУ'!$B$2:$B$2000,"2025-07",'04_Влияние_ОПИУ'!$C$2:$C$2000,$A55,'04_Влияние_ОПИУ'!$G$2:$G$2000,"Да"))</x:f>
      </x:c>
      <x:c r="AX55" s="238" t="str">
        <x:f>IF(COUNTA(AT55:AU55)=0,"",N(AU55)+N(AW55))</x:f>
      </x:c>
      <x:c r="AY55" s="252" t="str">
        <x:f>IF(COUNTA(AT55:AU55)=0,"",N(AT55)-N(AX55))</x:f>
      </x:c>
      <x:c r="AZ55" s="260" t="str">
        <x:f>IF(COUNTA(AT55:AU55)=0,"",IF(ABS(AY55)&lt;=0.01,IF(ABS(AW55)&gt;0.01,"СОШЛОСЬ ПОСЛЕ КОРР.","СОШЛОСЬ"),IF(ABS(AW55)&gt;0.01,"ЧАСТИЧНО","НЕОПРЕДЕЛЕНО")))</x:f>
      </x:c>
      <x:c r="BA55" s="190"/>
      <x:c r="BB55" s="202"/>
      <x:c r="BC55" s="214" t="str">
        <x:f>IF(COUNTA(BA55:BB55)=0,"",N(BA55)-N(BB55))</x:f>
      </x:c>
      <x:c r="BD55" s="226" t="str">
        <x:f>IF(COUNTA(BA55:BB55)=0,"",SUMIFS('04_Влияние_ОПИУ'!$F$2:$F$2000,'04_Влияние_ОПИУ'!$B$2:$B$2000,"2025-08",'04_Влияние_ОПИУ'!$C$2:$C$2000,$A55,'04_Влияние_ОПИУ'!$G$2:$G$2000,"Да"))</x:f>
      </x:c>
      <x:c r="BE55" s="238" t="str">
        <x:f>IF(COUNTA(BA55:BB55)=0,"",N(BB55)+N(BD55))</x:f>
      </x:c>
      <x:c r="BF55" s="252" t="str">
        <x:f>IF(COUNTA(BA55:BB55)=0,"",N(BA55)-N(BE55))</x:f>
      </x:c>
      <x:c r="BG55" s="260" t="str">
        <x:f>IF(COUNTA(BA55:BB55)=0,"",IF(ABS(BF55)&lt;=0.01,IF(ABS(BD55)&gt;0.01,"СОШЛОСЬ ПОСЛЕ КОРР.","СОШЛОСЬ"),IF(ABS(BD55)&gt;0.01,"ЧАСТИЧНО","НЕОПРЕДЕЛЕНО")))</x:f>
      </x:c>
      <x:c r="BH55" s="190"/>
      <x:c r="BI55" s="202"/>
      <x:c r="BJ55" s="214" t="str">
        <x:f>IF(COUNTA(BH55:BI55)=0,"",N(BH55)-N(BI55))</x:f>
      </x:c>
      <x:c r="BK55" s="226" t="str">
        <x:f>IF(COUNTA(BH55:BI55)=0,"",SUMIFS('04_Влияние_ОПИУ'!$F$2:$F$2000,'04_Влияние_ОПИУ'!$B$2:$B$2000,"2025-09",'04_Влияние_ОПИУ'!$C$2:$C$2000,$A55,'04_Влияние_ОПИУ'!$G$2:$G$2000,"Да"))</x:f>
      </x:c>
      <x:c r="BL55" s="238" t="str">
        <x:f>IF(COUNTA(BH55:BI55)=0,"",N(BI55)+N(BK55))</x:f>
      </x:c>
      <x:c r="BM55" s="252" t="str">
        <x:f>IF(COUNTA(BH55:BI55)=0,"",N(BH55)-N(BL55))</x:f>
      </x:c>
      <x:c r="BN55" s="260" t="str">
        <x:f>IF(COUNTA(BH55:BI55)=0,"",IF(ABS(BM55)&lt;=0.01,IF(ABS(BK55)&gt;0.01,"СОШЛОСЬ ПОСЛЕ КОРР.","СОШЛОСЬ"),IF(ABS(BK55)&gt;0.01,"ЧАСТИЧНО","НЕОПРЕДЕЛЕНО")))</x:f>
      </x:c>
      <x:c r="BO55" s="190"/>
      <x:c r="BP55" s="202"/>
      <x:c r="BQ55" s="214" t="str">
        <x:f>IF(COUNTA(BO55:BP55)=0,"",N(BO55)-N(BP55))</x:f>
      </x:c>
      <x:c r="BR55" s="226" t="str">
        <x:f>IF(COUNTA(BO55:BP55)=0,"",SUMIFS('04_Влияние_ОПИУ'!$F$2:$F$2000,'04_Влияние_ОПИУ'!$B$2:$B$2000,"2025-10",'04_Влияние_ОПИУ'!$C$2:$C$2000,$A55,'04_Влияние_ОПИУ'!$G$2:$G$2000,"Да"))</x:f>
      </x:c>
      <x:c r="BS55" s="238" t="str">
        <x:f>IF(COUNTA(BO55:BP55)=0,"",N(BP55)+N(BR55))</x:f>
      </x:c>
      <x:c r="BT55" s="252" t="str">
        <x:f>IF(COUNTA(BO55:BP55)=0,"",N(BO55)-N(BS55))</x:f>
      </x:c>
      <x:c r="BU55" s="260" t="str">
        <x:f>IF(COUNTA(BO55:BP55)=0,"",IF(ABS(BT55)&lt;=0.01,IF(ABS(BR55)&gt;0.01,"СОШЛОСЬ ПОСЛЕ КОРР.","СОШЛОСЬ"),IF(ABS(BR55)&gt;0.01,"ЧАСТИЧНО","НЕОПРЕДЕЛЕНО")))</x:f>
      </x:c>
      <x:c r="BV55" s="190"/>
      <x:c r="BW55" s="202"/>
      <x:c r="BX55" s="214" t="str">
        <x:f>IF(COUNTA(BV55:BW55)=0,"",N(BV55)-N(BW55))</x:f>
      </x:c>
      <x:c r="BY55" s="226" t="str">
        <x:f>IF(COUNTA(BV55:BW55)=0,"",SUMIFS('04_Влияние_ОПИУ'!$F$2:$F$2000,'04_Влияние_ОПИУ'!$B$2:$B$2000,"2025-11",'04_Влияние_ОПИУ'!$C$2:$C$2000,$A55,'04_Влияние_ОПИУ'!$G$2:$G$2000,"Да"))</x:f>
      </x:c>
      <x:c r="BZ55" s="238" t="str">
        <x:f>IF(COUNTA(BV55:BW55)=0,"",N(BW55)+N(BY55))</x:f>
      </x:c>
      <x:c r="CA55" s="252" t="str">
        <x:f>IF(COUNTA(BV55:BW55)=0,"",N(BV55)-N(BZ55))</x:f>
      </x:c>
      <x:c r="CB55" s="260" t="str">
        <x:f>IF(COUNTA(BV55:BW55)=0,"",IF(ABS(CA55)&lt;=0.01,IF(ABS(BY55)&gt;0.01,"СОШЛОСЬ ПОСЛЕ КОРР.","СОШЛОСЬ"),IF(ABS(BY55)&gt;0.01,"ЧАСТИЧНО","НЕОПРЕДЕЛЕНО")))</x:f>
      </x:c>
      <x:c r="CC55" s="190"/>
      <x:c r="CD55" s="202"/>
      <x:c r="CE55" s="214" t="str">
        <x:f>IF(COUNTA(CC55:CD55)=0,"",N(CC55)-N(CD55))</x:f>
      </x:c>
      <x:c r="CF55" s="226" t="str">
        <x:f>IF(COUNTA(CC55:CD55)=0,"",SUMIFS('04_Влияние_ОПИУ'!$F$2:$F$2000,'04_Влияние_ОПИУ'!$B$2:$B$2000,"2025-12",'04_Влияние_ОПИУ'!$C$2:$C$2000,$A55,'04_Влияние_ОПИУ'!$G$2:$G$2000,"Да"))</x:f>
      </x:c>
      <x:c r="CG55" s="238" t="str">
        <x:f>IF(COUNTA(CC55:CD55)=0,"",N(CD55)+N(CF55))</x:f>
      </x:c>
      <x:c r="CH55" s="252" t="str">
        <x:f>IF(COUNTA(CC55:CD55)=0,"",N(CC55)-N(CG55))</x:f>
      </x:c>
      <x:c r="CI55" s="260" t="str">
        <x:f>IF(COUNTA(CC55:CD55)=0,"",IF(ABS(CH55)&lt;=0.01,IF(ABS(CF55)&gt;0.01,"СОШЛОСЬ ПОСЛЕ КОРР.","СОШЛОСЬ"),IF(ABS(CF55)&gt;0.01,"ЧАСТИЧНО","НЕОПРЕДЕЛЕНО")))</x:f>
      </x:c>
    </x:row>
    <x:row r="56">
      <x:c r="A56" s="166" t="str">
        <x:v>R051</x:v>
      </x:c>
      <x:c r="B56" s="166" t="str">
        <x:v>      Финансовые расходы</x:v>
      </x:c>
      <x:c r="C56" s="170"/>
      <x:c r="D56" s="190"/>
      <x:c r="E56" s="202"/>
      <x:c r="F56" s="214" t="str">
        <x:f>IF(COUNTA(D56:E56)=0,"",N(D56)-N(E56))</x:f>
      </x:c>
      <x:c r="G56" s="226" t="str">
        <x:f>IF(COUNTA(D56:E56)=0,"",SUMIFS('04_Влияние_ОПИУ'!$F$2:$F$2000,'04_Влияние_ОПИУ'!$B$2:$B$2000,"2025-01",'04_Влияние_ОПИУ'!$C$2:$C$2000,$A56,'04_Влияние_ОПИУ'!$G$2:$G$2000,"Да"))</x:f>
      </x:c>
      <x:c r="H56" s="238" t="str">
        <x:f>IF(COUNTA(D56:E56)=0,"",N(E56)+N(G56))</x:f>
      </x:c>
      <x:c r="I56" s="252" t="str">
        <x:f>IF(COUNTA(D56:E56)=0,"",N(D56)-N(H56))</x:f>
      </x:c>
      <x:c r="J56" s="260" t="str">
        <x:f>IF(COUNTA(D56:E56)=0,"",IF(ABS(I56)&lt;=0.01,IF(ABS(G56)&gt;0.01,"СОШЛОСЬ ПОСЛЕ КОРР.","СОШЛОСЬ"),IF(ABS(G56)&gt;0.01,"ЧАСТИЧНО","НЕОПРЕДЕЛЕНО")))</x:f>
      </x:c>
      <x:c r="K56" s="190"/>
      <x:c r="L56" s="202"/>
      <x:c r="M56" s="214" t="str">
        <x:f>IF(COUNTA(K56:L56)=0,"",N(K56)-N(L56))</x:f>
      </x:c>
      <x:c r="N56" s="226" t="str">
        <x:f>IF(COUNTA(K56:L56)=0,"",SUMIFS('04_Влияние_ОПИУ'!$F$2:$F$2000,'04_Влияние_ОПИУ'!$B$2:$B$2000,"2025-02",'04_Влияние_ОПИУ'!$C$2:$C$2000,$A56,'04_Влияние_ОПИУ'!$G$2:$G$2000,"Да"))</x:f>
      </x:c>
      <x:c r="O56" s="238" t="str">
        <x:f>IF(COUNTA(K56:L56)=0,"",N(L56)+N(N56))</x:f>
      </x:c>
      <x:c r="P56" s="252" t="str">
        <x:f>IF(COUNTA(K56:L56)=0,"",N(K56)-N(O56))</x:f>
      </x:c>
      <x:c r="Q56" s="260" t="str">
        <x:f>IF(COUNTA(K56:L56)=0,"",IF(ABS(P56)&lt;=0.01,IF(ABS(N56)&gt;0.01,"СОШЛОСЬ ПОСЛЕ КОРР.","СОШЛОСЬ"),IF(ABS(N56)&gt;0.01,"ЧАСТИЧНО","НЕОПРЕДЕЛЕНО")))</x:f>
      </x:c>
      <x:c r="R56" s="190"/>
      <x:c r="S56" s="202"/>
      <x:c r="T56" s="214" t="str">
        <x:f>IF(COUNTA(R56:S56)=0,"",N(R56)-N(S56))</x:f>
      </x:c>
      <x:c r="U56" s="226" t="str">
        <x:f>IF(COUNTA(R56:S56)=0,"",SUMIFS('04_Влияние_ОПИУ'!$F$2:$F$2000,'04_Влияние_ОПИУ'!$B$2:$B$2000,"2025-03",'04_Влияние_ОПИУ'!$C$2:$C$2000,$A56,'04_Влияние_ОПИУ'!$G$2:$G$2000,"Да"))</x:f>
      </x:c>
      <x:c r="V56" s="238" t="str">
        <x:f>IF(COUNTA(R56:S56)=0,"",N(S56)+N(U56))</x:f>
      </x:c>
      <x:c r="W56" s="252" t="str">
        <x:f>IF(COUNTA(R56:S56)=0,"",N(R56)-N(V56))</x:f>
      </x:c>
      <x:c r="X56" s="260" t="str">
        <x:f>IF(COUNTA(R56:S56)=0,"",IF(ABS(W56)&lt;=0.01,IF(ABS(U56)&gt;0.01,"СОШЛОСЬ ПОСЛЕ КОРР.","СОШЛОСЬ"),IF(ABS(U56)&gt;0.01,"ЧАСТИЧНО","НЕОПРЕДЕЛЕНО")))</x:f>
      </x:c>
      <x:c r="Y56" s="190"/>
      <x:c r="Z56" s="202"/>
      <x:c r="AA56" s="214" t="str">
        <x:f>IF(COUNTA(Y56:Z56)=0,"",N(Y56)-N(Z56))</x:f>
      </x:c>
      <x:c r="AB56" s="226" t="str">
        <x:f>IF(COUNTA(Y56:Z56)=0,"",SUMIFS('04_Влияние_ОПИУ'!$F$2:$F$2000,'04_Влияние_ОПИУ'!$B$2:$B$2000,"2025-04",'04_Влияние_ОПИУ'!$C$2:$C$2000,$A56,'04_Влияние_ОПИУ'!$G$2:$G$2000,"Да"))</x:f>
      </x:c>
      <x:c r="AC56" s="238" t="str">
        <x:f>IF(COUNTA(Y56:Z56)=0,"",N(Z56)+N(AB56))</x:f>
      </x:c>
      <x:c r="AD56" s="252" t="str">
        <x:f>IF(COUNTA(Y56:Z56)=0,"",N(Y56)-N(AC56))</x:f>
      </x:c>
      <x:c r="AE56" s="260" t="str">
        <x:f>IF(COUNTA(Y56:Z56)=0,"",IF(ABS(AD56)&lt;=0.01,IF(ABS(AB56)&gt;0.01,"СОШЛОСЬ ПОСЛЕ КОРР.","СОШЛОСЬ"),IF(ABS(AB56)&gt;0.01,"ЧАСТИЧНО","НЕОПРЕДЕЛЕНО")))</x:f>
      </x:c>
      <x:c r="AF56" s="190"/>
      <x:c r="AG56" s="202"/>
      <x:c r="AH56" s="214" t="str">
        <x:f>IF(COUNTA(AF56:AG56)=0,"",N(AF56)-N(AG56))</x:f>
      </x:c>
      <x:c r="AI56" s="226" t="str">
        <x:f>IF(COUNTA(AF56:AG56)=0,"",SUMIFS('04_Влияние_ОПИУ'!$F$2:$F$2000,'04_Влияние_ОПИУ'!$B$2:$B$2000,"2025-05",'04_Влияние_ОПИУ'!$C$2:$C$2000,$A56,'04_Влияние_ОПИУ'!$G$2:$G$2000,"Да"))</x:f>
      </x:c>
      <x:c r="AJ56" s="238" t="str">
        <x:f>IF(COUNTA(AF56:AG56)=0,"",N(AG56)+N(AI56))</x:f>
      </x:c>
      <x:c r="AK56" s="252" t="str">
        <x:f>IF(COUNTA(AF56:AG56)=0,"",N(AF56)-N(AJ56))</x:f>
      </x:c>
      <x:c r="AL56" s="260" t="str">
        <x:f>IF(COUNTA(AF56:AG56)=0,"",IF(ABS(AK56)&lt;=0.01,IF(ABS(AI56)&gt;0.01,"СОШЛОСЬ ПОСЛЕ КОРР.","СОШЛОСЬ"),IF(ABS(AI56)&gt;0.01,"ЧАСТИЧНО","НЕОПРЕДЕЛЕНО")))</x:f>
      </x:c>
      <x:c r="AM56" s="190"/>
      <x:c r="AN56" s="202"/>
      <x:c r="AO56" s="214" t="str">
        <x:f>IF(COUNTA(AM56:AN56)=0,"",N(AM56)-N(AN56))</x:f>
      </x:c>
      <x:c r="AP56" s="226" t="str">
        <x:f>IF(COUNTA(AM56:AN56)=0,"",SUMIFS('04_Влияние_ОПИУ'!$F$2:$F$2000,'04_Влияние_ОПИУ'!$B$2:$B$2000,"2025-06",'04_Влияние_ОПИУ'!$C$2:$C$2000,$A56,'04_Влияние_ОПИУ'!$G$2:$G$2000,"Да"))</x:f>
      </x:c>
      <x:c r="AQ56" s="238" t="str">
        <x:f>IF(COUNTA(AM56:AN56)=0,"",N(AN56)+N(AP56))</x:f>
      </x:c>
      <x:c r="AR56" s="252" t="str">
        <x:f>IF(COUNTA(AM56:AN56)=0,"",N(AM56)-N(AQ56))</x:f>
      </x:c>
      <x:c r="AS56" s="260" t="str">
        <x:f>IF(COUNTA(AM56:AN56)=0,"",IF(ABS(AR56)&lt;=0.01,IF(ABS(AP56)&gt;0.01,"СОШЛОСЬ ПОСЛЕ КОРР.","СОШЛОСЬ"),IF(ABS(AP56)&gt;0.01,"ЧАСТИЧНО","НЕОПРЕДЕЛЕНО")))</x:f>
      </x:c>
      <x:c r="AT56" s="190"/>
      <x:c r="AU56" s="202"/>
      <x:c r="AV56" s="214" t="str">
        <x:f>IF(COUNTA(AT56:AU56)=0,"",N(AT56)-N(AU56))</x:f>
      </x:c>
      <x:c r="AW56" s="226" t="str">
        <x:f>IF(COUNTA(AT56:AU56)=0,"",SUMIFS('04_Влияние_ОПИУ'!$F$2:$F$2000,'04_Влияние_ОПИУ'!$B$2:$B$2000,"2025-07",'04_Влияние_ОПИУ'!$C$2:$C$2000,$A56,'04_Влияние_ОПИУ'!$G$2:$G$2000,"Да"))</x:f>
      </x:c>
      <x:c r="AX56" s="238" t="str">
        <x:f>IF(COUNTA(AT56:AU56)=0,"",N(AU56)+N(AW56))</x:f>
      </x:c>
      <x:c r="AY56" s="252" t="str">
        <x:f>IF(COUNTA(AT56:AU56)=0,"",N(AT56)-N(AX56))</x:f>
      </x:c>
      <x:c r="AZ56" s="260" t="str">
        <x:f>IF(COUNTA(AT56:AU56)=0,"",IF(ABS(AY56)&lt;=0.01,IF(ABS(AW56)&gt;0.01,"СОШЛОСЬ ПОСЛЕ КОРР.","СОШЛОСЬ"),IF(ABS(AW56)&gt;0.01,"ЧАСТИЧНО","НЕОПРЕДЕЛЕНО")))</x:f>
      </x:c>
      <x:c r="BA56" s="190"/>
      <x:c r="BB56" s="202"/>
      <x:c r="BC56" s="214" t="str">
        <x:f>IF(COUNTA(BA56:BB56)=0,"",N(BA56)-N(BB56))</x:f>
      </x:c>
      <x:c r="BD56" s="226" t="str">
        <x:f>IF(COUNTA(BA56:BB56)=0,"",SUMIFS('04_Влияние_ОПИУ'!$F$2:$F$2000,'04_Влияние_ОПИУ'!$B$2:$B$2000,"2025-08",'04_Влияние_ОПИУ'!$C$2:$C$2000,$A56,'04_Влияние_ОПИУ'!$G$2:$G$2000,"Да"))</x:f>
      </x:c>
      <x:c r="BE56" s="238" t="str">
        <x:f>IF(COUNTA(BA56:BB56)=0,"",N(BB56)+N(BD56))</x:f>
      </x:c>
      <x:c r="BF56" s="252" t="str">
        <x:f>IF(COUNTA(BA56:BB56)=0,"",N(BA56)-N(BE56))</x:f>
      </x:c>
      <x:c r="BG56" s="260" t="str">
        <x:f>IF(COUNTA(BA56:BB56)=0,"",IF(ABS(BF56)&lt;=0.01,IF(ABS(BD56)&gt;0.01,"СОШЛОСЬ ПОСЛЕ КОРР.","СОШЛОСЬ"),IF(ABS(BD56)&gt;0.01,"ЧАСТИЧНО","НЕОПРЕДЕЛЕНО")))</x:f>
      </x:c>
      <x:c r="BH56" s="190"/>
      <x:c r="BI56" s="202"/>
      <x:c r="BJ56" s="214" t="str">
        <x:f>IF(COUNTA(BH56:BI56)=0,"",N(BH56)-N(BI56))</x:f>
      </x:c>
      <x:c r="BK56" s="226" t="str">
        <x:f>IF(COUNTA(BH56:BI56)=0,"",SUMIFS('04_Влияние_ОПИУ'!$F$2:$F$2000,'04_Влияние_ОПИУ'!$B$2:$B$2000,"2025-09",'04_Влияние_ОПИУ'!$C$2:$C$2000,$A56,'04_Влияние_ОПИУ'!$G$2:$G$2000,"Да"))</x:f>
      </x:c>
      <x:c r="BL56" s="238" t="str">
        <x:f>IF(COUNTA(BH56:BI56)=0,"",N(BI56)+N(BK56))</x:f>
      </x:c>
      <x:c r="BM56" s="252" t="str">
        <x:f>IF(COUNTA(BH56:BI56)=0,"",N(BH56)-N(BL56))</x:f>
      </x:c>
      <x:c r="BN56" s="260" t="str">
        <x:f>IF(COUNTA(BH56:BI56)=0,"",IF(ABS(BM56)&lt;=0.01,IF(ABS(BK56)&gt;0.01,"СОШЛОСЬ ПОСЛЕ КОРР.","СОШЛОСЬ"),IF(ABS(BK56)&gt;0.01,"ЧАСТИЧНО","НЕОПРЕДЕЛЕНО")))</x:f>
      </x:c>
      <x:c r="BO56" s="190"/>
      <x:c r="BP56" s="202"/>
      <x:c r="BQ56" s="214" t="str">
        <x:f>IF(COUNTA(BO56:BP56)=0,"",N(BO56)-N(BP56))</x:f>
      </x:c>
      <x:c r="BR56" s="226" t="str">
        <x:f>IF(COUNTA(BO56:BP56)=0,"",SUMIFS('04_Влияние_ОПИУ'!$F$2:$F$2000,'04_Влияние_ОПИУ'!$B$2:$B$2000,"2025-10",'04_Влияние_ОПИУ'!$C$2:$C$2000,$A56,'04_Влияние_ОПИУ'!$G$2:$G$2000,"Да"))</x:f>
      </x:c>
      <x:c r="BS56" s="238" t="str">
        <x:f>IF(COUNTA(BO56:BP56)=0,"",N(BP56)+N(BR56))</x:f>
      </x:c>
      <x:c r="BT56" s="252" t="str">
        <x:f>IF(COUNTA(BO56:BP56)=0,"",N(BO56)-N(BS56))</x:f>
      </x:c>
      <x:c r="BU56" s="260" t="str">
        <x:f>IF(COUNTA(BO56:BP56)=0,"",IF(ABS(BT56)&lt;=0.01,IF(ABS(BR56)&gt;0.01,"СОШЛОСЬ ПОСЛЕ КОРР.","СОШЛОСЬ"),IF(ABS(BR56)&gt;0.01,"ЧАСТИЧНО","НЕОПРЕДЕЛЕНО")))</x:f>
      </x:c>
      <x:c r="BV56" s="190"/>
      <x:c r="BW56" s="202"/>
      <x:c r="BX56" s="214" t="str">
        <x:f>IF(COUNTA(BV56:BW56)=0,"",N(BV56)-N(BW56))</x:f>
      </x:c>
      <x:c r="BY56" s="226" t="str">
        <x:f>IF(COUNTA(BV56:BW56)=0,"",SUMIFS('04_Влияние_ОПИУ'!$F$2:$F$2000,'04_Влияние_ОПИУ'!$B$2:$B$2000,"2025-11",'04_Влияние_ОПИУ'!$C$2:$C$2000,$A56,'04_Влияние_ОПИУ'!$G$2:$G$2000,"Да"))</x:f>
      </x:c>
      <x:c r="BZ56" s="238" t="str">
        <x:f>IF(COUNTA(BV56:BW56)=0,"",N(BW56)+N(BY56))</x:f>
      </x:c>
      <x:c r="CA56" s="252" t="str">
        <x:f>IF(COUNTA(BV56:BW56)=0,"",N(BV56)-N(BZ56))</x:f>
      </x:c>
      <x:c r="CB56" s="260" t="str">
        <x:f>IF(COUNTA(BV56:BW56)=0,"",IF(ABS(CA56)&lt;=0.01,IF(ABS(BY56)&gt;0.01,"СОШЛОСЬ ПОСЛЕ КОРР.","СОШЛОСЬ"),IF(ABS(BY56)&gt;0.01,"ЧАСТИЧНО","НЕОПРЕДЕЛЕНО")))</x:f>
      </x:c>
      <x:c r="CC56" s="190"/>
      <x:c r="CD56" s="202"/>
      <x:c r="CE56" s="214" t="str">
        <x:f>IF(COUNTA(CC56:CD56)=0,"",N(CC56)-N(CD56))</x:f>
      </x:c>
      <x:c r="CF56" s="226" t="str">
        <x:f>IF(COUNTA(CC56:CD56)=0,"",SUMIFS('04_Влияние_ОПИУ'!$F$2:$F$2000,'04_Влияние_ОПИУ'!$B$2:$B$2000,"2025-12",'04_Влияние_ОПИУ'!$C$2:$C$2000,$A56,'04_Влияние_ОПИУ'!$G$2:$G$2000,"Да"))</x:f>
      </x:c>
      <x:c r="CG56" s="238" t="str">
        <x:f>IF(COUNTA(CC56:CD56)=0,"",N(CD56)+N(CF56))</x:f>
      </x:c>
      <x:c r="CH56" s="252" t="str">
        <x:f>IF(COUNTA(CC56:CD56)=0,"",N(CC56)-N(CG56))</x:f>
      </x:c>
      <x:c r="CI56" s="260" t="str">
        <x:f>IF(COUNTA(CC56:CD56)=0,"",IF(ABS(CH56)&lt;=0.01,IF(ABS(CF56)&gt;0.01,"СОШЛОСЬ ПОСЛЕ КОРР.","СОШЛОСЬ"),IF(ABS(CF56)&gt;0.01,"ЧАСТИЧНО","НЕОПРЕДЕЛЕНО")))</x:f>
      </x:c>
    </x:row>
    <x:row r="57">
      <x:c r="A57" s="166" t="str">
        <x:v>R052</x:v>
      </x:c>
      <x:c r="B57" s="166" t="str">
        <x:v>        Расходы по получению кредитов (госпошлины и пр.)</x:v>
      </x:c>
      <x:c r="C57" s="170"/>
      <x:c r="D57" s="190"/>
      <x:c r="E57" s="202"/>
      <x:c r="F57" s="214" t="str">
        <x:f>IF(COUNTA(D57:E57)=0,"",N(D57)-N(E57))</x:f>
      </x:c>
      <x:c r="G57" s="226" t="str">
        <x:f>IF(COUNTA(D57:E57)=0,"",SUMIFS('04_Влияние_ОПИУ'!$F$2:$F$2000,'04_Влияние_ОПИУ'!$B$2:$B$2000,"2025-01",'04_Влияние_ОПИУ'!$C$2:$C$2000,$A57,'04_Влияние_ОПИУ'!$G$2:$G$2000,"Да"))</x:f>
      </x:c>
      <x:c r="H57" s="238" t="str">
        <x:f>IF(COUNTA(D57:E57)=0,"",N(E57)+N(G57))</x:f>
      </x:c>
      <x:c r="I57" s="252" t="str">
        <x:f>IF(COUNTA(D57:E57)=0,"",N(D57)-N(H57))</x:f>
      </x:c>
      <x:c r="J57" s="260" t="str">
        <x:f>IF(COUNTA(D57:E57)=0,"",IF(ABS(I57)&lt;=0.01,IF(ABS(G57)&gt;0.01,"СОШЛОСЬ ПОСЛЕ КОРР.","СОШЛОСЬ"),IF(ABS(G57)&gt;0.01,"ЧАСТИЧНО","НЕОПРЕДЕЛЕНО")))</x:f>
      </x:c>
      <x:c r="K57" s="190"/>
      <x:c r="L57" s="202"/>
      <x:c r="M57" s="214" t="str">
        <x:f>IF(COUNTA(K57:L57)=0,"",N(K57)-N(L57))</x:f>
      </x:c>
      <x:c r="N57" s="226" t="str">
        <x:f>IF(COUNTA(K57:L57)=0,"",SUMIFS('04_Влияние_ОПИУ'!$F$2:$F$2000,'04_Влияние_ОПИУ'!$B$2:$B$2000,"2025-02",'04_Влияние_ОПИУ'!$C$2:$C$2000,$A57,'04_Влияние_ОПИУ'!$G$2:$G$2000,"Да"))</x:f>
      </x:c>
      <x:c r="O57" s="238" t="str">
        <x:f>IF(COUNTA(K57:L57)=0,"",N(L57)+N(N57))</x:f>
      </x:c>
      <x:c r="P57" s="252" t="str">
        <x:f>IF(COUNTA(K57:L57)=0,"",N(K57)-N(O57))</x:f>
      </x:c>
      <x:c r="Q57" s="260" t="str">
        <x:f>IF(COUNTA(K57:L57)=0,"",IF(ABS(P57)&lt;=0.01,IF(ABS(N57)&gt;0.01,"СОШЛОСЬ ПОСЛЕ КОРР.","СОШЛОСЬ"),IF(ABS(N57)&gt;0.01,"ЧАСТИЧНО","НЕОПРЕДЕЛЕНО")))</x:f>
      </x:c>
      <x:c r="R57" s="190"/>
      <x:c r="S57" s="202"/>
      <x:c r="T57" s="214" t="str">
        <x:f>IF(COUNTA(R57:S57)=0,"",N(R57)-N(S57))</x:f>
      </x:c>
      <x:c r="U57" s="226" t="str">
        <x:f>IF(COUNTA(R57:S57)=0,"",SUMIFS('04_Влияние_ОПИУ'!$F$2:$F$2000,'04_Влияние_ОПИУ'!$B$2:$B$2000,"2025-03",'04_Влияние_ОПИУ'!$C$2:$C$2000,$A57,'04_Влияние_ОПИУ'!$G$2:$G$2000,"Да"))</x:f>
      </x:c>
      <x:c r="V57" s="238" t="str">
        <x:f>IF(COUNTA(R57:S57)=0,"",N(S57)+N(U57))</x:f>
      </x:c>
      <x:c r="W57" s="252" t="str">
        <x:f>IF(COUNTA(R57:S57)=0,"",N(R57)-N(V57))</x:f>
      </x:c>
      <x:c r="X57" s="260" t="str">
        <x:f>IF(COUNTA(R57:S57)=0,"",IF(ABS(W57)&lt;=0.01,IF(ABS(U57)&gt;0.01,"СОШЛОСЬ ПОСЛЕ КОРР.","СОШЛОСЬ"),IF(ABS(U57)&gt;0.01,"ЧАСТИЧНО","НЕОПРЕДЕЛЕНО")))</x:f>
      </x:c>
      <x:c r="Y57" s="190"/>
      <x:c r="Z57" s="202"/>
      <x:c r="AA57" s="214" t="str">
        <x:f>IF(COUNTA(Y57:Z57)=0,"",N(Y57)-N(Z57))</x:f>
      </x:c>
      <x:c r="AB57" s="226" t="str">
        <x:f>IF(COUNTA(Y57:Z57)=0,"",SUMIFS('04_Влияние_ОПИУ'!$F$2:$F$2000,'04_Влияние_ОПИУ'!$B$2:$B$2000,"2025-04",'04_Влияние_ОПИУ'!$C$2:$C$2000,$A57,'04_Влияние_ОПИУ'!$G$2:$G$2000,"Да"))</x:f>
      </x:c>
      <x:c r="AC57" s="238" t="str">
        <x:f>IF(COUNTA(Y57:Z57)=0,"",N(Z57)+N(AB57))</x:f>
      </x:c>
      <x:c r="AD57" s="252" t="str">
        <x:f>IF(COUNTA(Y57:Z57)=0,"",N(Y57)-N(AC57))</x:f>
      </x:c>
      <x:c r="AE57" s="260" t="str">
        <x:f>IF(COUNTA(Y57:Z57)=0,"",IF(ABS(AD57)&lt;=0.01,IF(ABS(AB57)&gt;0.01,"СОШЛОСЬ ПОСЛЕ КОРР.","СОШЛОСЬ"),IF(ABS(AB57)&gt;0.01,"ЧАСТИЧНО","НЕОПРЕДЕЛЕНО")))</x:f>
      </x:c>
      <x:c r="AF57" s="190"/>
      <x:c r="AG57" s="202"/>
      <x:c r="AH57" s="214" t="str">
        <x:f>IF(COUNTA(AF57:AG57)=0,"",N(AF57)-N(AG57))</x:f>
      </x:c>
      <x:c r="AI57" s="226" t="str">
        <x:f>IF(COUNTA(AF57:AG57)=0,"",SUMIFS('04_Влияние_ОПИУ'!$F$2:$F$2000,'04_Влияние_ОПИУ'!$B$2:$B$2000,"2025-05",'04_Влияние_ОПИУ'!$C$2:$C$2000,$A57,'04_Влияние_ОПИУ'!$G$2:$G$2000,"Да"))</x:f>
      </x:c>
      <x:c r="AJ57" s="238" t="str">
        <x:f>IF(COUNTA(AF57:AG57)=0,"",N(AG57)+N(AI57))</x:f>
      </x:c>
      <x:c r="AK57" s="252" t="str">
        <x:f>IF(COUNTA(AF57:AG57)=0,"",N(AF57)-N(AJ57))</x:f>
      </x:c>
      <x:c r="AL57" s="260" t="str">
        <x:f>IF(COUNTA(AF57:AG57)=0,"",IF(ABS(AK57)&lt;=0.01,IF(ABS(AI57)&gt;0.01,"СОШЛОСЬ ПОСЛЕ КОРР.","СОШЛОСЬ"),IF(ABS(AI57)&gt;0.01,"ЧАСТИЧНО","НЕОПРЕДЕЛЕНО")))</x:f>
      </x:c>
      <x:c r="AM57" s="190"/>
      <x:c r="AN57" s="202"/>
      <x:c r="AO57" s="214" t="str">
        <x:f>IF(COUNTA(AM57:AN57)=0,"",N(AM57)-N(AN57))</x:f>
      </x:c>
      <x:c r="AP57" s="226" t="str">
        <x:f>IF(COUNTA(AM57:AN57)=0,"",SUMIFS('04_Влияние_ОПИУ'!$F$2:$F$2000,'04_Влияние_ОПИУ'!$B$2:$B$2000,"2025-06",'04_Влияние_ОПИУ'!$C$2:$C$2000,$A57,'04_Влияние_ОПИУ'!$G$2:$G$2000,"Да"))</x:f>
      </x:c>
      <x:c r="AQ57" s="238" t="str">
        <x:f>IF(COUNTA(AM57:AN57)=0,"",N(AN57)+N(AP57))</x:f>
      </x:c>
      <x:c r="AR57" s="252" t="str">
        <x:f>IF(COUNTA(AM57:AN57)=0,"",N(AM57)-N(AQ57))</x:f>
      </x:c>
      <x:c r="AS57" s="260" t="str">
        <x:f>IF(COUNTA(AM57:AN57)=0,"",IF(ABS(AR57)&lt;=0.01,IF(ABS(AP57)&gt;0.01,"СОШЛОСЬ ПОСЛЕ КОРР.","СОШЛОСЬ"),IF(ABS(AP57)&gt;0.01,"ЧАСТИЧНО","НЕОПРЕДЕЛЕНО")))</x:f>
      </x:c>
      <x:c r="AT57" s="190"/>
      <x:c r="AU57" s="202"/>
      <x:c r="AV57" s="214" t="str">
        <x:f>IF(COUNTA(AT57:AU57)=0,"",N(AT57)-N(AU57))</x:f>
      </x:c>
      <x:c r="AW57" s="226" t="str">
        <x:f>IF(COUNTA(AT57:AU57)=0,"",SUMIFS('04_Влияние_ОПИУ'!$F$2:$F$2000,'04_Влияние_ОПИУ'!$B$2:$B$2000,"2025-07",'04_Влияние_ОПИУ'!$C$2:$C$2000,$A57,'04_Влияние_ОПИУ'!$G$2:$G$2000,"Да"))</x:f>
      </x:c>
      <x:c r="AX57" s="238" t="str">
        <x:f>IF(COUNTA(AT57:AU57)=0,"",N(AU57)+N(AW57))</x:f>
      </x:c>
      <x:c r="AY57" s="252" t="str">
        <x:f>IF(COUNTA(AT57:AU57)=0,"",N(AT57)-N(AX57))</x:f>
      </x:c>
      <x:c r="AZ57" s="260" t="str">
        <x:f>IF(COUNTA(AT57:AU57)=0,"",IF(ABS(AY57)&lt;=0.01,IF(ABS(AW57)&gt;0.01,"СОШЛОСЬ ПОСЛЕ КОРР.","СОШЛОСЬ"),IF(ABS(AW57)&gt;0.01,"ЧАСТИЧНО","НЕОПРЕДЕЛЕНО")))</x:f>
      </x:c>
      <x:c r="BA57" s="190"/>
      <x:c r="BB57" s="202"/>
      <x:c r="BC57" s="214" t="str">
        <x:f>IF(COUNTA(BA57:BB57)=0,"",N(BA57)-N(BB57))</x:f>
      </x:c>
      <x:c r="BD57" s="226" t="str">
        <x:f>IF(COUNTA(BA57:BB57)=0,"",SUMIFS('04_Влияние_ОПИУ'!$F$2:$F$2000,'04_Влияние_ОПИУ'!$B$2:$B$2000,"2025-08",'04_Влияние_ОПИУ'!$C$2:$C$2000,$A57,'04_Влияние_ОПИУ'!$G$2:$G$2000,"Да"))</x:f>
      </x:c>
      <x:c r="BE57" s="238" t="str">
        <x:f>IF(COUNTA(BA57:BB57)=0,"",N(BB57)+N(BD57))</x:f>
      </x:c>
      <x:c r="BF57" s="252" t="str">
        <x:f>IF(COUNTA(BA57:BB57)=0,"",N(BA57)-N(BE57))</x:f>
      </x:c>
      <x:c r="BG57" s="260" t="str">
        <x:f>IF(COUNTA(BA57:BB57)=0,"",IF(ABS(BF57)&lt;=0.01,IF(ABS(BD57)&gt;0.01,"СОШЛОСЬ ПОСЛЕ КОРР.","СОШЛОСЬ"),IF(ABS(BD57)&gt;0.01,"ЧАСТИЧНО","НЕОПРЕДЕЛЕНО")))</x:f>
      </x:c>
      <x:c r="BH57" s="190"/>
      <x:c r="BI57" s="202"/>
      <x:c r="BJ57" s="214" t="str">
        <x:f>IF(COUNTA(BH57:BI57)=0,"",N(BH57)-N(BI57))</x:f>
      </x:c>
      <x:c r="BK57" s="226" t="str">
        <x:f>IF(COUNTA(BH57:BI57)=0,"",SUMIFS('04_Влияние_ОПИУ'!$F$2:$F$2000,'04_Влияние_ОПИУ'!$B$2:$B$2000,"2025-09",'04_Влияние_ОПИУ'!$C$2:$C$2000,$A57,'04_Влияние_ОПИУ'!$G$2:$G$2000,"Да"))</x:f>
      </x:c>
      <x:c r="BL57" s="238" t="str">
        <x:f>IF(COUNTA(BH57:BI57)=0,"",N(BI57)+N(BK57))</x:f>
      </x:c>
      <x:c r="BM57" s="252" t="str">
        <x:f>IF(COUNTA(BH57:BI57)=0,"",N(BH57)-N(BL57))</x:f>
      </x:c>
      <x:c r="BN57" s="260" t="str">
        <x:f>IF(COUNTA(BH57:BI57)=0,"",IF(ABS(BM57)&lt;=0.01,IF(ABS(BK57)&gt;0.01,"СОШЛОСЬ ПОСЛЕ КОРР.","СОШЛОСЬ"),IF(ABS(BK57)&gt;0.01,"ЧАСТИЧНО","НЕОПРЕДЕЛЕНО")))</x:f>
      </x:c>
      <x:c r="BO57" s="190"/>
      <x:c r="BP57" s="202"/>
      <x:c r="BQ57" s="214" t="str">
        <x:f>IF(COUNTA(BO57:BP57)=0,"",N(BO57)-N(BP57))</x:f>
      </x:c>
      <x:c r="BR57" s="226" t="str">
        <x:f>IF(COUNTA(BO57:BP57)=0,"",SUMIFS('04_Влияние_ОПИУ'!$F$2:$F$2000,'04_Влияние_ОПИУ'!$B$2:$B$2000,"2025-10",'04_Влияние_ОПИУ'!$C$2:$C$2000,$A57,'04_Влияние_ОПИУ'!$G$2:$G$2000,"Да"))</x:f>
      </x:c>
      <x:c r="BS57" s="238" t="str">
        <x:f>IF(COUNTA(BO57:BP57)=0,"",N(BP57)+N(BR57))</x:f>
      </x:c>
      <x:c r="BT57" s="252" t="str">
        <x:f>IF(COUNTA(BO57:BP57)=0,"",N(BO57)-N(BS57))</x:f>
      </x:c>
      <x:c r="BU57" s="260" t="str">
        <x:f>IF(COUNTA(BO57:BP57)=0,"",IF(ABS(BT57)&lt;=0.01,IF(ABS(BR57)&gt;0.01,"СОШЛОСЬ ПОСЛЕ КОРР.","СОШЛОСЬ"),IF(ABS(BR57)&gt;0.01,"ЧАСТИЧНО","НЕОПРЕДЕЛЕНО")))</x:f>
      </x:c>
      <x:c r="BV57" s="190"/>
      <x:c r="BW57" s="202"/>
      <x:c r="BX57" s="214" t="str">
        <x:f>IF(COUNTA(BV57:BW57)=0,"",N(BV57)-N(BW57))</x:f>
      </x:c>
      <x:c r="BY57" s="226" t="str">
        <x:f>IF(COUNTA(BV57:BW57)=0,"",SUMIFS('04_Влияние_ОПИУ'!$F$2:$F$2000,'04_Влияние_ОПИУ'!$B$2:$B$2000,"2025-11",'04_Влияние_ОПИУ'!$C$2:$C$2000,$A57,'04_Влияние_ОПИУ'!$G$2:$G$2000,"Да"))</x:f>
      </x:c>
      <x:c r="BZ57" s="238" t="str">
        <x:f>IF(COUNTA(BV57:BW57)=0,"",N(BW57)+N(BY57))</x:f>
      </x:c>
      <x:c r="CA57" s="252" t="str">
        <x:f>IF(COUNTA(BV57:BW57)=0,"",N(BV57)-N(BZ57))</x:f>
      </x:c>
      <x:c r="CB57" s="260" t="str">
        <x:f>IF(COUNTA(BV57:BW57)=0,"",IF(ABS(CA57)&lt;=0.01,IF(ABS(BY57)&gt;0.01,"СОШЛОСЬ ПОСЛЕ КОРР.","СОШЛОСЬ"),IF(ABS(BY57)&gt;0.01,"ЧАСТИЧНО","НЕОПРЕДЕЛЕНО")))</x:f>
      </x:c>
      <x:c r="CC57" s="190"/>
      <x:c r="CD57" s="202"/>
      <x:c r="CE57" s="214" t="str">
        <x:f>IF(COUNTA(CC57:CD57)=0,"",N(CC57)-N(CD57))</x:f>
      </x:c>
      <x:c r="CF57" s="226" t="str">
        <x:f>IF(COUNTA(CC57:CD57)=0,"",SUMIFS('04_Влияние_ОПИУ'!$F$2:$F$2000,'04_Влияние_ОПИУ'!$B$2:$B$2000,"2025-12",'04_Влияние_ОПИУ'!$C$2:$C$2000,$A57,'04_Влияние_ОПИУ'!$G$2:$G$2000,"Да"))</x:f>
      </x:c>
      <x:c r="CG57" s="238" t="str">
        <x:f>IF(COUNTA(CC57:CD57)=0,"",N(CD57)+N(CF57))</x:f>
      </x:c>
      <x:c r="CH57" s="252" t="str">
        <x:f>IF(COUNTA(CC57:CD57)=0,"",N(CC57)-N(CG57))</x:f>
      </x:c>
      <x:c r="CI57" s="260" t="str">
        <x:f>IF(COUNTA(CC57:CD57)=0,"",IF(ABS(CH57)&lt;=0.01,IF(ABS(CF57)&gt;0.01,"СОШЛОСЬ ПОСЛЕ КОРР.","СОШЛОСЬ"),IF(ABS(CF57)&gt;0.01,"ЧАСТИЧНО","НЕОПРЕДЕЛЕНО")))</x:f>
      </x:c>
    </x:row>
    <x:row r="58">
      <x:c r="A58" s="178" t="str">
        <x:v>R053</x:v>
      </x:c>
      <x:c r="B58" s="178" t="str">
        <x:v>    Расходы по финансовой деятельности</x:v>
      </x:c>
      <x:c r="C58" s="162" t="str">
        <x:v>    Расходы по финансовой деятельности</x:v>
      </x:c>
      <x:c r="D58" s="190"/>
      <x:c r="E58" s="202"/>
      <x:c r="F58" s="214" t="str">
        <x:f>IF(COUNTA(D58:E58)=0,"",N(D58)-N(E58))</x:f>
      </x:c>
      <x:c r="G58" s="226" t="str">
        <x:f>IF(COUNTA(D58:E58)=0,"",SUMIFS('04_Влияние_ОПИУ'!$F$2:$F$2000,'04_Влияние_ОПИУ'!$B$2:$B$2000,"2025-01",'04_Влияние_ОПИУ'!$C$2:$C$2000,$A58,'04_Влияние_ОПИУ'!$G$2:$G$2000,"Да"))</x:f>
      </x:c>
      <x:c r="H58" s="238" t="str">
        <x:f>IF(COUNTA(D58:E58)=0,"",N(E58)+N(G58))</x:f>
      </x:c>
      <x:c r="I58" s="252" t="str">
        <x:f>IF(COUNTA(D58:E58)=0,"",N(D58)-N(H58))</x:f>
      </x:c>
      <x:c r="J58" s="260" t="str">
        <x:f>IF(COUNTA(D58:E58)=0,"",IF(ABS(I58)&lt;=0.01,IF(ABS(G58)&gt;0.01,"СОШЛОСЬ ПОСЛЕ КОРР.","СОШЛОСЬ"),IF(ABS(G58)&gt;0.01,"ЧАСТИЧНО","НЕОПРЕДЕЛЕНО")))</x:f>
      </x:c>
      <x:c r="K58" s="190"/>
      <x:c r="L58" s="202"/>
      <x:c r="M58" s="214" t="str">
        <x:f>IF(COUNTA(K58:L58)=0,"",N(K58)-N(L58))</x:f>
      </x:c>
      <x:c r="N58" s="226" t="str">
        <x:f>IF(COUNTA(K58:L58)=0,"",SUMIFS('04_Влияние_ОПИУ'!$F$2:$F$2000,'04_Влияние_ОПИУ'!$B$2:$B$2000,"2025-02",'04_Влияние_ОПИУ'!$C$2:$C$2000,$A58,'04_Влияние_ОПИУ'!$G$2:$G$2000,"Да"))</x:f>
      </x:c>
      <x:c r="O58" s="238" t="str">
        <x:f>IF(COUNTA(K58:L58)=0,"",N(L58)+N(N58))</x:f>
      </x:c>
      <x:c r="P58" s="252" t="str">
        <x:f>IF(COUNTA(K58:L58)=0,"",N(K58)-N(O58))</x:f>
      </x:c>
      <x:c r="Q58" s="260" t="str">
        <x:f>IF(COUNTA(K58:L58)=0,"",IF(ABS(P58)&lt;=0.01,IF(ABS(N58)&gt;0.01,"СОШЛОСЬ ПОСЛЕ КОРР.","СОШЛОСЬ"),IF(ABS(N58)&gt;0.01,"ЧАСТИЧНО","НЕОПРЕДЕЛЕНО")))</x:f>
      </x:c>
      <x:c r="R58" s="190"/>
      <x:c r="S58" s="202"/>
      <x:c r="T58" s="214" t="str">
        <x:f>IF(COUNTA(R58:S58)=0,"",N(R58)-N(S58))</x:f>
      </x:c>
      <x:c r="U58" s="226" t="str">
        <x:f>IF(COUNTA(R58:S58)=0,"",SUMIFS('04_Влияние_ОПИУ'!$F$2:$F$2000,'04_Влияние_ОПИУ'!$B$2:$B$2000,"2025-03",'04_Влияние_ОПИУ'!$C$2:$C$2000,$A58,'04_Влияние_ОПИУ'!$G$2:$G$2000,"Да"))</x:f>
      </x:c>
      <x:c r="V58" s="238" t="str">
        <x:f>IF(COUNTA(R58:S58)=0,"",N(S58)+N(U58))</x:f>
      </x:c>
      <x:c r="W58" s="252" t="str">
        <x:f>IF(COUNTA(R58:S58)=0,"",N(R58)-N(V58))</x:f>
      </x:c>
      <x:c r="X58" s="260" t="str">
        <x:f>IF(COUNTA(R58:S58)=0,"",IF(ABS(W58)&lt;=0.01,IF(ABS(U58)&gt;0.01,"СОШЛОСЬ ПОСЛЕ КОРР.","СОШЛОСЬ"),IF(ABS(U58)&gt;0.01,"ЧАСТИЧНО","НЕОПРЕДЕЛЕНО")))</x:f>
      </x:c>
      <x:c r="Y58" s="190"/>
      <x:c r="Z58" s="202"/>
      <x:c r="AA58" s="214" t="str">
        <x:f>IF(COUNTA(Y58:Z58)=0,"",N(Y58)-N(Z58))</x:f>
      </x:c>
      <x:c r="AB58" s="226" t="str">
        <x:f>IF(COUNTA(Y58:Z58)=0,"",SUMIFS('04_Влияние_ОПИУ'!$F$2:$F$2000,'04_Влияние_ОПИУ'!$B$2:$B$2000,"2025-04",'04_Влияние_ОПИУ'!$C$2:$C$2000,$A58,'04_Влияние_ОПИУ'!$G$2:$G$2000,"Да"))</x:f>
      </x:c>
      <x:c r="AC58" s="238" t="str">
        <x:f>IF(COUNTA(Y58:Z58)=0,"",N(Z58)+N(AB58))</x:f>
      </x:c>
      <x:c r="AD58" s="252" t="str">
        <x:f>IF(COUNTA(Y58:Z58)=0,"",N(Y58)-N(AC58))</x:f>
      </x:c>
      <x:c r="AE58" s="260" t="str">
        <x:f>IF(COUNTA(Y58:Z58)=0,"",IF(ABS(AD58)&lt;=0.01,IF(ABS(AB58)&gt;0.01,"СОШЛОСЬ ПОСЛЕ КОРР.","СОШЛОСЬ"),IF(ABS(AB58)&gt;0.01,"ЧАСТИЧНО","НЕОПРЕДЕЛЕНО")))</x:f>
      </x:c>
      <x:c r="AF58" s="190"/>
      <x:c r="AG58" s="202"/>
      <x:c r="AH58" s="214" t="str">
        <x:f>IF(COUNTA(AF58:AG58)=0,"",N(AF58)-N(AG58))</x:f>
      </x:c>
      <x:c r="AI58" s="226" t="str">
        <x:f>IF(COUNTA(AF58:AG58)=0,"",SUMIFS('04_Влияние_ОПИУ'!$F$2:$F$2000,'04_Влияние_ОПИУ'!$B$2:$B$2000,"2025-05",'04_Влияние_ОПИУ'!$C$2:$C$2000,$A58,'04_Влияние_ОПИУ'!$G$2:$G$2000,"Да"))</x:f>
      </x:c>
      <x:c r="AJ58" s="238" t="str">
        <x:f>IF(COUNTA(AF58:AG58)=0,"",N(AG58)+N(AI58))</x:f>
      </x:c>
      <x:c r="AK58" s="252" t="str">
        <x:f>IF(COUNTA(AF58:AG58)=0,"",N(AF58)-N(AJ58))</x:f>
      </x:c>
      <x:c r="AL58" s="260" t="str">
        <x:f>IF(COUNTA(AF58:AG58)=0,"",IF(ABS(AK58)&lt;=0.01,IF(ABS(AI58)&gt;0.01,"СОШЛОСЬ ПОСЛЕ КОРР.","СОШЛОСЬ"),IF(ABS(AI58)&gt;0.01,"ЧАСТИЧНО","НЕОПРЕДЕЛЕНО")))</x:f>
      </x:c>
      <x:c r="AM58" s="190"/>
      <x:c r="AN58" s="202"/>
      <x:c r="AO58" s="214" t="str">
        <x:f>IF(COUNTA(AM58:AN58)=0,"",N(AM58)-N(AN58))</x:f>
      </x:c>
      <x:c r="AP58" s="226" t="str">
        <x:f>IF(COUNTA(AM58:AN58)=0,"",SUMIFS('04_Влияние_ОПИУ'!$F$2:$F$2000,'04_Влияние_ОПИУ'!$B$2:$B$2000,"2025-06",'04_Влияние_ОПИУ'!$C$2:$C$2000,$A58,'04_Влияние_ОПИУ'!$G$2:$G$2000,"Да"))</x:f>
      </x:c>
      <x:c r="AQ58" s="238" t="str">
        <x:f>IF(COUNTA(AM58:AN58)=0,"",N(AN58)+N(AP58))</x:f>
      </x:c>
      <x:c r="AR58" s="252" t="str">
        <x:f>IF(COUNTA(AM58:AN58)=0,"",N(AM58)-N(AQ58))</x:f>
      </x:c>
      <x:c r="AS58" s="260" t="str">
        <x:f>IF(COUNTA(AM58:AN58)=0,"",IF(ABS(AR58)&lt;=0.01,IF(ABS(AP58)&gt;0.01,"СОШЛОСЬ ПОСЛЕ КОРР.","СОШЛОСЬ"),IF(ABS(AP58)&gt;0.01,"ЧАСТИЧНО","НЕОПРЕДЕЛЕНО")))</x:f>
      </x:c>
      <x:c r="AT58" s="190"/>
      <x:c r="AU58" s="202"/>
      <x:c r="AV58" s="214" t="str">
        <x:f>IF(COUNTA(AT58:AU58)=0,"",N(AT58)-N(AU58))</x:f>
      </x:c>
      <x:c r="AW58" s="226" t="str">
        <x:f>IF(COUNTA(AT58:AU58)=0,"",SUMIFS('04_Влияние_ОПИУ'!$F$2:$F$2000,'04_Влияние_ОПИУ'!$B$2:$B$2000,"2025-07",'04_Влияние_ОПИУ'!$C$2:$C$2000,$A58,'04_Влияние_ОПИУ'!$G$2:$G$2000,"Да"))</x:f>
      </x:c>
      <x:c r="AX58" s="238" t="str">
        <x:f>IF(COUNTA(AT58:AU58)=0,"",N(AU58)+N(AW58))</x:f>
      </x:c>
      <x:c r="AY58" s="252" t="str">
        <x:f>IF(COUNTA(AT58:AU58)=0,"",N(AT58)-N(AX58))</x:f>
      </x:c>
      <x:c r="AZ58" s="260" t="str">
        <x:f>IF(COUNTA(AT58:AU58)=0,"",IF(ABS(AY58)&lt;=0.01,IF(ABS(AW58)&gt;0.01,"СОШЛОСЬ ПОСЛЕ КОРР.","СОШЛОСЬ"),IF(ABS(AW58)&gt;0.01,"ЧАСТИЧНО","НЕОПРЕДЕЛЕНО")))</x:f>
      </x:c>
      <x:c r="BA58" s="190"/>
      <x:c r="BB58" s="202"/>
      <x:c r="BC58" s="214" t="str">
        <x:f>IF(COUNTA(BA58:BB58)=0,"",N(BA58)-N(BB58))</x:f>
      </x:c>
      <x:c r="BD58" s="226" t="str">
        <x:f>IF(COUNTA(BA58:BB58)=0,"",SUMIFS('04_Влияние_ОПИУ'!$F$2:$F$2000,'04_Влияние_ОПИУ'!$B$2:$B$2000,"2025-08",'04_Влияние_ОПИУ'!$C$2:$C$2000,$A58,'04_Влияние_ОПИУ'!$G$2:$G$2000,"Да"))</x:f>
      </x:c>
      <x:c r="BE58" s="238" t="str">
        <x:f>IF(COUNTA(BA58:BB58)=0,"",N(BB58)+N(BD58))</x:f>
      </x:c>
      <x:c r="BF58" s="252" t="str">
        <x:f>IF(COUNTA(BA58:BB58)=0,"",N(BA58)-N(BE58))</x:f>
      </x:c>
      <x:c r="BG58" s="260" t="str">
        <x:f>IF(COUNTA(BA58:BB58)=0,"",IF(ABS(BF58)&lt;=0.01,IF(ABS(BD58)&gt;0.01,"СОШЛОСЬ ПОСЛЕ КОРР.","СОШЛОСЬ"),IF(ABS(BD58)&gt;0.01,"ЧАСТИЧНО","НЕОПРЕДЕЛЕНО")))</x:f>
      </x:c>
      <x:c r="BH58" s="190"/>
      <x:c r="BI58" s="202"/>
      <x:c r="BJ58" s="214" t="str">
        <x:f>IF(COUNTA(BH58:BI58)=0,"",N(BH58)-N(BI58))</x:f>
      </x:c>
      <x:c r="BK58" s="226" t="str">
        <x:f>IF(COUNTA(BH58:BI58)=0,"",SUMIFS('04_Влияние_ОПИУ'!$F$2:$F$2000,'04_Влияние_ОПИУ'!$B$2:$B$2000,"2025-09",'04_Влияние_ОПИУ'!$C$2:$C$2000,$A58,'04_Влияние_ОПИУ'!$G$2:$G$2000,"Да"))</x:f>
      </x:c>
      <x:c r="BL58" s="238" t="str">
        <x:f>IF(COUNTA(BH58:BI58)=0,"",N(BI58)+N(BK58))</x:f>
      </x:c>
      <x:c r="BM58" s="252" t="str">
        <x:f>IF(COUNTA(BH58:BI58)=0,"",N(BH58)-N(BL58))</x:f>
      </x:c>
      <x:c r="BN58" s="260" t="str">
        <x:f>IF(COUNTA(BH58:BI58)=0,"",IF(ABS(BM58)&lt;=0.01,IF(ABS(BK58)&gt;0.01,"СОШЛОСЬ ПОСЛЕ КОРР.","СОШЛОСЬ"),IF(ABS(BK58)&gt;0.01,"ЧАСТИЧНО","НЕОПРЕДЕЛЕНО")))</x:f>
      </x:c>
      <x:c r="BO58" s="190"/>
      <x:c r="BP58" s="202"/>
      <x:c r="BQ58" s="214" t="str">
        <x:f>IF(COUNTA(BO58:BP58)=0,"",N(BO58)-N(BP58))</x:f>
      </x:c>
      <x:c r="BR58" s="226" t="str">
        <x:f>IF(COUNTA(BO58:BP58)=0,"",SUMIFS('04_Влияние_ОПИУ'!$F$2:$F$2000,'04_Влияние_ОПИУ'!$B$2:$B$2000,"2025-10",'04_Влияние_ОПИУ'!$C$2:$C$2000,$A58,'04_Влияние_ОПИУ'!$G$2:$G$2000,"Да"))</x:f>
      </x:c>
      <x:c r="BS58" s="238" t="str">
        <x:f>IF(COUNTA(BO58:BP58)=0,"",N(BP58)+N(BR58))</x:f>
      </x:c>
      <x:c r="BT58" s="252" t="str">
        <x:f>IF(COUNTA(BO58:BP58)=0,"",N(BO58)-N(BS58))</x:f>
      </x:c>
      <x:c r="BU58" s="260" t="str">
        <x:f>IF(COUNTA(BO58:BP58)=0,"",IF(ABS(BT58)&lt;=0.01,IF(ABS(BR58)&gt;0.01,"СОШЛОСЬ ПОСЛЕ КОРР.","СОШЛОСЬ"),IF(ABS(BR58)&gt;0.01,"ЧАСТИЧНО","НЕОПРЕДЕЛЕНО")))</x:f>
      </x:c>
      <x:c r="BV58" s="190"/>
      <x:c r="BW58" s="202"/>
      <x:c r="BX58" s="214" t="str">
        <x:f>IF(COUNTA(BV58:BW58)=0,"",N(BV58)-N(BW58))</x:f>
      </x:c>
      <x:c r="BY58" s="226" t="str">
        <x:f>IF(COUNTA(BV58:BW58)=0,"",SUMIFS('04_Влияние_ОПИУ'!$F$2:$F$2000,'04_Влияние_ОПИУ'!$B$2:$B$2000,"2025-11",'04_Влияние_ОПИУ'!$C$2:$C$2000,$A58,'04_Влияние_ОПИУ'!$G$2:$G$2000,"Да"))</x:f>
      </x:c>
      <x:c r="BZ58" s="238" t="str">
        <x:f>IF(COUNTA(BV58:BW58)=0,"",N(BW58)+N(BY58))</x:f>
      </x:c>
      <x:c r="CA58" s="252" t="str">
        <x:f>IF(COUNTA(BV58:BW58)=0,"",N(BV58)-N(BZ58))</x:f>
      </x:c>
      <x:c r="CB58" s="260" t="str">
        <x:f>IF(COUNTA(BV58:BW58)=0,"",IF(ABS(CA58)&lt;=0.01,IF(ABS(BY58)&gt;0.01,"СОШЛОСЬ ПОСЛЕ КОРР.","СОШЛОСЬ"),IF(ABS(BY58)&gt;0.01,"ЧАСТИЧНО","НЕОПРЕДЕЛЕНО")))</x:f>
      </x:c>
      <x:c r="CC58" s="190"/>
      <x:c r="CD58" s="202"/>
      <x:c r="CE58" s="214" t="str">
        <x:f>IF(COUNTA(CC58:CD58)=0,"",N(CC58)-N(CD58))</x:f>
      </x:c>
      <x:c r="CF58" s="226" t="str">
        <x:f>IF(COUNTA(CC58:CD58)=0,"",SUMIFS('04_Влияние_ОПИУ'!$F$2:$F$2000,'04_Влияние_ОПИУ'!$B$2:$B$2000,"2025-12",'04_Влияние_ОПИУ'!$C$2:$C$2000,$A58,'04_Влияние_ОПИУ'!$G$2:$G$2000,"Да"))</x:f>
      </x:c>
      <x:c r="CG58" s="238" t="str">
        <x:f>IF(COUNTA(CC58:CD58)=0,"",N(CD58)+N(CF58))</x:f>
      </x:c>
      <x:c r="CH58" s="252" t="str">
        <x:f>IF(COUNTA(CC58:CD58)=0,"",N(CC58)-N(CG58))</x:f>
      </x:c>
      <x:c r="CI58" s="260" t="str">
        <x:f>IF(COUNTA(CC58:CD58)=0,"",IF(ABS(CH58)&lt;=0.01,IF(ABS(CF58)&gt;0.01,"СОШЛОСЬ ПОСЛЕ КОРР.","СОШЛОСЬ"),IF(ABS(CF58)&gt;0.01,"ЧАСТИЧНО","НЕОПРЕДЕЛЕНО")))</x:f>
      </x:c>
    </x:row>
    <x:row r="59">
      <x:c r="A59" s="166" t="str">
        <x:v>R054</x:v>
      </x:c>
      <x:c r="B59" s="166" t="str">
        <x:v>      Обслуживание кредитного портфеля</x:v>
      </x:c>
      <x:c r="C59" s="170" t="str">
        <x:v>      Обслуживание кредитного портфеля</x:v>
      </x:c>
      <x:c r="D59" s="190"/>
      <x:c r="E59" s="202"/>
      <x:c r="F59" s="214" t="str">
        <x:f>IF(COUNTA(D59:E59)=0,"",N(D59)-N(E59))</x:f>
      </x:c>
      <x:c r="G59" s="226" t="str">
        <x:f>IF(COUNTA(D59:E59)=0,"",SUMIFS('04_Влияние_ОПИУ'!$F$2:$F$2000,'04_Влияние_ОПИУ'!$B$2:$B$2000,"2025-01",'04_Влияние_ОПИУ'!$C$2:$C$2000,$A59,'04_Влияние_ОПИУ'!$G$2:$G$2000,"Да"))</x:f>
      </x:c>
      <x:c r="H59" s="238" t="str">
        <x:f>IF(COUNTA(D59:E59)=0,"",N(E59)+N(G59))</x:f>
      </x:c>
      <x:c r="I59" s="252" t="str">
        <x:f>IF(COUNTA(D59:E59)=0,"",N(D59)-N(H59))</x:f>
      </x:c>
      <x:c r="J59" s="260" t="str">
        <x:f>IF(COUNTA(D59:E59)=0,"",IF(ABS(I59)&lt;=0.01,IF(ABS(G59)&gt;0.01,"СОШЛОСЬ ПОСЛЕ КОРР.","СОШЛОСЬ"),IF(ABS(G59)&gt;0.01,"ЧАСТИЧНО","НЕОПРЕДЕЛЕНО")))</x:f>
      </x:c>
      <x:c r="K59" s="190"/>
      <x:c r="L59" s="202"/>
      <x:c r="M59" s="214" t="str">
        <x:f>IF(COUNTA(K59:L59)=0,"",N(K59)-N(L59))</x:f>
      </x:c>
      <x:c r="N59" s="226" t="str">
        <x:f>IF(COUNTA(K59:L59)=0,"",SUMIFS('04_Влияние_ОПИУ'!$F$2:$F$2000,'04_Влияние_ОПИУ'!$B$2:$B$2000,"2025-02",'04_Влияние_ОПИУ'!$C$2:$C$2000,$A59,'04_Влияние_ОПИУ'!$G$2:$G$2000,"Да"))</x:f>
      </x:c>
      <x:c r="O59" s="238" t="str">
        <x:f>IF(COUNTA(K59:L59)=0,"",N(L59)+N(N59))</x:f>
      </x:c>
      <x:c r="P59" s="252" t="str">
        <x:f>IF(COUNTA(K59:L59)=0,"",N(K59)-N(O59))</x:f>
      </x:c>
      <x:c r="Q59" s="260" t="str">
        <x:f>IF(COUNTA(K59:L59)=0,"",IF(ABS(P59)&lt;=0.01,IF(ABS(N59)&gt;0.01,"СОШЛОСЬ ПОСЛЕ КОРР.","СОШЛОСЬ"),IF(ABS(N59)&gt;0.01,"ЧАСТИЧНО","НЕОПРЕДЕЛЕНО")))</x:f>
      </x:c>
      <x:c r="R59" s="190"/>
      <x:c r="S59" s="202"/>
      <x:c r="T59" s="214" t="str">
        <x:f>IF(COUNTA(R59:S59)=0,"",N(R59)-N(S59))</x:f>
      </x:c>
      <x:c r="U59" s="226" t="str">
        <x:f>IF(COUNTA(R59:S59)=0,"",SUMIFS('04_Влияние_ОПИУ'!$F$2:$F$2000,'04_Влияние_ОПИУ'!$B$2:$B$2000,"2025-03",'04_Влияние_ОПИУ'!$C$2:$C$2000,$A59,'04_Влияние_ОПИУ'!$G$2:$G$2000,"Да"))</x:f>
      </x:c>
      <x:c r="V59" s="238" t="str">
        <x:f>IF(COUNTA(R59:S59)=0,"",N(S59)+N(U59))</x:f>
      </x:c>
      <x:c r="W59" s="252" t="str">
        <x:f>IF(COUNTA(R59:S59)=0,"",N(R59)-N(V59))</x:f>
      </x:c>
      <x:c r="X59" s="260" t="str">
        <x:f>IF(COUNTA(R59:S59)=0,"",IF(ABS(W59)&lt;=0.01,IF(ABS(U59)&gt;0.01,"СОШЛОСЬ ПОСЛЕ КОРР.","СОШЛОСЬ"),IF(ABS(U59)&gt;0.01,"ЧАСТИЧНО","НЕОПРЕДЕЛЕНО")))</x:f>
      </x:c>
      <x:c r="Y59" s="190"/>
      <x:c r="Z59" s="202"/>
      <x:c r="AA59" s="214" t="str">
        <x:f>IF(COUNTA(Y59:Z59)=0,"",N(Y59)-N(Z59))</x:f>
      </x:c>
      <x:c r="AB59" s="226" t="str">
        <x:f>IF(COUNTA(Y59:Z59)=0,"",SUMIFS('04_Влияние_ОПИУ'!$F$2:$F$2000,'04_Влияние_ОПИУ'!$B$2:$B$2000,"2025-04",'04_Влияние_ОПИУ'!$C$2:$C$2000,$A59,'04_Влияние_ОПИУ'!$G$2:$G$2000,"Да"))</x:f>
      </x:c>
      <x:c r="AC59" s="238" t="str">
        <x:f>IF(COUNTA(Y59:Z59)=0,"",N(Z59)+N(AB59))</x:f>
      </x:c>
      <x:c r="AD59" s="252" t="str">
        <x:f>IF(COUNTA(Y59:Z59)=0,"",N(Y59)-N(AC59))</x:f>
      </x:c>
      <x:c r="AE59" s="260" t="str">
        <x:f>IF(COUNTA(Y59:Z59)=0,"",IF(ABS(AD59)&lt;=0.01,IF(ABS(AB59)&gt;0.01,"СОШЛОСЬ ПОСЛЕ КОРР.","СОШЛОСЬ"),IF(ABS(AB59)&gt;0.01,"ЧАСТИЧНО","НЕОПРЕДЕЛЕНО")))</x:f>
      </x:c>
      <x:c r="AF59" s="190"/>
      <x:c r="AG59" s="202"/>
      <x:c r="AH59" s="214" t="str">
        <x:f>IF(COUNTA(AF59:AG59)=0,"",N(AF59)-N(AG59))</x:f>
      </x:c>
      <x:c r="AI59" s="226" t="str">
        <x:f>IF(COUNTA(AF59:AG59)=0,"",SUMIFS('04_Влияние_ОПИУ'!$F$2:$F$2000,'04_Влияние_ОПИУ'!$B$2:$B$2000,"2025-05",'04_Влияние_ОПИУ'!$C$2:$C$2000,$A59,'04_Влияние_ОПИУ'!$G$2:$G$2000,"Да"))</x:f>
      </x:c>
      <x:c r="AJ59" s="238" t="str">
        <x:f>IF(COUNTA(AF59:AG59)=0,"",N(AG59)+N(AI59))</x:f>
      </x:c>
      <x:c r="AK59" s="252" t="str">
        <x:f>IF(COUNTA(AF59:AG59)=0,"",N(AF59)-N(AJ59))</x:f>
      </x:c>
      <x:c r="AL59" s="260" t="str">
        <x:f>IF(COUNTA(AF59:AG59)=0,"",IF(ABS(AK59)&lt;=0.01,IF(ABS(AI59)&gt;0.01,"СОШЛОСЬ ПОСЛЕ КОРР.","СОШЛОСЬ"),IF(ABS(AI59)&gt;0.01,"ЧАСТИЧНО","НЕОПРЕДЕЛЕНО")))</x:f>
      </x:c>
      <x:c r="AM59" s="190"/>
      <x:c r="AN59" s="202"/>
      <x:c r="AO59" s="214" t="str">
        <x:f>IF(COUNTA(AM59:AN59)=0,"",N(AM59)-N(AN59))</x:f>
      </x:c>
      <x:c r="AP59" s="226" t="str">
        <x:f>IF(COUNTA(AM59:AN59)=0,"",SUMIFS('04_Влияние_ОПИУ'!$F$2:$F$2000,'04_Влияние_ОПИУ'!$B$2:$B$2000,"2025-06",'04_Влияние_ОПИУ'!$C$2:$C$2000,$A59,'04_Влияние_ОПИУ'!$G$2:$G$2000,"Да"))</x:f>
      </x:c>
      <x:c r="AQ59" s="238" t="str">
        <x:f>IF(COUNTA(AM59:AN59)=0,"",N(AN59)+N(AP59))</x:f>
      </x:c>
      <x:c r="AR59" s="252" t="str">
        <x:f>IF(COUNTA(AM59:AN59)=0,"",N(AM59)-N(AQ59))</x:f>
      </x:c>
      <x:c r="AS59" s="260" t="str">
        <x:f>IF(COUNTA(AM59:AN59)=0,"",IF(ABS(AR59)&lt;=0.01,IF(ABS(AP59)&gt;0.01,"СОШЛОСЬ ПОСЛЕ КОРР.","СОШЛОСЬ"),IF(ABS(AP59)&gt;0.01,"ЧАСТИЧНО","НЕОПРЕДЕЛЕНО")))</x:f>
      </x:c>
      <x:c r="AT59" s="190"/>
      <x:c r="AU59" s="202"/>
      <x:c r="AV59" s="214" t="str">
        <x:f>IF(COUNTA(AT59:AU59)=0,"",N(AT59)-N(AU59))</x:f>
      </x:c>
      <x:c r="AW59" s="226" t="str">
        <x:f>IF(COUNTA(AT59:AU59)=0,"",SUMIFS('04_Влияние_ОПИУ'!$F$2:$F$2000,'04_Влияние_ОПИУ'!$B$2:$B$2000,"2025-07",'04_Влияние_ОПИУ'!$C$2:$C$2000,$A59,'04_Влияние_ОПИУ'!$G$2:$G$2000,"Да"))</x:f>
      </x:c>
      <x:c r="AX59" s="238" t="str">
        <x:f>IF(COUNTA(AT59:AU59)=0,"",N(AU59)+N(AW59))</x:f>
      </x:c>
      <x:c r="AY59" s="252" t="str">
        <x:f>IF(COUNTA(AT59:AU59)=0,"",N(AT59)-N(AX59))</x:f>
      </x:c>
      <x:c r="AZ59" s="260" t="str">
        <x:f>IF(COUNTA(AT59:AU59)=0,"",IF(ABS(AY59)&lt;=0.01,IF(ABS(AW59)&gt;0.01,"СОШЛОСЬ ПОСЛЕ КОРР.","СОШЛОСЬ"),IF(ABS(AW59)&gt;0.01,"ЧАСТИЧНО","НЕОПРЕДЕЛЕНО")))</x:f>
      </x:c>
      <x:c r="BA59" s="190"/>
      <x:c r="BB59" s="202"/>
      <x:c r="BC59" s="214" t="str">
        <x:f>IF(COUNTA(BA59:BB59)=0,"",N(BA59)-N(BB59))</x:f>
      </x:c>
      <x:c r="BD59" s="226" t="str">
        <x:f>IF(COUNTA(BA59:BB59)=0,"",SUMIFS('04_Влияние_ОПИУ'!$F$2:$F$2000,'04_Влияние_ОПИУ'!$B$2:$B$2000,"2025-08",'04_Влияние_ОПИУ'!$C$2:$C$2000,$A59,'04_Влияние_ОПИУ'!$G$2:$G$2000,"Да"))</x:f>
      </x:c>
      <x:c r="BE59" s="238" t="str">
        <x:f>IF(COUNTA(BA59:BB59)=0,"",N(BB59)+N(BD59))</x:f>
      </x:c>
      <x:c r="BF59" s="252" t="str">
        <x:f>IF(COUNTA(BA59:BB59)=0,"",N(BA59)-N(BE59))</x:f>
      </x:c>
      <x:c r="BG59" s="260" t="str">
        <x:f>IF(COUNTA(BA59:BB59)=0,"",IF(ABS(BF59)&lt;=0.01,IF(ABS(BD59)&gt;0.01,"СОШЛОСЬ ПОСЛЕ КОРР.","СОШЛОСЬ"),IF(ABS(BD59)&gt;0.01,"ЧАСТИЧНО","НЕОПРЕДЕЛЕНО")))</x:f>
      </x:c>
      <x:c r="BH59" s="190"/>
      <x:c r="BI59" s="202"/>
      <x:c r="BJ59" s="214" t="str">
        <x:f>IF(COUNTA(BH59:BI59)=0,"",N(BH59)-N(BI59))</x:f>
      </x:c>
      <x:c r="BK59" s="226" t="str">
        <x:f>IF(COUNTA(BH59:BI59)=0,"",SUMIFS('04_Влияние_ОПИУ'!$F$2:$F$2000,'04_Влияние_ОПИУ'!$B$2:$B$2000,"2025-09",'04_Влияние_ОПИУ'!$C$2:$C$2000,$A59,'04_Влияние_ОПИУ'!$G$2:$G$2000,"Да"))</x:f>
      </x:c>
      <x:c r="BL59" s="238" t="str">
        <x:f>IF(COUNTA(BH59:BI59)=0,"",N(BI59)+N(BK59))</x:f>
      </x:c>
      <x:c r="BM59" s="252" t="str">
        <x:f>IF(COUNTA(BH59:BI59)=0,"",N(BH59)-N(BL59))</x:f>
      </x:c>
      <x:c r="BN59" s="260" t="str">
        <x:f>IF(COUNTA(BH59:BI59)=0,"",IF(ABS(BM59)&lt;=0.01,IF(ABS(BK59)&gt;0.01,"СОШЛОСЬ ПОСЛЕ КОРР.","СОШЛОСЬ"),IF(ABS(BK59)&gt;0.01,"ЧАСТИЧНО","НЕОПРЕДЕЛЕНО")))</x:f>
      </x:c>
      <x:c r="BO59" s="190"/>
      <x:c r="BP59" s="202"/>
      <x:c r="BQ59" s="214" t="str">
        <x:f>IF(COUNTA(BO59:BP59)=0,"",N(BO59)-N(BP59))</x:f>
      </x:c>
      <x:c r="BR59" s="226" t="str">
        <x:f>IF(COUNTA(BO59:BP59)=0,"",SUMIFS('04_Влияние_ОПИУ'!$F$2:$F$2000,'04_Влияние_ОПИУ'!$B$2:$B$2000,"2025-10",'04_Влияние_ОПИУ'!$C$2:$C$2000,$A59,'04_Влияние_ОПИУ'!$G$2:$G$2000,"Да"))</x:f>
      </x:c>
      <x:c r="BS59" s="238" t="str">
        <x:f>IF(COUNTA(BO59:BP59)=0,"",N(BP59)+N(BR59))</x:f>
      </x:c>
      <x:c r="BT59" s="252" t="str">
        <x:f>IF(COUNTA(BO59:BP59)=0,"",N(BO59)-N(BS59))</x:f>
      </x:c>
      <x:c r="BU59" s="260" t="str">
        <x:f>IF(COUNTA(BO59:BP59)=0,"",IF(ABS(BT59)&lt;=0.01,IF(ABS(BR59)&gt;0.01,"СОШЛОСЬ ПОСЛЕ КОРР.","СОШЛОСЬ"),IF(ABS(BR59)&gt;0.01,"ЧАСТИЧНО","НЕОПРЕДЕЛЕНО")))</x:f>
      </x:c>
      <x:c r="BV59" s="190"/>
      <x:c r="BW59" s="202"/>
      <x:c r="BX59" s="214" t="str">
        <x:f>IF(COUNTA(BV59:BW59)=0,"",N(BV59)-N(BW59))</x:f>
      </x:c>
      <x:c r="BY59" s="226" t="str">
        <x:f>IF(COUNTA(BV59:BW59)=0,"",SUMIFS('04_Влияние_ОПИУ'!$F$2:$F$2000,'04_Влияние_ОПИУ'!$B$2:$B$2000,"2025-11",'04_Влияние_ОПИУ'!$C$2:$C$2000,$A59,'04_Влияние_ОПИУ'!$G$2:$G$2000,"Да"))</x:f>
      </x:c>
      <x:c r="BZ59" s="238" t="str">
        <x:f>IF(COUNTA(BV59:BW59)=0,"",N(BW59)+N(BY59))</x:f>
      </x:c>
      <x:c r="CA59" s="252" t="str">
        <x:f>IF(COUNTA(BV59:BW59)=0,"",N(BV59)-N(BZ59))</x:f>
      </x:c>
      <x:c r="CB59" s="260" t="str">
        <x:f>IF(COUNTA(BV59:BW59)=0,"",IF(ABS(CA59)&lt;=0.01,IF(ABS(BY59)&gt;0.01,"СОШЛОСЬ ПОСЛЕ КОРР.","СОШЛОСЬ"),IF(ABS(BY59)&gt;0.01,"ЧАСТИЧНО","НЕОПРЕДЕЛЕНО")))</x:f>
      </x:c>
      <x:c r="CC59" s="190"/>
      <x:c r="CD59" s="202"/>
      <x:c r="CE59" s="214" t="str">
        <x:f>IF(COUNTA(CC59:CD59)=0,"",N(CC59)-N(CD59))</x:f>
      </x:c>
      <x:c r="CF59" s="226" t="str">
        <x:f>IF(COUNTA(CC59:CD59)=0,"",SUMIFS('04_Влияние_ОПИУ'!$F$2:$F$2000,'04_Влияние_ОПИУ'!$B$2:$B$2000,"2025-12",'04_Влияние_ОПИУ'!$C$2:$C$2000,$A59,'04_Влияние_ОПИУ'!$G$2:$G$2000,"Да"))</x:f>
      </x:c>
      <x:c r="CG59" s="238" t="str">
        <x:f>IF(COUNTA(CC59:CD59)=0,"",N(CD59)+N(CF59))</x:f>
      </x:c>
      <x:c r="CH59" s="252" t="str">
        <x:f>IF(COUNTA(CC59:CD59)=0,"",N(CC59)-N(CG59))</x:f>
      </x:c>
      <x:c r="CI59" s="260" t="str">
        <x:f>IF(COUNTA(CC59:CD59)=0,"",IF(ABS(CH59)&lt;=0.01,IF(ABS(CF59)&gt;0.01,"СОШЛОСЬ ПОСЛЕ КОРР.","СОШЛОСЬ"),IF(ABS(CF59)&gt;0.01,"ЧАСТИЧНО","НЕОПРЕДЕЛЕНО")))</x:f>
      </x:c>
    </x:row>
    <x:row r="60">
      <x:c r="A60" s="174" t="str">
        <x:v>R055</x:v>
      </x:c>
      <x:c r="B60" s="174" t="str">
        <x:v>Итоги по внереализационной деятельности</x:v>
      </x:c>
      <x:c r="C60" s="162" t="str">
        <x:v>Результат по инвестиционной и внереализационной деятельности</x:v>
      </x:c>
      <x:c r="D60" s="190"/>
      <x:c r="E60" s="202"/>
      <x:c r="F60" s="214" t="str">
        <x:f>IF(COUNTA(D60:E60)=0,"",N(D60)-N(E60))</x:f>
      </x:c>
      <x:c r="G60" s="226" t="str">
        <x:f>IF(COUNTA(D60:E60)=0,"",SUMIFS('04_Влияние_ОПИУ'!$F$2:$F$2000,'04_Влияние_ОПИУ'!$B$2:$B$2000,"2025-01",'04_Влияние_ОПИУ'!$C$2:$C$2000,$A60,'04_Влияние_ОПИУ'!$G$2:$G$2000,"Да"))</x:f>
      </x:c>
      <x:c r="H60" s="238" t="str">
        <x:f>IF(COUNTA(D60:E60)=0,"",N(E60)+N(G60))</x:f>
      </x:c>
      <x:c r="I60" s="252" t="str">
        <x:f>IF(COUNTA(D60:E60)=0,"",N(D60)-N(H60))</x:f>
      </x:c>
      <x:c r="J60" s="260" t="str">
        <x:f>IF(COUNTA(D60:E60)=0,"",IF(ABS(I60)&lt;=0.01,IF(ABS(G60)&gt;0.01,"СОШЛОСЬ ПОСЛЕ КОРР.","СОШЛОСЬ"),IF(ABS(G60)&gt;0.01,"ЧАСТИЧНО","НЕОПРЕДЕЛЕНО")))</x:f>
      </x:c>
      <x:c r="K60" s="190"/>
      <x:c r="L60" s="202"/>
      <x:c r="M60" s="214" t="str">
        <x:f>IF(COUNTA(K60:L60)=0,"",N(K60)-N(L60))</x:f>
      </x:c>
      <x:c r="N60" s="226" t="str">
        <x:f>IF(COUNTA(K60:L60)=0,"",SUMIFS('04_Влияние_ОПИУ'!$F$2:$F$2000,'04_Влияние_ОПИУ'!$B$2:$B$2000,"2025-02",'04_Влияние_ОПИУ'!$C$2:$C$2000,$A60,'04_Влияние_ОПИУ'!$G$2:$G$2000,"Да"))</x:f>
      </x:c>
      <x:c r="O60" s="238" t="str">
        <x:f>IF(COUNTA(K60:L60)=0,"",N(L60)+N(N60))</x:f>
      </x:c>
      <x:c r="P60" s="252" t="str">
        <x:f>IF(COUNTA(K60:L60)=0,"",N(K60)-N(O60))</x:f>
      </x:c>
      <x:c r="Q60" s="260" t="str">
        <x:f>IF(COUNTA(K60:L60)=0,"",IF(ABS(P60)&lt;=0.01,IF(ABS(N60)&gt;0.01,"СОШЛОСЬ ПОСЛЕ КОРР.","СОШЛОСЬ"),IF(ABS(N60)&gt;0.01,"ЧАСТИЧНО","НЕОПРЕДЕЛЕНО")))</x:f>
      </x:c>
      <x:c r="R60" s="190"/>
      <x:c r="S60" s="202"/>
      <x:c r="T60" s="214" t="str">
        <x:f>IF(COUNTA(R60:S60)=0,"",N(R60)-N(S60))</x:f>
      </x:c>
      <x:c r="U60" s="226" t="str">
        <x:f>IF(COUNTA(R60:S60)=0,"",SUMIFS('04_Влияние_ОПИУ'!$F$2:$F$2000,'04_Влияние_ОПИУ'!$B$2:$B$2000,"2025-03",'04_Влияние_ОПИУ'!$C$2:$C$2000,$A60,'04_Влияние_ОПИУ'!$G$2:$G$2000,"Да"))</x:f>
      </x:c>
      <x:c r="V60" s="238" t="str">
        <x:f>IF(COUNTA(R60:S60)=0,"",N(S60)+N(U60))</x:f>
      </x:c>
      <x:c r="W60" s="252" t="str">
        <x:f>IF(COUNTA(R60:S60)=0,"",N(R60)-N(V60))</x:f>
      </x:c>
      <x:c r="X60" s="260" t="str">
        <x:f>IF(COUNTA(R60:S60)=0,"",IF(ABS(W60)&lt;=0.01,IF(ABS(U60)&gt;0.01,"СОШЛОСЬ ПОСЛЕ КОРР.","СОШЛОСЬ"),IF(ABS(U60)&gt;0.01,"ЧАСТИЧНО","НЕОПРЕДЕЛЕНО")))</x:f>
      </x:c>
      <x:c r="Y60" s="190"/>
      <x:c r="Z60" s="202"/>
      <x:c r="AA60" s="214" t="str">
        <x:f>IF(COUNTA(Y60:Z60)=0,"",N(Y60)-N(Z60))</x:f>
      </x:c>
      <x:c r="AB60" s="226" t="str">
        <x:f>IF(COUNTA(Y60:Z60)=0,"",SUMIFS('04_Влияние_ОПИУ'!$F$2:$F$2000,'04_Влияние_ОПИУ'!$B$2:$B$2000,"2025-04",'04_Влияние_ОПИУ'!$C$2:$C$2000,$A60,'04_Влияние_ОПИУ'!$G$2:$G$2000,"Да"))</x:f>
      </x:c>
      <x:c r="AC60" s="238" t="str">
        <x:f>IF(COUNTA(Y60:Z60)=0,"",N(Z60)+N(AB60))</x:f>
      </x:c>
      <x:c r="AD60" s="252" t="str">
        <x:f>IF(COUNTA(Y60:Z60)=0,"",N(Y60)-N(AC60))</x:f>
      </x:c>
      <x:c r="AE60" s="260" t="str">
        <x:f>IF(COUNTA(Y60:Z60)=0,"",IF(ABS(AD60)&lt;=0.01,IF(ABS(AB60)&gt;0.01,"СОШЛОСЬ ПОСЛЕ КОРР.","СОШЛОСЬ"),IF(ABS(AB60)&gt;0.01,"ЧАСТИЧНО","НЕОПРЕДЕЛЕНО")))</x:f>
      </x:c>
      <x:c r="AF60" s="190"/>
      <x:c r="AG60" s="202"/>
      <x:c r="AH60" s="214" t="str">
        <x:f>IF(COUNTA(AF60:AG60)=0,"",N(AF60)-N(AG60))</x:f>
      </x:c>
      <x:c r="AI60" s="226" t="str">
        <x:f>IF(COUNTA(AF60:AG60)=0,"",SUMIFS('04_Влияние_ОПИУ'!$F$2:$F$2000,'04_Влияние_ОПИУ'!$B$2:$B$2000,"2025-05",'04_Влияние_ОПИУ'!$C$2:$C$2000,$A60,'04_Влияние_ОПИУ'!$G$2:$G$2000,"Да"))</x:f>
      </x:c>
      <x:c r="AJ60" s="238" t="str">
        <x:f>IF(COUNTA(AF60:AG60)=0,"",N(AG60)+N(AI60))</x:f>
      </x:c>
      <x:c r="AK60" s="252" t="str">
        <x:f>IF(COUNTA(AF60:AG60)=0,"",N(AF60)-N(AJ60))</x:f>
      </x:c>
      <x:c r="AL60" s="260" t="str">
        <x:f>IF(COUNTA(AF60:AG60)=0,"",IF(ABS(AK60)&lt;=0.01,IF(ABS(AI60)&gt;0.01,"СОШЛОСЬ ПОСЛЕ КОРР.","СОШЛОСЬ"),IF(ABS(AI60)&gt;0.01,"ЧАСТИЧНО","НЕОПРЕДЕЛЕНО")))</x:f>
      </x:c>
      <x:c r="AM60" s="190"/>
      <x:c r="AN60" s="202"/>
      <x:c r="AO60" s="214" t="str">
        <x:f>IF(COUNTA(AM60:AN60)=0,"",N(AM60)-N(AN60))</x:f>
      </x:c>
      <x:c r="AP60" s="226" t="str">
        <x:f>IF(COUNTA(AM60:AN60)=0,"",SUMIFS('04_Влияние_ОПИУ'!$F$2:$F$2000,'04_Влияние_ОПИУ'!$B$2:$B$2000,"2025-06",'04_Влияние_ОПИУ'!$C$2:$C$2000,$A60,'04_Влияние_ОПИУ'!$G$2:$G$2000,"Да"))</x:f>
      </x:c>
      <x:c r="AQ60" s="238" t="str">
        <x:f>IF(COUNTA(AM60:AN60)=0,"",N(AN60)+N(AP60))</x:f>
      </x:c>
      <x:c r="AR60" s="252" t="str">
        <x:f>IF(COUNTA(AM60:AN60)=0,"",N(AM60)-N(AQ60))</x:f>
      </x:c>
      <x:c r="AS60" s="260" t="str">
        <x:f>IF(COUNTA(AM60:AN60)=0,"",IF(ABS(AR60)&lt;=0.01,IF(ABS(AP60)&gt;0.01,"СОШЛОСЬ ПОСЛЕ КОРР.","СОШЛОСЬ"),IF(ABS(AP60)&gt;0.01,"ЧАСТИЧНО","НЕОПРЕДЕЛЕНО")))</x:f>
      </x:c>
      <x:c r="AT60" s="190"/>
      <x:c r="AU60" s="202"/>
      <x:c r="AV60" s="214" t="str">
        <x:f>IF(COUNTA(AT60:AU60)=0,"",N(AT60)-N(AU60))</x:f>
      </x:c>
      <x:c r="AW60" s="226" t="str">
        <x:f>IF(COUNTA(AT60:AU60)=0,"",SUMIFS('04_Влияние_ОПИУ'!$F$2:$F$2000,'04_Влияние_ОПИУ'!$B$2:$B$2000,"2025-07",'04_Влияние_ОПИУ'!$C$2:$C$2000,$A60,'04_Влияние_ОПИУ'!$G$2:$G$2000,"Да"))</x:f>
      </x:c>
      <x:c r="AX60" s="238" t="str">
        <x:f>IF(COUNTA(AT60:AU60)=0,"",N(AU60)+N(AW60))</x:f>
      </x:c>
      <x:c r="AY60" s="252" t="str">
        <x:f>IF(COUNTA(AT60:AU60)=0,"",N(AT60)-N(AX60))</x:f>
      </x:c>
      <x:c r="AZ60" s="260" t="str">
        <x:f>IF(COUNTA(AT60:AU60)=0,"",IF(ABS(AY60)&lt;=0.01,IF(ABS(AW60)&gt;0.01,"СОШЛОСЬ ПОСЛЕ КОРР.","СОШЛОСЬ"),IF(ABS(AW60)&gt;0.01,"ЧАСТИЧНО","НЕОПРЕДЕЛЕНО")))</x:f>
      </x:c>
      <x:c r="BA60" s="190"/>
      <x:c r="BB60" s="202"/>
      <x:c r="BC60" s="214" t="str">
        <x:f>IF(COUNTA(BA60:BB60)=0,"",N(BA60)-N(BB60))</x:f>
      </x:c>
      <x:c r="BD60" s="226" t="str">
        <x:f>IF(COUNTA(BA60:BB60)=0,"",SUMIFS('04_Влияние_ОПИУ'!$F$2:$F$2000,'04_Влияние_ОПИУ'!$B$2:$B$2000,"2025-08",'04_Влияние_ОПИУ'!$C$2:$C$2000,$A60,'04_Влияние_ОПИУ'!$G$2:$G$2000,"Да"))</x:f>
      </x:c>
      <x:c r="BE60" s="238" t="str">
        <x:f>IF(COUNTA(BA60:BB60)=0,"",N(BB60)+N(BD60))</x:f>
      </x:c>
      <x:c r="BF60" s="252" t="str">
        <x:f>IF(COUNTA(BA60:BB60)=0,"",N(BA60)-N(BE60))</x:f>
      </x:c>
      <x:c r="BG60" s="260" t="str">
        <x:f>IF(COUNTA(BA60:BB60)=0,"",IF(ABS(BF60)&lt;=0.01,IF(ABS(BD60)&gt;0.01,"СОШЛОСЬ ПОСЛЕ КОРР.","СОШЛОСЬ"),IF(ABS(BD60)&gt;0.01,"ЧАСТИЧНО","НЕОПРЕДЕЛЕНО")))</x:f>
      </x:c>
      <x:c r="BH60" s="190"/>
      <x:c r="BI60" s="202"/>
      <x:c r="BJ60" s="214" t="str">
        <x:f>IF(COUNTA(BH60:BI60)=0,"",N(BH60)-N(BI60))</x:f>
      </x:c>
      <x:c r="BK60" s="226" t="str">
        <x:f>IF(COUNTA(BH60:BI60)=0,"",SUMIFS('04_Влияние_ОПИУ'!$F$2:$F$2000,'04_Влияние_ОПИУ'!$B$2:$B$2000,"2025-09",'04_Влияние_ОПИУ'!$C$2:$C$2000,$A60,'04_Влияние_ОПИУ'!$G$2:$G$2000,"Да"))</x:f>
      </x:c>
      <x:c r="BL60" s="238" t="str">
        <x:f>IF(COUNTA(BH60:BI60)=0,"",N(BI60)+N(BK60))</x:f>
      </x:c>
      <x:c r="BM60" s="252" t="str">
        <x:f>IF(COUNTA(BH60:BI60)=0,"",N(BH60)-N(BL60))</x:f>
      </x:c>
      <x:c r="BN60" s="260" t="str">
        <x:f>IF(COUNTA(BH60:BI60)=0,"",IF(ABS(BM60)&lt;=0.01,IF(ABS(BK60)&gt;0.01,"СОШЛОСЬ ПОСЛЕ КОРР.","СОШЛОСЬ"),IF(ABS(BK60)&gt;0.01,"ЧАСТИЧНО","НЕОПРЕДЕЛЕНО")))</x:f>
      </x:c>
      <x:c r="BO60" s="190"/>
      <x:c r="BP60" s="202"/>
      <x:c r="BQ60" s="214" t="str">
        <x:f>IF(COUNTA(BO60:BP60)=0,"",N(BO60)-N(BP60))</x:f>
      </x:c>
      <x:c r="BR60" s="226" t="str">
        <x:f>IF(COUNTA(BO60:BP60)=0,"",SUMIFS('04_Влияние_ОПИУ'!$F$2:$F$2000,'04_Влияние_ОПИУ'!$B$2:$B$2000,"2025-10",'04_Влияние_ОПИУ'!$C$2:$C$2000,$A60,'04_Влияние_ОПИУ'!$G$2:$G$2000,"Да"))</x:f>
      </x:c>
      <x:c r="BS60" s="238" t="str">
        <x:f>IF(COUNTA(BO60:BP60)=0,"",N(BP60)+N(BR60))</x:f>
      </x:c>
      <x:c r="BT60" s="252" t="str">
        <x:f>IF(COUNTA(BO60:BP60)=0,"",N(BO60)-N(BS60))</x:f>
      </x:c>
      <x:c r="BU60" s="260" t="str">
        <x:f>IF(COUNTA(BO60:BP60)=0,"",IF(ABS(BT60)&lt;=0.01,IF(ABS(BR60)&gt;0.01,"СОШЛОСЬ ПОСЛЕ КОРР.","СОШЛОСЬ"),IF(ABS(BR60)&gt;0.01,"ЧАСТИЧНО","НЕОПРЕДЕЛЕНО")))</x:f>
      </x:c>
      <x:c r="BV60" s="190"/>
      <x:c r="BW60" s="202"/>
      <x:c r="BX60" s="214" t="str">
        <x:f>IF(COUNTA(BV60:BW60)=0,"",N(BV60)-N(BW60))</x:f>
      </x:c>
      <x:c r="BY60" s="226" t="str">
        <x:f>IF(COUNTA(BV60:BW60)=0,"",SUMIFS('04_Влияние_ОПИУ'!$F$2:$F$2000,'04_Влияние_ОПИУ'!$B$2:$B$2000,"2025-11",'04_Влияние_ОПИУ'!$C$2:$C$2000,$A60,'04_Влияние_ОПИУ'!$G$2:$G$2000,"Да"))</x:f>
      </x:c>
      <x:c r="BZ60" s="238" t="str">
        <x:f>IF(COUNTA(BV60:BW60)=0,"",N(BW60)+N(BY60))</x:f>
      </x:c>
      <x:c r="CA60" s="252" t="str">
        <x:f>IF(COUNTA(BV60:BW60)=0,"",N(BV60)-N(BZ60))</x:f>
      </x:c>
      <x:c r="CB60" s="260" t="str">
        <x:f>IF(COUNTA(BV60:BW60)=0,"",IF(ABS(CA60)&lt;=0.01,IF(ABS(BY60)&gt;0.01,"СОШЛОСЬ ПОСЛЕ КОРР.","СОШЛОСЬ"),IF(ABS(BY60)&gt;0.01,"ЧАСТИЧНО","НЕОПРЕДЕЛЕНО")))</x:f>
      </x:c>
      <x:c r="CC60" s="190"/>
      <x:c r="CD60" s="202"/>
      <x:c r="CE60" s="214" t="str">
        <x:f>IF(COUNTA(CC60:CD60)=0,"",N(CC60)-N(CD60))</x:f>
      </x:c>
      <x:c r="CF60" s="226" t="str">
        <x:f>IF(COUNTA(CC60:CD60)=0,"",SUMIFS('04_Влияние_ОПИУ'!$F$2:$F$2000,'04_Влияние_ОПИУ'!$B$2:$B$2000,"2025-12",'04_Влияние_ОПИУ'!$C$2:$C$2000,$A60,'04_Влияние_ОПИУ'!$G$2:$G$2000,"Да"))</x:f>
      </x:c>
      <x:c r="CG60" s="238" t="str">
        <x:f>IF(COUNTA(CC60:CD60)=0,"",N(CD60)+N(CF60))</x:f>
      </x:c>
      <x:c r="CH60" s="252" t="str">
        <x:f>IF(COUNTA(CC60:CD60)=0,"",N(CC60)-N(CG60))</x:f>
      </x:c>
      <x:c r="CI60" s="260" t="str">
        <x:f>IF(COUNTA(CC60:CD60)=0,"",IF(ABS(CH60)&lt;=0.01,IF(ABS(CF60)&gt;0.01,"СОШЛОСЬ ПОСЛЕ КОРР.","СОШЛОСЬ"),IF(ABS(CF60)&gt;0.01,"ЧАСТИЧНО","НЕОПРЕДЕЛЕНО")))</x:f>
      </x:c>
    </x:row>
    <x:row r="61">
      <x:c r="A61" s="158" t="str">
        <x:v>R056</x:v>
      </x:c>
      <x:c r="B61" s="158" t="str">
        <x:v>  Внутрихолдинговые проценты</x:v>
      </x:c>
      <x:c r="C61" s="162"/>
      <x:c r="D61" s="190"/>
      <x:c r="E61" s="202"/>
      <x:c r="F61" s="214" t="str">
        <x:f>IF(COUNTA(D61:E61)=0,"",N(D61)-N(E61))</x:f>
      </x:c>
      <x:c r="G61" s="226" t="str">
        <x:f>IF(COUNTA(D61:E61)=0,"",SUMIFS('04_Влияние_ОПИУ'!$F$2:$F$2000,'04_Влияние_ОПИУ'!$B$2:$B$2000,"2025-01",'04_Влияние_ОПИУ'!$C$2:$C$2000,$A61,'04_Влияние_ОПИУ'!$G$2:$G$2000,"Да"))</x:f>
      </x:c>
      <x:c r="H61" s="238" t="str">
        <x:f>IF(COUNTA(D61:E61)=0,"",N(E61)+N(G61))</x:f>
      </x:c>
      <x:c r="I61" s="252" t="str">
        <x:f>IF(COUNTA(D61:E61)=0,"",N(D61)-N(H61))</x:f>
      </x:c>
      <x:c r="J61" s="260" t="str">
        <x:f>IF(COUNTA(D61:E61)=0,"",IF(ABS(I61)&lt;=0.01,IF(ABS(G61)&gt;0.01,"СОШЛОСЬ ПОСЛЕ КОРР.","СОШЛОСЬ"),IF(ABS(G61)&gt;0.01,"ЧАСТИЧНО","НЕОПРЕДЕЛЕНО")))</x:f>
      </x:c>
      <x:c r="K61" s="190"/>
      <x:c r="L61" s="202"/>
      <x:c r="M61" s="214" t="str">
        <x:f>IF(COUNTA(K61:L61)=0,"",N(K61)-N(L61))</x:f>
      </x:c>
      <x:c r="N61" s="226" t="str">
        <x:f>IF(COUNTA(K61:L61)=0,"",SUMIFS('04_Влияние_ОПИУ'!$F$2:$F$2000,'04_Влияние_ОПИУ'!$B$2:$B$2000,"2025-02",'04_Влияние_ОПИУ'!$C$2:$C$2000,$A61,'04_Влияние_ОПИУ'!$G$2:$G$2000,"Да"))</x:f>
      </x:c>
      <x:c r="O61" s="238" t="str">
        <x:f>IF(COUNTA(K61:L61)=0,"",N(L61)+N(N61))</x:f>
      </x:c>
      <x:c r="P61" s="252" t="str">
        <x:f>IF(COUNTA(K61:L61)=0,"",N(K61)-N(O61))</x:f>
      </x:c>
      <x:c r="Q61" s="260" t="str">
        <x:f>IF(COUNTA(K61:L61)=0,"",IF(ABS(P61)&lt;=0.01,IF(ABS(N61)&gt;0.01,"СОШЛОСЬ ПОСЛЕ КОРР.","СОШЛОСЬ"),IF(ABS(N61)&gt;0.01,"ЧАСТИЧНО","НЕОПРЕДЕЛЕНО")))</x:f>
      </x:c>
      <x:c r="R61" s="190"/>
      <x:c r="S61" s="202"/>
      <x:c r="T61" s="214" t="str">
        <x:f>IF(COUNTA(R61:S61)=0,"",N(R61)-N(S61))</x:f>
      </x:c>
      <x:c r="U61" s="226" t="str">
        <x:f>IF(COUNTA(R61:S61)=0,"",SUMIFS('04_Влияние_ОПИУ'!$F$2:$F$2000,'04_Влияние_ОПИУ'!$B$2:$B$2000,"2025-03",'04_Влияние_ОПИУ'!$C$2:$C$2000,$A61,'04_Влияние_ОПИУ'!$G$2:$G$2000,"Да"))</x:f>
      </x:c>
      <x:c r="V61" s="238" t="str">
        <x:f>IF(COUNTA(R61:S61)=0,"",N(S61)+N(U61))</x:f>
      </x:c>
      <x:c r="W61" s="252" t="str">
        <x:f>IF(COUNTA(R61:S61)=0,"",N(R61)-N(V61))</x:f>
      </x:c>
      <x:c r="X61" s="260" t="str">
        <x:f>IF(COUNTA(R61:S61)=0,"",IF(ABS(W61)&lt;=0.01,IF(ABS(U61)&gt;0.01,"СОШЛОСЬ ПОСЛЕ КОРР.","СОШЛОСЬ"),IF(ABS(U61)&gt;0.01,"ЧАСТИЧНО","НЕОПРЕДЕЛЕНО")))</x:f>
      </x:c>
      <x:c r="Y61" s="190"/>
      <x:c r="Z61" s="202"/>
      <x:c r="AA61" s="214" t="str">
        <x:f>IF(COUNTA(Y61:Z61)=0,"",N(Y61)-N(Z61))</x:f>
      </x:c>
      <x:c r="AB61" s="226" t="str">
        <x:f>IF(COUNTA(Y61:Z61)=0,"",SUMIFS('04_Влияние_ОПИУ'!$F$2:$F$2000,'04_Влияние_ОПИУ'!$B$2:$B$2000,"2025-04",'04_Влияние_ОПИУ'!$C$2:$C$2000,$A61,'04_Влияние_ОПИУ'!$G$2:$G$2000,"Да"))</x:f>
      </x:c>
      <x:c r="AC61" s="238" t="str">
        <x:f>IF(COUNTA(Y61:Z61)=0,"",N(Z61)+N(AB61))</x:f>
      </x:c>
      <x:c r="AD61" s="252" t="str">
        <x:f>IF(COUNTA(Y61:Z61)=0,"",N(Y61)-N(AC61))</x:f>
      </x:c>
      <x:c r="AE61" s="260" t="str">
        <x:f>IF(COUNTA(Y61:Z61)=0,"",IF(ABS(AD61)&lt;=0.01,IF(ABS(AB61)&gt;0.01,"СОШЛОСЬ ПОСЛЕ КОРР.","СОШЛОСЬ"),IF(ABS(AB61)&gt;0.01,"ЧАСТИЧНО","НЕОПРЕДЕЛЕНО")))</x:f>
      </x:c>
      <x:c r="AF61" s="190"/>
      <x:c r="AG61" s="202"/>
      <x:c r="AH61" s="214" t="str">
        <x:f>IF(COUNTA(AF61:AG61)=0,"",N(AF61)-N(AG61))</x:f>
      </x:c>
      <x:c r="AI61" s="226" t="str">
        <x:f>IF(COUNTA(AF61:AG61)=0,"",SUMIFS('04_Влияние_ОПИУ'!$F$2:$F$2000,'04_Влияние_ОПИУ'!$B$2:$B$2000,"2025-05",'04_Влияние_ОПИУ'!$C$2:$C$2000,$A61,'04_Влияние_ОПИУ'!$G$2:$G$2000,"Да"))</x:f>
      </x:c>
      <x:c r="AJ61" s="238" t="str">
        <x:f>IF(COUNTA(AF61:AG61)=0,"",N(AG61)+N(AI61))</x:f>
      </x:c>
      <x:c r="AK61" s="252" t="str">
        <x:f>IF(COUNTA(AF61:AG61)=0,"",N(AF61)-N(AJ61))</x:f>
      </x:c>
      <x:c r="AL61" s="260" t="str">
        <x:f>IF(COUNTA(AF61:AG61)=0,"",IF(ABS(AK61)&lt;=0.01,IF(ABS(AI61)&gt;0.01,"СОШЛОСЬ ПОСЛЕ КОРР.","СОШЛОСЬ"),IF(ABS(AI61)&gt;0.01,"ЧАСТИЧНО","НЕОПРЕДЕЛЕНО")))</x:f>
      </x:c>
      <x:c r="AM61" s="190"/>
      <x:c r="AN61" s="202"/>
      <x:c r="AO61" s="214" t="str">
        <x:f>IF(COUNTA(AM61:AN61)=0,"",N(AM61)-N(AN61))</x:f>
      </x:c>
      <x:c r="AP61" s="226" t="str">
        <x:f>IF(COUNTA(AM61:AN61)=0,"",SUMIFS('04_Влияние_ОПИУ'!$F$2:$F$2000,'04_Влияние_ОПИУ'!$B$2:$B$2000,"2025-06",'04_Влияние_ОПИУ'!$C$2:$C$2000,$A61,'04_Влияние_ОПИУ'!$G$2:$G$2000,"Да"))</x:f>
      </x:c>
      <x:c r="AQ61" s="238" t="str">
        <x:f>IF(COUNTA(AM61:AN61)=0,"",N(AN61)+N(AP61))</x:f>
      </x:c>
      <x:c r="AR61" s="252" t="str">
        <x:f>IF(COUNTA(AM61:AN61)=0,"",N(AM61)-N(AQ61))</x:f>
      </x:c>
      <x:c r="AS61" s="260" t="str">
        <x:f>IF(COUNTA(AM61:AN61)=0,"",IF(ABS(AR61)&lt;=0.01,IF(ABS(AP61)&gt;0.01,"СОШЛОСЬ ПОСЛЕ КОРР.","СОШЛОСЬ"),IF(ABS(AP61)&gt;0.01,"ЧАСТИЧНО","НЕОПРЕДЕЛЕНО")))</x:f>
      </x:c>
      <x:c r="AT61" s="190"/>
      <x:c r="AU61" s="202"/>
      <x:c r="AV61" s="214" t="str">
        <x:f>IF(COUNTA(AT61:AU61)=0,"",N(AT61)-N(AU61))</x:f>
      </x:c>
      <x:c r="AW61" s="226" t="str">
        <x:f>IF(COUNTA(AT61:AU61)=0,"",SUMIFS('04_Влияние_ОПИУ'!$F$2:$F$2000,'04_Влияние_ОПИУ'!$B$2:$B$2000,"2025-07",'04_Влияние_ОПИУ'!$C$2:$C$2000,$A61,'04_Влияние_ОПИУ'!$G$2:$G$2000,"Да"))</x:f>
      </x:c>
      <x:c r="AX61" s="238" t="str">
        <x:f>IF(COUNTA(AT61:AU61)=0,"",N(AU61)+N(AW61))</x:f>
      </x:c>
      <x:c r="AY61" s="252" t="str">
        <x:f>IF(COUNTA(AT61:AU61)=0,"",N(AT61)-N(AX61))</x:f>
      </x:c>
      <x:c r="AZ61" s="260" t="str">
        <x:f>IF(COUNTA(AT61:AU61)=0,"",IF(ABS(AY61)&lt;=0.01,IF(ABS(AW61)&gt;0.01,"СОШЛОСЬ ПОСЛЕ КОРР.","СОШЛОСЬ"),IF(ABS(AW61)&gt;0.01,"ЧАСТИЧНО","НЕОПРЕДЕЛЕНО")))</x:f>
      </x:c>
      <x:c r="BA61" s="190"/>
      <x:c r="BB61" s="202"/>
      <x:c r="BC61" s="214" t="str">
        <x:f>IF(COUNTA(BA61:BB61)=0,"",N(BA61)-N(BB61))</x:f>
      </x:c>
      <x:c r="BD61" s="226" t="str">
        <x:f>IF(COUNTA(BA61:BB61)=0,"",SUMIFS('04_Влияние_ОПИУ'!$F$2:$F$2000,'04_Влияние_ОПИУ'!$B$2:$B$2000,"2025-08",'04_Влияние_ОПИУ'!$C$2:$C$2000,$A61,'04_Влияние_ОПИУ'!$G$2:$G$2000,"Да"))</x:f>
      </x:c>
      <x:c r="BE61" s="238" t="str">
        <x:f>IF(COUNTA(BA61:BB61)=0,"",N(BB61)+N(BD61))</x:f>
      </x:c>
      <x:c r="BF61" s="252" t="str">
        <x:f>IF(COUNTA(BA61:BB61)=0,"",N(BA61)-N(BE61))</x:f>
      </x:c>
      <x:c r="BG61" s="260" t="str">
        <x:f>IF(COUNTA(BA61:BB61)=0,"",IF(ABS(BF61)&lt;=0.01,IF(ABS(BD61)&gt;0.01,"СОШЛОСЬ ПОСЛЕ КОРР.","СОШЛОСЬ"),IF(ABS(BD61)&gt;0.01,"ЧАСТИЧНО","НЕОПРЕДЕЛЕНО")))</x:f>
      </x:c>
      <x:c r="BH61" s="190"/>
      <x:c r="BI61" s="202"/>
      <x:c r="BJ61" s="214" t="str">
        <x:f>IF(COUNTA(BH61:BI61)=0,"",N(BH61)-N(BI61))</x:f>
      </x:c>
      <x:c r="BK61" s="226" t="str">
        <x:f>IF(COUNTA(BH61:BI61)=0,"",SUMIFS('04_Влияние_ОПИУ'!$F$2:$F$2000,'04_Влияние_ОПИУ'!$B$2:$B$2000,"2025-09",'04_Влияние_ОПИУ'!$C$2:$C$2000,$A61,'04_Влияние_ОПИУ'!$G$2:$G$2000,"Да"))</x:f>
      </x:c>
      <x:c r="BL61" s="238" t="str">
        <x:f>IF(COUNTA(BH61:BI61)=0,"",N(BI61)+N(BK61))</x:f>
      </x:c>
      <x:c r="BM61" s="252" t="str">
        <x:f>IF(COUNTA(BH61:BI61)=0,"",N(BH61)-N(BL61))</x:f>
      </x:c>
      <x:c r="BN61" s="260" t="str">
        <x:f>IF(COUNTA(BH61:BI61)=0,"",IF(ABS(BM61)&lt;=0.01,IF(ABS(BK61)&gt;0.01,"СОШЛОСЬ ПОСЛЕ КОРР.","СОШЛОСЬ"),IF(ABS(BK61)&gt;0.01,"ЧАСТИЧНО","НЕОПРЕДЕЛЕНО")))</x:f>
      </x:c>
      <x:c r="BO61" s="190"/>
      <x:c r="BP61" s="202"/>
      <x:c r="BQ61" s="214" t="str">
        <x:f>IF(COUNTA(BO61:BP61)=0,"",N(BO61)-N(BP61))</x:f>
      </x:c>
      <x:c r="BR61" s="226" t="str">
        <x:f>IF(COUNTA(BO61:BP61)=0,"",SUMIFS('04_Влияние_ОПИУ'!$F$2:$F$2000,'04_Влияние_ОПИУ'!$B$2:$B$2000,"2025-10",'04_Влияние_ОПИУ'!$C$2:$C$2000,$A61,'04_Влияние_ОПИУ'!$G$2:$G$2000,"Да"))</x:f>
      </x:c>
      <x:c r="BS61" s="238" t="str">
        <x:f>IF(COUNTA(BO61:BP61)=0,"",N(BP61)+N(BR61))</x:f>
      </x:c>
      <x:c r="BT61" s="252" t="str">
        <x:f>IF(COUNTA(BO61:BP61)=0,"",N(BO61)-N(BS61))</x:f>
      </x:c>
      <x:c r="BU61" s="260" t="str">
        <x:f>IF(COUNTA(BO61:BP61)=0,"",IF(ABS(BT61)&lt;=0.01,IF(ABS(BR61)&gt;0.01,"СОШЛОСЬ ПОСЛЕ КОРР.","СОШЛОСЬ"),IF(ABS(BR61)&gt;0.01,"ЧАСТИЧНО","НЕОПРЕДЕЛЕНО")))</x:f>
      </x:c>
      <x:c r="BV61" s="190"/>
      <x:c r="BW61" s="202"/>
      <x:c r="BX61" s="214" t="str">
        <x:f>IF(COUNTA(BV61:BW61)=0,"",N(BV61)-N(BW61))</x:f>
      </x:c>
      <x:c r="BY61" s="226" t="str">
        <x:f>IF(COUNTA(BV61:BW61)=0,"",SUMIFS('04_Влияние_ОПИУ'!$F$2:$F$2000,'04_Влияние_ОПИУ'!$B$2:$B$2000,"2025-11",'04_Влияние_ОПИУ'!$C$2:$C$2000,$A61,'04_Влияние_ОПИУ'!$G$2:$G$2000,"Да"))</x:f>
      </x:c>
      <x:c r="BZ61" s="238" t="str">
        <x:f>IF(COUNTA(BV61:BW61)=0,"",N(BW61)+N(BY61))</x:f>
      </x:c>
      <x:c r="CA61" s="252" t="str">
        <x:f>IF(COUNTA(BV61:BW61)=0,"",N(BV61)-N(BZ61))</x:f>
      </x:c>
      <x:c r="CB61" s="260" t="str">
        <x:f>IF(COUNTA(BV61:BW61)=0,"",IF(ABS(CA61)&lt;=0.01,IF(ABS(BY61)&gt;0.01,"СОШЛОСЬ ПОСЛЕ КОРР.","СОШЛОСЬ"),IF(ABS(BY61)&gt;0.01,"ЧАСТИЧНО","НЕОПРЕДЕЛЕНО")))</x:f>
      </x:c>
      <x:c r="CC61" s="190"/>
      <x:c r="CD61" s="202"/>
      <x:c r="CE61" s="214" t="str">
        <x:f>IF(COUNTA(CC61:CD61)=0,"",N(CC61)-N(CD61))</x:f>
      </x:c>
      <x:c r="CF61" s="226" t="str">
        <x:f>IF(COUNTA(CC61:CD61)=0,"",SUMIFS('04_Влияние_ОПИУ'!$F$2:$F$2000,'04_Влияние_ОПИУ'!$B$2:$B$2000,"2025-12",'04_Влияние_ОПИУ'!$C$2:$C$2000,$A61,'04_Влияние_ОПИУ'!$G$2:$G$2000,"Да"))</x:f>
      </x:c>
      <x:c r="CG61" s="238" t="str">
        <x:f>IF(COUNTA(CC61:CD61)=0,"",N(CD61)+N(CF61))</x:f>
      </x:c>
      <x:c r="CH61" s="252" t="str">
        <x:f>IF(COUNTA(CC61:CD61)=0,"",N(CC61)-N(CG61))</x:f>
      </x:c>
      <x:c r="CI61" s="260" t="str">
        <x:f>IF(COUNTA(CC61:CD61)=0,"",IF(ABS(CH61)&lt;=0.01,IF(ABS(CF61)&gt;0.01,"СОШЛОСЬ ПОСЛЕ КОРР.","СОШЛОСЬ"),IF(ABS(CF61)&gt;0.01,"ЧАСТИЧНО","НЕОПРЕДЕЛЕНО")))</x:f>
      </x:c>
    </x:row>
    <x:row r="62">
      <x:c r="A62" s="158" t="str">
        <x:v>R057</x:v>
      </x:c>
      <x:c r="B62" s="158" t="str">
        <x:v>  Прочие внереализационные доходы</x:v>
      </x:c>
      <x:c r="C62" s="162" t="str">
        <x:v>  Доходы по инвестиционной и внереализационной деятелньости</x:v>
      </x:c>
      <x:c r="D62" s="190"/>
      <x:c r="E62" s="202"/>
      <x:c r="F62" s="214" t="str">
        <x:f>IF(COUNTA(D62:E62)=0,"",N(D62)-N(E62))</x:f>
      </x:c>
      <x:c r="G62" s="226" t="str">
        <x:f>IF(COUNTA(D62:E62)=0,"",SUMIFS('04_Влияние_ОПИУ'!$F$2:$F$2000,'04_Влияние_ОПИУ'!$B$2:$B$2000,"2025-01",'04_Влияние_ОПИУ'!$C$2:$C$2000,$A62,'04_Влияние_ОПИУ'!$G$2:$G$2000,"Да"))</x:f>
      </x:c>
      <x:c r="H62" s="238" t="str">
        <x:f>IF(COUNTA(D62:E62)=0,"",N(E62)+N(G62))</x:f>
      </x:c>
      <x:c r="I62" s="252" t="str">
        <x:f>IF(COUNTA(D62:E62)=0,"",N(D62)-N(H62))</x:f>
      </x:c>
      <x:c r="J62" s="260" t="str">
        <x:f>IF(COUNTA(D62:E62)=0,"",IF(ABS(I62)&lt;=0.01,IF(ABS(G62)&gt;0.01,"СОШЛОСЬ ПОСЛЕ КОРР.","СОШЛОСЬ"),IF(ABS(G62)&gt;0.01,"ЧАСТИЧНО","НЕОПРЕДЕЛЕНО")))</x:f>
      </x:c>
      <x:c r="K62" s="190"/>
      <x:c r="L62" s="202"/>
      <x:c r="M62" s="214" t="str">
        <x:f>IF(COUNTA(K62:L62)=0,"",N(K62)-N(L62))</x:f>
      </x:c>
      <x:c r="N62" s="226" t="str">
        <x:f>IF(COUNTA(K62:L62)=0,"",SUMIFS('04_Влияние_ОПИУ'!$F$2:$F$2000,'04_Влияние_ОПИУ'!$B$2:$B$2000,"2025-02",'04_Влияние_ОПИУ'!$C$2:$C$2000,$A62,'04_Влияние_ОПИУ'!$G$2:$G$2000,"Да"))</x:f>
      </x:c>
      <x:c r="O62" s="238" t="str">
        <x:f>IF(COUNTA(K62:L62)=0,"",N(L62)+N(N62))</x:f>
      </x:c>
      <x:c r="P62" s="252" t="str">
        <x:f>IF(COUNTA(K62:L62)=0,"",N(K62)-N(O62))</x:f>
      </x:c>
      <x:c r="Q62" s="260" t="str">
        <x:f>IF(COUNTA(K62:L62)=0,"",IF(ABS(P62)&lt;=0.01,IF(ABS(N62)&gt;0.01,"СОШЛОСЬ ПОСЛЕ КОРР.","СОШЛОСЬ"),IF(ABS(N62)&gt;0.01,"ЧАСТИЧНО","НЕОПРЕДЕЛЕНО")))</x:f>
      </x:c>
      <x:c r="R62" s="190"/>
      <x:c r="S62" s="202"/>
      <x:c r="T62" s="214" t="str">
        <x:f>IF(COUNTA(R62:S62)=0,"",N(R62)-N(S62))</x:f>
      </x:c>
      <x:c r="U62" s="226" t="str">
        <x:f>IF(COUNTA(R62:S62)=0,"",SUMIFS('04_Влияние_ОПИУ'!$F$2:$F$2000,'04_Влияние_ОПИУ'!$B$2:$B$2000,"2025-03",'04_Влияние_ОПИУ'!$C$2:$C$2000,$A62,'04_Влияние_ОПИУ'!$G$2:$G$2000,"Да"))</x:f>
      </x:c>
      <x:c r="V62" s="238" t="str">
        <x:f>IF(COUNTA(R62:S62)=0,"",N(S62)+N(U62))</x:f>
      </x:c>
      <x:c r="W62" s="252" t="str">
        <x:f>IF(COUNTA(R62:S62)=0,"",N(R62)-N(V62))</x:f>
      </x:c>
      <x:c r="X62" s="260" t="str">
        <x:f>IF(COUNTA(R62:S62)=0,"",IF(ABS(W62)&lt;=0.01,IF(ABS(U62)&gt;0.01,"СОШЛОСЬ ПОСЛЕ КОРР.","СОШЛОСЬ"),IF(ABS(U62)&gt;0.01,"ЧАСТИЧНО","НЕОПРЕДЕЛЕНО")))</x:f>
      </x:c>
      <x:c r="Y62" s="190"/>
      <x:c r="Z62" s="202"/>
      <x:c r="AA62" s="214" t="str">
        <x:f>IF(COUNTA(Y62:Z62)=0,"",N(Y62)-N(Z62))</x:f>
      </x:c>
      <x:c r="AB62" s="226" t="str">
        <x:f>IF(COUNTA(Y62:Z62)=0,"",SUMIFS('04_Влияние_ОПИУ'!$F$2:$F$2000,'04_Влияние_ОПИУ'!$B$2:$B$2000,"2025-04",'04_Влияние_ОПИУ'!$C$2:$C$2000,$A62,'04_Влияние_ОПИУ'!$G$2:$G$2000,"Да"))</x:f>
      </x:c>
      <x:c r="AC62" s="238" t="str">
        <x:f>IF(COUNTA(Y62:Z62)=0,"",N(Z62)+N(AB62))</x:f>
      </x:c>
      <x:c r="AD62" s="252" t="str">
        <x:f>IF(COUNTA(Y62:Z62)=0,"",N(Y62)-N(AC62))</x:f>
      </x:c>
      <x:c r="AE62" s="260" t="str">
        <x:f>IF(COUNTA(Y62:Z62)=0,"",IF(ABS(AD62)&lt;=0.01,IF(ABS(AB62)&gt;0.01,"СОШЛОСЬ ПОСЛЕ КОРР.","СОШЛОСЬ"),IF(ABS(AB62)&gt;0.01,"ЧАСТИЧНО","НЕОПРЕДЕЛЕНО")))</x:f>
      </x:c>
      <x:c r="AF62" s="190"/>
      <x:c r="AG62" s="202"/>
      <x:c r="AH62" s="214" t="str">
        <x:f>IF(COUNTA(AF62:AG62)=0,"",N(AF62)-N(AG62))</x:f>
      </x:c>
      <x:c r="AI62" s="226" t="str">
        <x:f>IF(COUNTA(AF62:AG62)=0,"",SUMIFS('04_Влияние_ОПИУ'!$F$2:$F$2000,'04_Влияние_ОПИУ'!$B$2:$B$2000,"2025-05",'04_Влияние_ОПИУ'!$C$2:$C$2000,$A62,'04_Влияние_ОПИУ'!$G$2:$G$2000,"Да"))</x:f>
      </x:c>
      <x:c r="AJ62" s="238" t="str">
        <x:f>IF(COUNTA(AF62:AG62)=0,"",N(AG62)+N(AI62))</x:f>
      </x:c>
      <x:c r="AK62" s="252" t="str">
        <x:f>IF(COUNTA(AF62:AG62)=0,"",N(AF62)-N(AJ62))</x:f>
      </x:c>
      <x:c r="AL62" s="260" t="str">
        <x:f>IF(COUNTA(AF62:AG62)=0,"",IF(ABS(AK62)&lt;=0.01,IF(ABS(AI62)&gt;0.01,"СОШЛОСЬ ПОСЛЕ КОРР.","СОШЛОСЬ"),IF(ABS(AI62)&gt;0.01,"ЧАСТИЧНО","НЕОПРЕДЕЛЕНО")))</x:f>
      </x:c>
      <x:c r="AM62" s="190"/>
      <x:c r="AN62" s="202"/>
      <x:c r="AO62" s="214" t="str">
        <x:f>IF(COUNTA(AM62:AN62)=0,"",N(AM62)-N(AN62))</x:f>
      </x:c>
      <x:c r="AP62" s="226" t="str">
        <x:f>IF(COUNTA(AM62:AN62)=0,"",SUMIFS('04_Влияние_ОПИУ'!$F$2:$F$2000,'04_Влияние_ОПИУ'!$B$2:$B$2000,"2025-06",'04_Влияние_ОПИУ'!$C$2:$C$2000,$A62,'04_Влияние_ОПИУ'!$G$2:$G$2000,"Да"))</x:f>
      </x:c>
      <x:c r="AQ62" s="238" t="str">
        <x:f>IF(COUNTA(AM62:AN62)=0,"",N(AN62)+N(AP62))</x:f>
      </x:c>
      <x:c r="AR62" s="252" t="str">
        <x:f>IF(COUNTA(AM62:AN62)=0,"",N(AM62)-N(AQ62))</x:f>
      </x:c>
      <x:c r="AS62" s="260" t="str">
        <x:f>IF(COUNTA(AM62:AN62)=0,"",IF(ABS(AR62)&lt;=0.01,IF(ABS(AP62)&gt;0.01,"СОШЛОСЬ ПОСЛЕ КОРР.","СОШЛОСЬ"),IF(ABS(AP62)&gt;0.01,"ЧАСТИЧНО","НЕОПРЕДЕЛЕНО")))</x:f>
      </x:c>
      <x:c r="AT62" s="190"/>
      <x:c r="AU62" s="202"/>
      <x:c r="AV62" s="214" t="str">
        <x:f>IF(COUNTA(AT62:AU62)=0,"",N(AT62)-N(AU62))</x:f>
      </x:c>
      <x:c r="AW62" s="226" t="str">
        <x:f>IF(COUNTA(AT62:AU62)=0,"",SUMIFS('04_Влияние_ОПИУ'!$F$2:$F$2000,'04_Влияние_ОПИУ'!$B$2:$B$2000,"2025-07",'04_Влияние_ОПИУ'!$C$2:$C$2000,$A62,'04_Влияние_ОПИУ'!$G$2:$G$2000,"Да"))</x:f>
      </x:c>
      <x:c r="AX62" s="238" t="str">
        <x:f>IF(COUNTA(AT62:AU62)=0,"",N(AU62)+N(AW62))</x:f>
      </x:c>
      <x:c r="AY62" s="252" t="str">
        <x:f>IF(COUNTA(AT62:AU62)=0,"",N(AT62)-N(AX62))</x:f>
      </x:c>
      <x:c r="AZ62" s="260" t="str">
        <x:f>IF(COUNTA(AT62:AU62)=0,"",IF(ABS(AY62)&lt;=0.01,IF(ABS(AW62)&gt;0.01,"СОШЛОСЬ ПОСЛЕ КОРР.","СОШЛОСЬ"),IF(ABS(AW62)&gt;0.01,"ЧАСТИЧНО","НЕОПРЕДЕЛЕНО")))</x:f>
      </x:c>
      <x:c r="BA62" s="190"/>
      <x:c r="BB62" s="202"/>
      <x:c r="BC62" s="214" t="str">
        <x:f>IF(COUNTA(BA62:BB62)=0,"",N(BA62)-N(BB62))</x:f>
      </x:c>
      <x:c r="BD62" s="226" t="str">
        <x:f>IF(COUNTA(BA62:BB62)=0,"",SUMIFS('04_Влияние_ОПИУ'!$F$2:$F$2000,'04_Влияние_ОПИУ'!$B$2:$B$2000,"2025-08",'04_Влияние_ОПИУ'!$C$2:$C$2000,$A62,'04_Влияние_ОПИУ'!$G$2:$G$2000,"Да"))</x:f>
      </x:c>
      <x:c r="BE62" s="238" t="str">
        <x:f>IF(COUNTA(BA62:BB62)=0,"",N(BB62)+N(BD62))</x:f>
      </x:c>
      <x:c r="BF62" s="252" t="str">
        <x:f>IF(COUNTA(BA62:BB62)=0,"",N(BA62)-N(BE62))</x:f>
      </x:c>
      <x:c r="BG62" s="260" t="str">
        <x:f>IF(COUNTA(BA62:BB62)=0,"",IF(ABS(BF62)&lt;=0.01,IF(ABS(BD62)&gt;0.01,"СОШЛОСЬ ПОСЛЕ КОРР.","СОШЛОСЬ"),IF(ABS(BD62)&gt;0.01,"ЧАСТИЧНО","НЕОПРЕДЕЛЕНО")))</x:f>
      </x:c>
      <x:c r="BH62" s="190"/>
      <x:c r="BI62" s="202"/>
      <x:c r="BJ62" s="214" t="str">
        <x:f>IF(COUNTA(BH62:BI62)=0,"",N(BH62)-N(BI62))</x:f>
      </x:c>
      <x:c r="BK62" s="226" t="str">
        <x:f>IF(COUNTA(BH62:BI62)=0,"",SUMIFS('04_Влияние_ОПИУ'!$F$2:$F$2000,'04_Влияние_ОПИУ'!$B$2:$B$2000,"2025-09",'04_Влияние_ОПИУ'!$C$2:$C$2000,$A62,'04_Влияние_ОПИУ'!$G$2:$G$2000,"Да"))</x:f>
      </x:c>
      <x:c r="BL62" s="238" t="str">
        <x:f>IF(COUNTA(BH62:BI62)=0,"",N(BI62)+N(BK62))</x:f>
      </x:c>
      <x:c r="BM62" s="252" t="str">
        <x:f>IF(COUNTA(BH62:BI62)=0,"",N(BH62)-N(BL62))</x:f>
      </x:c>
      <x:c r="BN62" s="260" t="str">
        <x:f>IF(COUNTA(BH62:BI62)=0,"",IF(ABS(BM62)&lt;=0.01,IF(ABS(BK62)&gt;0.01,"СОШЛОСЬ ПОСЛЕ КОРР.","СОШЛОСЬ"),IF(ABS(BK62)&gt;0.01,"ЧАСТИЧНО","НЕОПРЕДЕЛЕНО")))</x:f>
      </x:c>
      <x:c r="BO62" s="190"/>
      <x:c r="BP62" s="202"/>
      <x:c r="BQ62" s="214" t="str">
        <x:f>IF(COUNTA(BO62:BP62)=0,"",N(BO62)-N(BP62))</x:f>
      </x:c>
      <x:c r="BR62" s="226" t="str">
        <x:f>IF(COUNTA(BO62:BP62)=0,"",SUMIFS('04_Влияние_ОПИУ'!$F$2:$F$2000,'04_Влияние_ОПИУ'!$B$2:$B$2000,"2025-10",'04_Влияние_ОПИУ'!$C$2:$C$2000,$A62,'04_Влияние_ОПИУ'!$G$2:$G$2000,"Да"))</x:f>
      </x:c>
      <x:c r="BS62" s="238" t="str">
        <x:f>IF(COUNTA(BO62:BP62)=0,"",N(BP62)+N(BR62))</x:f>
      </x:c>
      <x:c r="BT62" s="252" t="str">
        <x:f>IF(COUNTA(BO62:BP62)=0,"",N(BO62)-N(BS62))</x:f>
      </x:c>
      <x:c r="BU62" s="260" t="str">
        <x:f>IF(COUNTA(BO62:BP62)=0,"",IF(ABS(BT62)&lt;=0.01,IF(ABS(BR62)&gt;0.01,"СОШЛОСЬ ПОСЛЕ КОРР.","СОШЛОСЬ"),IF(ABS(BR62)&gt;0.01,"ЧАСТИЧНО","НЕОПРЕДЕЛЕНО")))</x:f>
      </x:c>
      <x:c r="BV62" s="190"/>
      <x:c r="BW62" s="202"/>
      <x:c r="BX62" s="214" t="str">
        <x:f>IF(COUNTA(BV62:BW62)=0,"",N(BV62)-N(BW62))</x:f>
      </x:c>
      <x:c r="BY62" s="226" t="str">
        <x:f>IF(COUNTA(BV62:BW62)=0,"",SUMIFS('04_Влияние_ОПИУ'!$F$2:$F$2000,'04_Влияние_ОПИУ'!$B$2:$B$2000,"2025-11",'04_Влияние_ОПИУ'!$C$2:$C$2000,$A62,'04_Влияние_ОПИУ'!$G$2:$G$2000,"Да"))</x:f>
      </x:c>
      <x:c r="BZ62" s="238" t="str">
        <x:f>IF(COUNTA(BV62:BW62)=0,"",N(BW62)+N(BY62))</x:f>
      </x:c>
      <x:c r="CA62" s="252" t="str">
        <x:f>IF(COUNTA(BV62:BW62)=0,"",N(BV62)-N(BZ62))</x:f>
      </x:c>
      <x:c r="CB62" s="260" t="str">
        <x:f>IF(COUNTA(BV62:BW62)=0,"",IF(ABS(CA62)&lt;=0.01,IF(ABS(BY62)&gt;0.01,"СОШЛОСЬ ПОСЛЕ КОРР.","СОШЛОСЬ"),IF(ABS(BY62)&gt;0.01,"ЧАСТИЧНО","НЕОПРЕДЕЛЕНО")))</x:f>
      </x:c>
      <x:c r="CC62" s="190"/>
      <x:c r="CD62" s="202"/>
      <x:c r="CE62" s="214" t="str">
        <x:f>IF(COUNTA(CC62:CD62)=0,"",N(CC62)-N(CD62))</x:f>
      </x:c>
      <x:c r="CF62" s="226" t="str">
        <x:f>IF(COUNTA(CC62:CD62)=0,"",SUMIFS('04_Влияние_ОПИУ'!$F$2:$F$2000,'04_Влияние_ОПИУ'!$B$2:$B$2000,"2025-12",'04_Влияние_ОПИУ'!$C$2:$C$2000,$A62,'04_Влияние_ОПИУ'!$G$2:$G$2000,"Да"))</x:f>
      </x:c>
      <x:c r="CG62" s="238" t="str">
        <x:f>IF(COUNTA(CC62:CD62)=0,"",N(CD62)+N(CF62))</x:f>
      </x:c>
      <x:c r="CH62" s="252" t="str">
        <x:f>IF(COUNTA(CC62:CD62)=0,"",N(CC62)-N(CG62))</x:f>
      </x:c>
      <x:c r="CI62" s="260" t="str">
        <x:f>IF(COUNTA(CC62:CD62)=0,"",IF(ABS(CH62)&lt;=0.01,IF(ABS(CF62)&gt;0.01,"СОШЛОСЬ ПОСЛЕ КОРР.","СОШЛОСЬ"),IF(ABS(CF62)&gt;0.01,"ЧАСТИЧНО","НЕОПРЕДЕЛЕНО")))</x:f>
      </x:c>
    </x:row>
    <x:row r="63">
      <x:c r="A63" s="158" t="str">
        <x:v>R058</x:v>
      </x:c>
      <x:c r="B63" s="158" t="str">
        <x:v>  Прочие внереализационные расходы</x:v>
      </x:c>
      <x:c r="C63" s="162" t="str">
        <x:v>  Расходы по инвестиционной и внереализационной деятельности</x:v>
      </x:c>
      <x:c r="D63" s="190"/>
      <x:c r="E63" s="202"/>
      <x:c r="F63" s="214" t="str">
        <x:f>IF(COUNTA(D63:E63)=0,"",N(D63)-N(E63))</x:f>
      </x:c>
      <x:c r="G63" s="226" t="str">
        <x:f>IF(COUNTA(D63:E63)=0,"",SUMIFS('04_Влияние_ОПИУ'!$F$2:$F$2000,'04_Влияние_ОПИУ'!$B$2:$B$2000,"2025-01",'04_Влияние_ОПИУ'!$C$2:$C$2000,$A63,'04_Влияние_ОПИУ'!$G$2:$G$2000,"Да"))</x:f>
      </x:c>
      <x:c r="H63" s="238" t="str">
        <x:f>IF(COUNTA(D63:E63)=0,"",N(E63)+N(G63))</x:f>
      </x:c>
      <x:c r="I63" s="252" t="str">
        <x:f>IF(COUNTA(D63:E63)=0,"",N(D63)-N(H63))</x:f>
      </x:c>
      <x:c r="J63" s="260" t="str">
        <x:f>IF(COUNTA(D63:E63)=0,"",IF(ABS(I63)&lt;=0.01,IF(ABS(G63)&gt;0.01,"СОШЛОСЬ ПОСЛЕ КОРР.","СОШЛОСЬ"),IF(ABS(G63)&gt;0.01,"ЧАСТИЧНО","НЕОПРЕДЕЛЕНО")))</x:f>
      </x:c>
      <x:c r="K63" s="190"/>
      <x:c r="L63" s="202"/>
      <x:c r="M63" s="214" t="str">
        <x:f>IF(COUNTA(K63:L63)=0,"",N(K63)-N(L63))</x:f>
      </x:c>
      <x:c r="N63" s="226" t="str">
        <x:f>IF(COUNTA(K63:L63)=0,"",SUMIFS('04_Влияние_ОПИУ'!$F$2:$F$2000,'04_Влияние_ОПИУ'!$B$2:$B$2000,"2025-02",'04_Влияние_ОПИУ'!$C$2:$C$2000,$A63,'04_Влияние_ОПИУ'!$G$2:$G$2000,"Да"))</x:f>
      </x:c>
      <x:c r="O63" s="238" t="str">
        <x:f>IF(COUNTA(K63:L63)=0,"",N(L63)+N(N63))</x:f>
      </x:c>
      <x:c r="P63" s="252" t="str">
        <x:f>IF(COUNTA(K63:L63)=0,"",N(K63)-N(O63))</x:f>
      </x:c>
      <x:c r="Q63" s="260" t="str">
        <x:f>IF(COUNTA(K63:L63)=0,"",IF(ABS(P63)&lt;=0.01,IF(ABS(N63)&gt;0.01,"СОШЛОСЬ ПОСЛЕ КОРР.","СОШЛОСЬ"),IF(ABS(N63)&gt;0.01,"ЧАСТИЧНО","НЕОПРЕДЕЛЕНО")))</x:f>
      </x:c>
      <x:c r="R63" s="190"/>
      <x:c r="S63" s="202"/>
      <x:c r="T63" s="214" t="str">
        <x:f>IF(COUNTA(R63:S63)=0,"",N(R63)-N(S63))</x:f>
      </x:c>
      <x:c r="U63" s="226" t="str">
        <x:f>IF(COUNTA(R63:S63)=0,"",SUMIFS('04_Влияние_ОПИУ'!$F$2:$F$2000,'04_Влияние_ОПИУ'!$B$2:$B$2000,"2025-03",'04_Влияние_ОПИУ'!$C$2:$C$2000,$A63,'04_Влияние_ОПИУ'!$G$2:$G$2000,"Да"))</x:f>
      </x:c>
      <x:c r="V63" s="238" t="str">
        <x:f>IF(COUNTA(R63:S63)=0,"",N(S63)+N(U63))</x:f>
      </x:c>
      <x:c r="W63" s="252" t="str">
        <x:f>IF(COUNTA(R63:S63)=0,"",N(R63)-N(V63))</x:f>
      </x:c>
      <x:c r="X63" s="260" t="str">
        <x:f>IF(COUNTA(R63:S63)=0,"",IF(ABS(W63)&lt;=0.01,IF(ABS(U63)&gt;0.01,"СОШЛОСЬ ПОСЛЕ КОРР.","СОШЛОСЬ"),IF(ABS(U63)&gt;0.01,"ЧАСТИЧНО","НЕОПРЕДЕЛЕНО")))</x:f>
      </x:c>
      <x:c r="Y63" s="190"/>
      <x:c r="Z63" s="202"/>
      <x:c r="AA63" s="214" t="str">
        <x:f>IF(COUNTA(Y63:Z63)=0,"",N(Y63)-N(Z63))</x:f>
      </x:c>
      <x:c r="AB63" s="226" t="str">
        <x:f>IF(COUNTA(Y63:Z63)=0,"",SUMIFS('04_Влияние_ОПИУ'!$F$2:$F$2000,'04_Влияние_ОПИУ'!$B$2:$B$2000,"2025-04",'04_Влияние_ОПИУ'!$C$2:$C$2000,$A63,'04_Влияние_ОПИУ'!$G$2:$G$2000,"Да"))</x:f>
      </x:c>
      <x:c r="AC63" s="238" t="str">
        <x:f>IF(COUNTA(Y63:Z63)=0,"",N(Z63)+N(AB63))</x:f>
      </x:c>
      <x:c r="AD63" s="252" t="str">
        <x:f>IF(COUNTA(Y63:Z63)=0,"",N(Y63)-N(AC63))</x:f>
      </x:c>
      <x:c r="AE63" s="260" t="str">
        <x:f>IF(COUNTA(Y63:Z63)=0,"",IF(ABS(AD63)&lt;=0.01,IF(ABS(AB63)&gt;0.01,"СОШЛОСЬ ПОСЛЕ КОРР.","СОШЛОСЬ"),IF(ABS(AB63)&gt;0.01,"ЧАСТИЧНО","НЕОПРЕДЕЛЕНО")))</x:f>
      </x:c>
      <x:c r="AF63" s="190"/>
      <x:c r="AG63" s="202"/>
      <x:c r="AH63" s="214" t="str">
        <x:f>IF(COUNTA(AF63:AG63)=0,"",N(AF63)-N(AG63))</x:f>
      </x:c>
      <x:c r="AI63" s="226" t="str">
        <x:f>IF(COUNTA(AF63:AG63)=0,"",SUMIFS('04_Влияние_ОПИУ'!$F$2:$F$2000,'04_Влияние_ОПИУ'!$B$2:$B$2000,"2025-05",'04_Влияние_ОПИУ'!$C$2:$C$2000,$A63,'04_Влияние_ОПИУ'!$G$2:$G$2000,"Да"))</x:f>
      </x:c>
      <x:c r="AJ63" s="238" t="str">
        <x:f>IF(COUNTA(AF63:AG63)=0,"",N(AG63)+N(AI63))</x:f>
      </x:c>
      <x:c r="AK63" s="252" t="str">
        <x:f>IF(COUNTA(AF63:AG63)=0,"",N(AF63)-N(AJ63))</x:f>
      </x:c>
      <x:c r="AL63" s="260" t="str">
        <x:f>IF(COUNTA(AF63:AG63)=0,"",IF(ABS(AK63)&lt;=0.01,IF(ABS(AI63)&gt;0.01,"СОШЛОСЬ ПОСЛЕ КОРР.","СОШЛОСЬ"),IF(ABS(AI63)&gt;0.01,"ЧАСТИЧНО","НЕОПРЕДЕЛЕНО")))</x:f>
      </x:c>
      <x:c r="AM63" s="190"/>
      <x:c r="AN63" s="202"/>
      <x:c r="AO63" s="214" t="str">
        <x:f>IF(COUNTA(AM63:AN63)=0,"",N(AM63)-N(AN63))</x:f>
      </x:c>
      <x:c r="AP63" s="226" t="str">
        <x:f>IF(COUNTA(AM63:AN63)=0,"",SUMIFS('04_Влияние_ОПИУ'!$F$2:$F$2000,'04_Влияние_ОПИУ'!$B$2:$B$2000,"2025-06",'04_Влияние_ОПИУ'!$C$2:$C$2000,$A63,'04_Влияние_ОПИУ'!$G$2:$G$2000,"Да"))</x:f>
      </x:c>
      <x:c r="AQ63" s="238" t="str">
        <x:f>IF(COUNTA(AM63:AN63)=0,"",N(AN63)+N(AP63))</x:f>
      </x:c>
      <x:c r="AR63" s="252" t="str">
        <x:f>IF(COUNTA(AM63:AN63)=0,"",N(AM63)-N(AQ63))</x:f>
      </x:c>
      <x:c r="AS63" s="260" t="str">
        <x:f>IF(COUNTA(AM63:AN63)=0,"",IF(ABS(AR63)&lt;=0.01,IF(ABS(AP63)&gt;0.01,"СОШЛОСЬ ПОСЛЕ КОРР.","СОШЛОСЬ"),IF(ABS(AP63)&gt;0.01,"ЧАСТИЧНО","НЕОПРЕДЕЛЕНО")))</x:f>
      </x:c>
      <x:c r="AT63" s="190"/>
      <x:c r="AU63" s="202"/>
      <x:c r="AV63" s="214" t="str">
        <x:f>IF(COUNTA(AT63:AU63)=0,"",N(AT63)-N(AU63))</x:f>
      </x:c>
      <x:c r="AW63" s="226" t="str">
        <x:f>IF(COUNTA(AT63:AU63)=0,"",SUMIFS('04_Влияние_ОПИУ'!$F$2:$F$2000,'04_Влияние_ОПИУ'!$B$2:$B$2000,"2025-07",'04_Влияние_ОПИУ'!$C$2:$C$2000,$A63,'04_Влияние_ОПИУ'!$G$2:$G$2000,"Да"))</x:f>
      </x:c>
      <x:c r="AX63" s="238" t="str">
        <x:f>IF(COUNTA(AT63:AU63)=0,"",N(AU63)+N(AW63))</x:f>
      </x:c>
      <x:c r="AY63" s="252" t="str">
        <x:f>IF(COUNTA(AT63:AU63)=0,"",N(AT63)-N(AX63))</x:f>
      </x:c>
      <x:c r="AZ63" s="260" t="str">
        <x:f>IF(COUNTA(AT63:AU63)=0,"",IF(ABS(AY63)&lt;=0.01,IF(ABS(AW63)&gt;0.01,"СОШЛОСЬ ПОСЛЕ КОРР.","СОШЛОСЬ"),IF(ABS(AW63)&gt;0.01,"ЧАСТИЧНО","НЕОПРЕДЕЛЕНО")))</x:f>
      </x:c>
      <x:c r="BA63" s="190"/>
      <x:c r="BB63" s="202"/>
      <x:c r="BC63" s="214" t="str">
        <x:f>IF(COUNTA(BA63:BB63)=0,"",N(BA63)-N(BB63))</x:f>
      </x:c>
      <x:c r="BD63" s="226" t="str">
        <x:f>IF(COUNTA(BA63:BB63)=0,"",SUMIFS('04_Влияние_ОПИУ'!$F$2:$F$2000,'04_Влияние_ОПИУ'!$B$2:$B$2000,"2025-08",'04_Влияние_ОПИУ'!$C$2:$C$2000,$A63,'04_Влияние_ОПИУ'!$G$2:$G$2000,"Да"))</x:f>
      </x:c>
      <x:c r="BE63" s="238" t="str">
        <x:f>IF(COUNTA(BA63:BB63)=0,"",N(BB63)+N(BD63))</x:f>
      </x:c>
      <x:c r="BF63" s="252" t="str">
        <x:f>IF(COUNTA(BA63:BB63)=0,"",N(BA63)-N(BE63))</x:f>
      </x:c>
      <x:c r="BG63" s="260" t="str">
        <x:f>IF(COUNTA(BA63:BB63)=0,"",IF(ABS(BF63)&lt;=0.01,IF(ABS(BD63)&gt;0.01,"СОШЛОСЬ ПОСЛЕ КОРР.","СОШЛОСЬ"),IF(ABS(BD63)&gt;0.01,"ЧАСТИЧНО","НЕОПРЕДЕЛЕНО")))</x:f>
      </x:c>
      <x:c r="BH63" s="190"/>
      <x:c r="BI63" s="202"/>
      <x:c r="BJ63" s="214" t="str">
        <x:f>IF(COUNTA(BH63:BI63)=0,"",N(BH63)-N(BI63))</x:f>
      </x:c>
      <x:c r="BK63" s="226" t="str">
        <x:f>IF(COUNTA(BH63:BI63)=0,"",SUMIFS('04_Влияние_ОПИУ'!$F$2:$F$2000,'04_Влияние_ОПИУ'!$B$2:$B$2000,"2025-09",'04_Влияние_ОПИУ'!$C$2:$C$2000,$A63,'04_Влияние_ОПИУ'!$G$2:$G$2000,"Да"))</x:f>
      </x:c>
      <x:c r="BL63" s="238" t="str">
        <x:f>IF(COUNTA(BH63:BI63)=0,"",N(BI63)+N(BK63))</x:f>
      </x:c>
      <x:c r="BM63" s="252" t="str">
        <x:f>IF(COUNTA(BH63:BI63)=0,"",N(BH63)-N(BL63))</x:f>
      </x:c>
      <x:c r="BN63" s="260" t="str">
        <x:f>IF(COUNTA(BH63:BI63)=0,"",IF(ABS(BM63)&lt;=0.01,IF(ABS(BK63)&gt;0.01,"СОШЛОСЬ ПОСЛЕ КОРР.","СОШЛОСЬ"),IF(ABS(BK63)&gt;0.01,"ЧАСТИЧНО","НЕОПРЕДЕЛЕНО")))</x:f>
      </x:c>
      <x:c r="BO63" s="190"/>
      <x:c r="BP63" s="202"/>
      <x:c r="BQ63" s="214" t="str">
        <x:f>IF(COUNTA(BO63:BP63)=0,"",N(BO63)-N(BP63))</x:f>
      </x:c>
      <x:c r="BR63" s="226" t="str">
        <x:f>IF(COUNTA(BO63:BP63)=0,"",SUMIFS('04_Влияние_ОПИУ'!$F$2:$F$2000,'04_Влияние_ОПИУ'!$B$2:$B$2000,"2025-10",'04_Влияние_ОПИУ'!$C$2:$C$2000,$A63,'04_Влияние_ОПИУ'!$G$2:$G$2000,"Да"))</x:f>
      </x:c>
      <x:c r="BS63" s="238" t="str">
        <x:f>IF(COUNTA(BO63:BP63)=0,"",N(BP63)+N(BR63))</x:f>
      </x:c>
      <x:c r="BT63" s="252" t="str">
        <x:f>IF(COUNTA(BO63:BP63)=0,"",N(BO63)-N(BS63))</x:f>
      </x:c>
      <x:c r="BU63" s="260" t="str">
        <x:f>IF(COUNTA(BO63:BP63)=0,"",IF(ABS(BT63)&lt;=0.01,IF(ABS(BR63)&gt;0.01,"СОШЛОСЬ ПОСЛЕ КОРР.","СОШЛОСЬ"),IF(ABS(BR63)&gt;0.01,"ЧАСТИЧНО","НЕОПРЕДЕЛЕНО")))</x:f>
      </x:c>
      <x:c r="BV63" s="190"/>
      <x:c r="BW63" s="202"/>
      <x:c r="BX63" s="214" t="str">
        <x:f>IF(COUNTA(BV63:BW63)=0,"",N(BV63)-N(BW63))</x:f>
      </x:c>
      <x:c r="BY63" s="226" t="str">
        <x:f>IF(COUNTA(BV63:BW63)=0,"",SUMIFS('04_Влияние_ОПИУ'!$F$2:$F$2000,'04_Влияние_ОПИУ'!$B$2:$B$2000,"2025-11",'04_Влияние_ОПИУ'!$C$2:$C$2000,$A63,'04_Влияние_ОПИУ'!$G$2:$G$2000,"Да"))</x:f>
      </x:c>
      <x:c r="BZ63" s="238" t="str">
        <x:f>IF(COUNTA(BV63:BW63)=0,"",N(BW63)+N(BY63))</x:f>
      </x:c>
      <x:c r="CA63" s="252" t="str">
        <x:f>IF(COUNTA(BV63:BW63)=0,"",N(BV63)-N(BZ63))</x:f>
      </x:c>
      <x:c r="CB63" s="260" t="str">
        <x:f>IF(COUNTA(BV63:BW63)=0,"",IF(ABS(CA63)&lt;=0.01,IF(ABS(BY63)&gt;0.01,"СОШЛОСЬ ПОСЛЕ КОРР.","СОШЛОСЬ"),IF(ABS(BY63)&gt;0.01,"ЧАСТИЧНО","НЕОПРЕДЕЛЕНО")))</x:f>
      </x:c>
      <x:c r="CC63" s="190"/>
      <x:c r="CD63" s="202"/>
      <x:c r="CE63" s="214" t="str">
        <x:f>IF(COUNTA(CC63:CD63)=0,"",N(CC63)-N(CD63))</x:f>
      </x:c>
      <x:c r="CF63" s="226" t="str">
        <x:f>IF(COUNTA(CC63:CD63)=0,"",SUMIFS('04_Влияние_ОПИУ'!$F$2:$F$2000,'04_Влияние_ОПИУ'!$B$2:$B$2000,"2025-12",'04_Влияние_ОПИУ'!$C$2:$C$2000,$A63,'04_Влияние_ОПИУ'!$G$2:$G$2000,"Да"))</x:f>
      </x:c>
      <x:c r="CG63" s="238" t="str">
        <x:f>IF(COUNTA(CC63:CD63)=0,"",N(CD63)+N(CF63))</x:f>
      </x:c>
      <x:c r="CH63" s="252" t="str">
        <x:f>IF(COUNTA(CC63:CD63)=0,"",N(CC63)-N(CG63))</x:f>
      </x:c>
      <x:c r="CI63" s="260" t="str">
        <x:f>IF(COUNTA(CC63:CD63)=0,"",IF(ABS(CH63)&lt;=0.01,IF(ABS(CF63)&gt;0.01,"СОШЛОСЬ ПОСЛЕ КОРР.","СОШЛОСЬ"),IF(ABS(CF63)&gt;0.01,"ЧАСТИЧНО","НЕОПРЕДЕЛЕНО")))</x:f>
      </x:c>
    </x:row>
    <x:row r="64">
      <x:c r="A64" s="158" t="str">
        <x:v>R059</x:v>
      </x:c>
      <x:c r="B64" s="158" t="str">
        <x:v>  Убытки прошлых периодов</x:v>
      </x:c>
      <x:c r="C64" s="162" t="str">
        <x:v>  Чистая прибыль</x:v>
      </x:c>
      <x:c r="D64" s="190"/>
      <x:c r="E64" s="202"/>
      <x:c r="F64" s="214" t="str">
        <x:f>IF(COUNTA(D64:E64)=0,"",N(D64)-N(E64))</x:f>
      </x:c>
      <x:c r="G64" s="226" t="str">
        <x:f>IF(COUNTA(D64:E64)=0,"",SUMIFS('04_Влияние_ОПИУ'!$F$2:$F$2000,'04_Влияние_ОПИУ'!$B$2:$B$2000,"2025-01",'04_Влияние_ОПИУ'!$C$2:$C$2000,$A64,'04_Влияние_ОПИУ'!$G$2:$G$2000,"Да"))</x:f>
      </x:c>
      <x:c r="H64" s="238" t="str">
        <x:f>IF(COUNTA(D64:E64)=0,"",N(E64)+N(G64))</x:f>
      </x:c>
      <x:c r="I64" s="252" t="str">
        <x:f>IF(COUNTA(D64:E64)=0,"",N(D64)-N(H64))</x:f>
      </x:c>
      <x:c r="J64" s="260" t="str">
        <x:f>IF(COUNTA(D64:E64)=0,"",IF(ABS(I64)&lt;=0.01,IF(ABS(G64)&gt;0.01,"СОШЛОСЬ ПОСЛЕ КОРР.","СОШЛОСЬ"),IF(ABS(G64)&gt;0.01,"ЧАСТИЧНО","НЕОПРЕДЕЛЕНО")))</x:f>
      </x:c>
      <x:c r="K64" s="190"/>
      <x:c r="L64" s="202"/>
      <x:c r="M64" s="214" t="str">
        <x:f>IF(COUNTA(K64:L64)=0,"",N(K64)-N(L64))</x:f>
      </x:c>
      <x:c r="N64" s="226" t="str">
        <x:f>IF(COUNTA(K64:L64)=0,"",SUMIFS('04_Влияние_ОПИУ'!$F$2:$F$2000,'04_Влияние_ОПИУ'!$B$2:$B$2000,"2025-02",'04_Влияние_ОПИУ'!$C$2:$C$2000,$A64,'04_Влияние_ОПИУ'!$G$2:$G$2000,"Да"))</x:f>
      </x:c>
      <x:c r="O64" s="238" t="str">
        <x:f>IF(COUNTA(K64:L64)=0,"",N(L64)+N(N64))</x:f>
      </x:c>
      <x:c r="P64" s="252" t="str">
        <x:f>IF(COUNTA(K64:L64)=0,"",N(K64)-N(O64))</x:f>
      </x:c>
      <x:c r="Q64" s="260" t="str">
        <x:f>IF(COUNTA(K64:L64)=0,"",IF(ABS(P64)&lt;=0.01,IF(ABS(N64)&gt;0.01,"СОШЛОСЬ ПОСЛЕ КОРР.","СОШЛОСЬ"),IF(ABS(N64)&gt;0.01,"ЧАСТИЧНО","НЕОПРЕДЕЛЕНО")))</x:f>
      </x:c>
      <x:c r="R64" s="190"/>
      <x:c r="S64" s="202"/>
      <x:c r="T64" s="214" t="str">
        <x:f>IF(COUNTA(R64:S64)=0,"",N(R64)-N(S64))</x:f>
      </x:c>
      <x:c r="U64" s="226" t="str">
        <x:f>IF(COUNTA(R64:S64)=0,"",SUMIFS('04_Влияние_ОПИУ'!$F$2:$F$2000,'04_Влияние_ОПИУ'!$B$2:$B$2000,"2025-03",'04_Влияние_ОПИУ'!$C$2:$C$2000,$A64,'04_Влияние_ОПИУ'!$G$2:$G$2000,"Да"))</x:f>
      </x:c>
      <x:c r="V64" s="238" t="str">
        <x:f>IF(COUNTA(R64:S64)=0,"",N(S64)+N(U64))</x:f>
      </x:c>
      <x:c r="W64" s="252" t="str">
        <x:f>IF(COUNTA(R64:S64)=0,"",N(R64)-N(V64))</x:f>
      </x:c>
      <x:c r="X64" s="260" t="str">
        <x:f>IF(COUNTA(R64:S64)=0,"",IF(ABS(W64)&lt;=0.01,IF(ABS(U64)&gt;0.01,"СОШЛОСЬ ПОСЛЕ КОРР.","СОШЛОСЬ"),IF(ABS(U64)&gt;0.01,"ЧАСТИЧНО","НЕОПРЕДЕЛЕНО")))</x:f>
      </x:c>
      <x:c r="Y64" s="190"/>
      <x:c r="Z64" s="202"/>
      <x:c r="AA64" s="214" t="str">
        <x:f>IF(COUNTA(Y64:Z64)=0,"",N(Y64)-N(Z64))</x:f>
      </x:c>
      <x:c r="AB64" s="226" t="str">
        <x:f>IF(COUNTA(Y64:Z64)=0,"",SUMIFS('04_Влияние_ОПИУ'!$F$2:$F$2000,'04_Влияние_ОПИУ'!$B$2:$B$2000,"2025-04",'04_Влияние_ОПИУ'!$C$2:$C$2000,$A64,'04_Влияние_ОПИУ'!$G$2:$G$2000,"Да"))</x:f>
      </x:c>
      <x:c r="AC64" s="238" t="str">
        <x:f>IF(COUNTA(Y64:Z64)=0,"",N(Z64)+N(AB64))</x:f>
      </x:c>
      <x:c r="AD64" s="252" t="str">
        <x:f>IF(COUNTA(Y64:Z64)=0,"",N(Y64)-N(AC64))</x:f>
      </x:c>
      <x:c r="AE64" s="260" t="str">
        <x:f>IF(COUNTA(Y64:Z64)=0,"",IF(ABS(AD64)&lt;=0.01,IF(ABS(AB64)&gt;0.01,"СОШЛОСЬ ПОСЛЕ КОРР.","СОШЛОСЬ"),IF(ABS(AB64)&gt;0.01,"ЧАСТИЧНО","НЕОПРЕДЕЛЕНО")))</x:f>
      </x:c>
      <x:c r="AF64" s="190"/>
      <x:c r="AG64" s="202"/>
      <x:c r="AH64" s="214" t="str">
        <x:f>IF(COUNTA(AF64:AG64)=0,"",N(AF64)-N(AG64))</x:f>
      </x:c>
      <x:c r="AI64" s="226" t="str">
        <x:f>IF(COUNTA(AF64:AG64)=0,"",SUMIFS('04_Влияние_ОПИУ'!$F$2:$F$2000,'04_Влияние_ОПИУ'!$B$2:$B$2000,"2025-05",'04_Влияние_ОПИУ'!$C$2:$C$2000,$A64,'04_Влияние_ОПИУ'!$G$2:$G$2000,"Да"))</x:f>
      </x:c>
      <x:c r="AJ64" s="238" t="str">
        <x:f>IF(COUNTA(AF64:AG64)=0,"",N(AG64)+N(AI64))</x:f>
      </x:c>
      <x:c r="AK64" s="252" t="str">
        <x:f>IF(COUNTA(AF64:AG64)=0,"",N(AF64)-N(AJ64))</x:f>
      </x:c>
      <x:c r="AL64" s="260" t="str">
        <x:f>IF(COUNTA(AF64:AG64)=0,"",IF(ABS(AK64)&lt;=0.01,IF(ABS(AI64)&gt;0.01,"СОШЛОСЬ ПОСЛЕ КОРР.","СОШЛОСЬ"),IF(ABS(AI64)&gt;0.01,"ЧАСТИЧНО","НЕОПРЕДЕЛЕНО")))</x:f>
      </x:c>
      <x:c r="AM64" s="190"/>
      <x:c r="AN64" s="202"/>
      <x:c r="AO64" s="214" t="str">
        <x:f>IF(COUNTA(AM64:AN64)=0,"",N(AM64)-N(AN64))</x:f>
      </x:c>
      <x:c r="AP64" s="226" t="str">
        <x:f>IF(COUNTA(AM64:AN64)=0,"",SUMIFS('04_Влияние_ОПИУ'!$F$2:$F$2000,'04_Влияние_ОПИУ'!$B$2:$B$2000,"2025-06",'04_Влияние_ОПИУ'!$C$2:$C$2000,$A64,'04_Влияние_ОПИУ'!$G$2:$G$2000,"Да"))</x:f>
      </x:c>
      <x:c r="AQ64" s="238" t="str">
        <x:f>IF(COUNTA(AM64:AN64)=0,"",N(AN64)+N(AP64))</x:f>
      </x:c>
      <x:c r="AR64" s="252" t="str">
        <x:f>IF(COUNTA(AM64:AN64)=0,"",N(AM64)-N(AQ64))</x:f>
      </x:c>
      <x:c r="AS64" s="260" t="str">
        <x:f>IF(COUNTA(AM64:AN64)=0,"",IF(ABS(AR64)&lt;=0.01,IF(ABS(AP64)&gt;0.01,"СОШЛОСЬ ПОСЛЕ КОРР.","СОШЛОСЬ"),IF(ABS(AP64)&gt;0.01,"ЧАСТИЧНО","НЕОПРЕДЕЛЕНО")))</x:f>
      </x:c>
      <x:c r="AT64" s="190"/>
      <x:c r="AU64" s="202"/>
      <x:c r="AV64" s="214" t="str">
        <x:f>IF(COUNTA(AT64:AU64)=0,"",N(AT64)-N(AU64))</x:f>
      </x:c>
      <x:c r="AW64" s="226" t="str">
        <x:f>IF(COUNTA(AT64:AU64)=0,"",SUMIFS('04_Влияние_ОПИУ'!$F$2:$F$2000,'04_Влияние_ОПИУ'!$B$2:$B$2000,"2025-07",'04_Влияние_ОПИУ'!$C$2:$C$2000,$A64,'04_Влияние_ОПИУ'!$G$2:$G$2000,"Да"))</x:f>
      </x:c>
      <x:c r="AX64" s="238" t="str">
        <x:f>IF(COUNTA(AT64:AU64)=0,"",N(AU64)+N(AW64))</x:f>
      </x:c>
      <x:c r="AY64" s="252" t="str">
        <x:f>IF(COUNTA(AT64:AU64)=0,"",N(AT64)-N(AX64))</x:f>
      </x:c>
      <x:c r="AZ64" s="260" t="str">
        <x:f>IF(COUNTA(AT64:AU64)=0,"",IF(ABS(AY64)&lt;=0.01,IF(ABS(AW64)&gt;0.01,"СОШЛОСЬ ПОСЛЕ КОРР.","СОШЛОСЬ"),IF(ABS(AW64)&gt;0.01,"ЧАСТИЧНО","НЕОПРЕДЕЛЕНО")))</x:f>
      </x:c>
      <x:c r="BA64" s="190"/>
      <x:c r="BB64" s="202"/>
      <x:c r="BC64" s="214" t="str">
        <x:f>IF(COUNTA(BA64:BB64)=0,"",N(BA64)-N(BB64))</x:f>
      </x:c>
      <x:c r="BD64" s="226" t="str">
        <x:f>IF(COUNTA(BA64:BB64)=0,"",SUMIFS('04_Влияние_ОПИУ'!$F$2:$F$2000,'04_Влияние_ОПИУ'!$B$2:$B$2000,"2025-08",'04_Влияние_ОПИУ'!$C$2:$C$2000,$A64,'04_Влияние_ОПИУ'!$G$2:$G$2000,"Да"))</x:f>
      </x:c>
      <x:c r="BE64" s="238" t="str">
        <x:f>IF(COUNTA(BA64:BB64)=0,"",N(BB64)+N(BD64))</x:f>
      </x:c>
      <x:c r="BF64" s="252" t="str">
        <x:f>IF(COUNTA(BA64:BB64)=0,"",N(BA64)-N(BE64))</x:f>
      </x:c>
      <x:c r="BG64" s="260" t="str">
        <x:f>IF(COUNTA(BA64:BB64)=0,"",IF(ABS(BF64)&lt;=0.01,IF(ABS(BD64)&gt;0.01,"СОШЛОСЬ ПОСЛЕ КОРР.","СОШЛОСЬ"),IF(ABS(BD64)&gt;0.01,"ЧАСТИЧНО","НЕОПРЕДЕЛЕНО")))</x:f>
      </x:c>
      <x:c r="BH64" s="190"/>
      <x:c r="BI64" s="202"/>
      <x:c r="BJ64" s="214" t="str">
        <x:f>IF(COUNTA(BH64:BI64)=0,"",N(BH64)-N(BI64))</x:f>
      </x:c>
      <x:c r="BK64" s="226" t="str">
        <x:f>IF(COUNTA(BH64:BI64)=0,"",SUMIFS('04_Влияние_ОПИУ'!$F$2:$F$2000,'04_Влияние_ОПИУ'!$B$2:$B$2000,"2025-09",'04_Влияние_ОПИУ'!$C$2:$C$2000,$A64,'04_Влияние_ОПИУ'!$G$2:$G$2000,"Да"))</x:f>
      </x:c>
      <x:c r="BL64" s="238" t="str">
        <x:f>IF(COUNTA(BH64:BI64)=0,"",N(BI64)+N(BK64))</x:f>
      </x:c>
      <x:c r="BM64" s="252" t="str">
        <x:f>IF(COUNTA(BH64:BI64)=0,"",N(BH64)-N(BL64))</x:f>
      </x:c>
      <x:c r="BN64" s="260" t="str">
        <x:f>IF(COUNTA(BH64:BI64)=0,"",IF(ABS(BM64)&lt;=0.01,IF(ABS(BK64)&gt;0.01,"СОШЛОСЬ ПОСЛЕ КОРР.","СОШЛОСЬ"),IF(ABS(BK64)&gt;0.01,"ЧАСТИЧНО","НЕОПРЕДЕЛЕНО")))</x:f>
      </x:c>
      <x:c r="BO64" s="190"/>
      <x:c r="BP64" s="202"/>
      <x:c r="BQ64" s="214" t="str">
        <x:f>IF(COUNTA(BO64:BP64)=0,"",N(BO64)-N(BP64))</x:f>
      </x:c>
      <x:c r="BR64" s="226" t="str">
        <x:f>IF(COUNTA(BO64:BP64)=0,"",SUMIFS('04_Влияние_ОПИУ'!$F$2:$F$2000,'04_Влияние_ОПИУ'!$B$2:$B$2000,"2025-10",'04_Влияние_ОПИУ'!$C$2:$C$2000,$A64,'04_Влияние_ОПИУ'!$G$2:$G$2000,"Да"))</x:f>
      </x:c>
      <x:c r="BS64" s="238" t="str">
        <x:f>IF(COUNTA(BO64:BP64)=0,"",N(BP64)+N(BR64))</x:f>
      </x:c>
      <x:c r="BT64" s="252" t="str">
        <x:f>IF(COUNTA(BO64:BP64)=0,"",N(BO64)-N(BS64))</x:f>
      </x:c>
      <x:c r="BU64" s="260" t="str">
        <x:f>IF(COUNTA(BO64:BP64)=0,"",IF(ABS(BT64)&lt;=0.01,IF(ABS(BR64)&gt;0.01,"СОШЛОСЬ ПОСЛЕ КОРР.","СОШЛОСЬ"),IF(ABS(BR64)&gt;0.01,"ЧАСТИЧНО","НЕОПРЕДЕЛЕНО")))</x:f>
      </x:c>
      <x:c r="BV64" s="190"/>
      <x:c r="BW64" s="202"/>
      <x:c r="BX64" s="214" t="str">
        <x:f>IF(COUNTA(BV64:BW64)=0,"",N(BV64)-N(BW64))</x:f>
      </x:c>
      <x:c r="BY64" s="226" t="str">
        <x:f>IF(COUNTA(BV64:BW64)=0,"",SUMIFS('04_Влияние_ОПИУ'!$F$2:$F$2000,'04_Влияние_ОПИУ'!$B$2:$B$2000,"2025-11",'04_Влияние_ОПИУ'!$C$2:$C$2000,$A64,'04_Влияние_ОПИУ'!$G$2:$G$2000,"Да"))</x:f>
      </x:c>
      <x:c r="BZ64" s="238" t="str">
        <x:f>IF(COUNTA(BV64:BW64)=0,"",N(BW64)+N(BY64))</x:f>
      </x:c>
      <x:c r="CA64" s="252" t="str">
        <x:f>IF(COUNTA(BV64:BW64)=0,"",N(BV64)-N(BZ64))</x:f>
      </x:c>
      <x:c r="CB64" s="260" t="str">
        <x:f>IF(COUNTA(BV64:BW64)=0,"",IF(ABS(CA64)&lt;=0.01,IF(ABS(BY64)&gt;0.01,"СОШЛОСЬ ПОСЛЕ КОРР.","СОШЛОСЬ"),IF(ABS(BY64)&gt;0.01,"ЧАСТИЧНО","НЕОПРЕДЕЛЕНО")))</x:f>
      </x:c>
      <x:c r="CC64" s="190"/>
      <x:c r="CD64" s="202"/>
      <x:c r="CE64" s="214" t="str">
        <x:f>IF(COUNTA(CC64:CD64)=0,"",N(CC64)-N(CD64))</x:f>
      </x:c>
      <x:c r="CF64" s="226" t="str">
        <x:f>IF(COUNTA(CC64:CD64)=0,"",SUMIFS('04_Влияние_ОПИУ'!$F$2:$F$2000,'04_Влияние_ОПИУ'!$B$2:$B$2000,"2025-12",'04_Влияние_ОПИУ'!$C$2:$C$2000,$A64,'04_Влияние_ОПИУ'!$G$2:$G$2000,"Да"))</x:f>
      </x:c>
      <x:c r="CG64" s="238" t="str">
        <x:f>IF(COUNTA(CC64:CD64)=0,"",N(CD64)+N(CF64))</x:f>
      </x:c>
      <x:c r="CH64" s="252" t="str">
        <x:f>IF(COUNTA(CC64:CD64)=0,"",N(CC64)-N(CG64))</x:f>
      </x:c>
      <x:c r="CI64" s="260" t="str">
        <x:f>IF(COUNTA(CC64:CD64)=0,"",IF(ABS(CH64)&lt;=0.01,IF(ABS(CF64)&gt;0.01,"СОШЛОСЬ ПОСЛЕ КОРР.","СОШЛОСЬ"),IF(ABS(CF64)&gt;0.01,"ЧАСТИЧНО","НЕОПРЕДЕЛЕНО")))</x:f>
      </x:c>
    </x:row>
    <x:row r="65">
      <x:c r="A65" s="174" t="str">
        <x:v>R060</x:v>
      </x:c>
      <x:c r="B65" s="174" t="str">
        <x:v>Чистая прибыль</x:v>
      </x:c>
      <x:c r="C65" s="162" t="str">
        <x:v>Дивиденды</x:v>
      </x:c>
      <x:c r="D65" s="190"/>
      <x:c r="E65" s="202"/>
      <x:c r="F65" s="214" t="str">
        <x:f>IF(COUNTA(D65:E65)=0,"",N(D65)-N(E65))</x:f>
      </x:c>
      <x:c r="G65" s="226" t="str">
        <x:f>IF(COUNTA(D65:E65)=0,"",SUMIFS('04_Влияние_ОПИУ'!$F$2:$F$2000,'04_Влияние_ОПИУ'!$B$2:$B$2000,"2025-01",'04_Влияние_ОПИУ'!$C$2:$C$2000,$A65,'04_Влияние_ОПИУ'!$G$2:$G$2000,"Да"))</x:f>
      </x:c>
      <x:c r="H65" s="238" t="str">
        <x:f>IF(COUNTA(D65:E65)=0,"",N(E65)+N(G65))</x:f>
      </x:c>
      <x:c r="I65" s="252" t="str">
        <x:f>IF(COUNTA(D65:E65)=0,"",N(D65)-N(H65))</x:f>
      </x:c>
      <x:c r="J65" s="260" t="str">
        <x:f>IF(COUNTA(D65:E65)=0,"",IF(ABS(I65)&lt;=0.01,IF(ABS(G65)&gt;0.01,"СОШЛОСЬ ПОСЛЕ КОРР.","СОШЛОСЬ"),IF(ABS(G65)&gt;0.01,"ЧАСТИЧНО","НЕОПРЕДЕЛЕНО")))</x:f>
      </x:c>
      <x:c r="K65" s="190"/>
      <x:c r="L65" s="202"/>
      <x:c r="M65" s="214" t="str">
        <x:f>IF(COUNTA(K65:L65)=0,"",N(K65)-N(L65))</x:f>
      </x:c>
      <x:c r="N65" s="226" t="str">
        <x:f>IF(COUNTA(K65:L65)=0,"",SUMIFS('04_Влияние_ОПИУ'!$F$2:$F$2000,'04_Влияние_ОПИУ'!$B$2:$B$2000,"2025-02",'04_Влияние_ОПИУ'!$C$2:$C$2000,$A65,'04_Влияние_ОПИУ'!$G$2:$G$2000,"Да"))</x:f>
      </x:c>
      <x:c r="O65" s="238" t="str">
        <x:f>IF(COUNTA(K65:L65)=0,"",N(L65)+N(N65))</x:f>
      </x:c>
      <x:c r="P65" s="252" t="str">
        <x:f>IF(COUNTA(K65:L65)=0,"",N(K65)-N(O65))</x:f>
      </x:c>
      <x:c r="Q65" s="260" t="str">
        <x:f>IF(COUNTA(K65:L65)=0,"",IF(ABS(P65)&lt;=0.01,IF(ABS(N65)&gt;0.01,"СОШЛОСЬ ПОСЛЕ КОРР.","СОШЛОСЬ"),IF(ABS(N65)&gt;0.01,"ЧАСТИЧНО","НЕОПРЕДЕЛЕНО")))</x:f>
      </x:c>
      <x:c r="R65" s="190"/>
      <x:c r="S65" s="202"/>
      <x:c r="T65" s="214" t="str">
        <x:f>IF(COUNTA(R65:S65)=0,"",N(R65)-N(S65))</x:f>
      </x:c>
      <x:c r="U65" s="226" t="str">
        <x:f>IF(COUNTA(R65:S65)=0,"",SUMIFS('04_Влияние_ОПИУ'!$F$2:$F$2000,'04_Влияние_ОПИУ'!$B$2:$B$2000,"2025-03",'04_Влияние_ОПИУ'!$C$2:$C$2000,$A65,'04_Влияние_ОПИУ'!$G$2:$G$2000,"Да"))</x:f>
      </x:c>
      <x:c r="V65" s="238" t="str">
        <x:f>IF(COUNTA(R65:S65)=0,"",N(S65)+N(U65))</x:f>
      </x:c>
      <x:c r="W65" s="252" t="str">
        <x:f>IF(COUNTA(R65:S65)=0,"",N(R65)-N(V65))</x:f>
      </x:c>
      <x:c r="X65" s="260" t="str">
        <x:f>IF(COUNTA(R65:S65)=0,"",IF(ABS(W65)&lt;=0.01,IF(ABS(U65)&gt;0.01,"СОШЛОСЬ ПОСЛЕ КОРР.","СОШЛОСЬ"),IF(ABS(U65)&gt;0.01,"ЧАСТИЧНО","НЕОПРЕДЕЛЕНО")))</x:f>
      </x:c>
      <x:c r="Y65" s="190"/>
      <x:c r="Z65" s="202"/>
      <x:c r="AA65" s="214" t="str">
        <x:f>IF(COUNTA(Y65:Z65)=0,"",N(Y65)-N(Z65))</x:f>
      </x:c>
      <x:c r="AB65" s="226" t="str">
        <x:f>IF(COUNTA(Y65:Z65)=0,"",SUMIFS('04_Влияние_ОПИУ'!$F$2:$F$2000,'04_Влияние_ОПИУ'!$B$2:$B$2000,"2025-04",'04_Влияние_ОПИУ'!$C$2:$C$2000,$A65,'04_Влияние_ОПИУ'!$G$2:$G$2000,"Да"))</x:f>
      </x:c>
      <x:c r="AC65" s="238" t="str">
        <x:f>IF(COUNTA(Y65:Z65)=0,"",N(Z65)+N(AB65))</x:f>
      </x:c>
      <x:c r="AD65" s="252" t="str">
        <x:f>IF(COUNTA(Y65:Z65)=0,"",N(Y65)-N(AC65))</x:f>
      </x:c>
      <x:c r="AE65" s="260" t="str">
        <x:f>IF(COUNTA(Y65:Z65)=0,"",IF(ABS(AD65)&lt;=0.01,IF(ABS(AB65)&gt;0.01,"СОШЛОСЬ ПОСЛЕ КОРР.","СОШЛОСЬ"),IF(ABS(AB65)&gt;0.01,"ЧАСТИЧНО","НЕОПРЕДЕЛЕНО")))</x:f>
      </x:c>
      <x:c r="AF65" s="190"/>
      <x:c r="AG65" s="202"/>
      <x:c r="AH65" s="214" t="str">
        <x:f>IF(COUNTA(AF65:AG65)=0,"",N(AF65)-N(AG65))</x:f>
      </x:c>
      <x:c r="AI65" s="226" t="str">
        <x:f>IF(COUNTA(AF65:AG65)=0,"",SUMIFS('04_Влияние_ОПИУ'!$F$2:$F$2000,'04_Влияние_ОПИУ'!$B$2:$B$2000,"2025-05",'04_Влияние_ОПИУ'!$C$2:$C$2000,$A65,'04_Влияние_ОПИУ'!$G$2:$G$2000,"Да"))</x:f>
      </x:c>
      <x:c r="AJ65" s="238" t="str">
        <x:f>IF(COUNTA(AF65:AG65)=0,"",N(AG65)+N(AI65))</x:f>
      </x:c>
      <x:c r="AK65" s="252" t="str">
        <x:f>IF(COUNTA(AF65:AG65)=0,"",N(AF65)-N(AJ65))</x:f>
      </x:c>
      <x:c r="AL65" s="260" t="str">
        <x:f>IF(COUNTA(AF65:AG65)=0,"",IF(ABS(AK65)&lt;=0.01,IF(ABS(AI65)&gt;0.01,"СОШЛОСЬ ПОСЛЕ КОРР.","СОШЛОСЬ"),IF(ABS(AI65)&gt;0.01,"ЧАСТИЧНО","НЕОПРЕДЕЛЕНО")))</x:f>
      </x:c>
      <x:c r="AM65" s="190"/>
      <x:c r="AN65" s="202"/>
      <x:c r="AO65" s="214" t="str">
        <x:f>IF(COUNTA(AM65:AN65)=0,"",N(AM65)-N(AN65))</x:f>
      </x:c>
      <x:c r="AP65" s="226" t="str">
        <x:f>IF(COUNTA(AM65:AN65)=0,"",SUMIFS('04_Влияние_ОПИУ'!$F$2:$F$2000,'04_Влияние_ОПИУ'!$B$2:$B$2000,"2025-06",'04_Влияние_ОПИУ'!$C$2:$C$2000,$A65,'04_Влияние_ОПИУ'!$G$2:$G$2000,"Да"))</x:f>
      </x:c>
      <x:c r="AQ65" s="238" t="str">
        <x:f>IF(COUNTA(AM65:AN65)=0,"",N(AN65)+N(AP65))</x:f>
      </x:c>
      <x:c r="AR65" s="252" t="str">
        <x:f>IF(COUNTA(AM65:AN65)=0,"",N(AM65)-N(AQ65))</x:f>
      </x:c>
      <x:c r="AS65" s="260" t="str">
        <x:f>IF(COUNTA(AM65:AN65)=0,"",IF(ABS(AR65)&lt;=0.01,IF(ABS(AP65)&gt;0.01,"СОШЛОСЬ ПОСЛЕ КОРР.","СОШЛОСЬ"),IF(ABS(AP65)&gt;0.01,"ЧАСТИЧНО","НЕОПРЕДЕЛЕНО")))</x:f>
      </x:c>
      <x:c r="AT65" s="190"/>
      <x:c r="AU65" s="202"/>
      <x:c r="AV65" s="214" t="str">
        <x:f>IF(COUNTA(AT65:AU65)=0,"",N(AT65)-N(AU65))</x:f>
      </x:c>
      <x:c r="AW65" s="226" t="str">
        <x:f>IF(COUNTA(AT65:AU65)=0,"",SUMIFS('04_Влияние_ОПИУ'!$F$2:$F$2000,'04_Влияние_ОПИУ'!$B$2:$B$2000,"2025-07",'04_Влияние_ОПИУ'!$C$2:$C$2000,$A65,'04_Влияние_ОПИУ'!$G$2:$G$2000,"Да"))</x:f>
      </x:c>
      <x:c r="AX65" s="238" t="str">
        <x:f>IF(COUNTA(AT65:AU65)=0,"",N(AU65)+N(AW65))</x:f>
      </x:c>
      <x:c r="AY65" s="252" t="str">
        <x:f>IF(COUNTA(AT65:AU65)=0,"",N(AT65)-N(AX65))</x:f>
      </x:c>
      <x:c r="AZ65" s="260" t="str">
        <x:f>IF(COUNTA(AT65:AU65)=0,"",IF(ABS(AY65)&lt;=0.01,IF(ABS(AW65)&gt;0.01,"СОШЛОСЬ ПОСЛЕ КОРР.","СОШЛОСЬ"),IF(ABS(AW65)&gt;0.01,"ЧАСТИЧНО","НЕОПРЕДЕЛЕНО")))</x:f>
      </x:c>
      <x:c r="BA65" s="190"/>
      <x:c r="BB65" s="202"/>
      <x:c r="BC65" s="214" t="str">
        <x:f>IF(COUNTA(BA65:BB65)=0,"",N(BA65)-N(BB65))</x:f>
      </x:c>
      <x:c r="BD65" s="226" t="str">
        <x:f>IF(COUNTA(BA65:BB65)=0,"",SUMIFS('04_Влияние_ОПИУ'!$F$2:$F$2000,'04_Влияние_ОПИУ'!$B$2:$B$2000,"2025-08",'04_Влияние_ОПИУ'!$C$2:$C$2000,$A65,'04_Влияние_ОПИУ'!$G$2:$G$2000,"Да"))</x:f>
      </x:c>
      <x:c r="BE65" s="238" t="str">
        <x:f>IF(COUNTA(BA65:BB65)=0,"",N(BB65)+N(BD65))</x:f>
      </x:c>
      <x:c r="BF65" s="252" t="str">
        <x:f>IF(COUNTA(BA65:BB65)=0,"",N(BA65)-N(BE65))</x:f>
      </x:c>
      <x:c r="BG65" s="260" t="str">
        <x:f>IF(COUNTA(BA65:BB65)=0,"",IF(ABS(BF65)&lt;=0.01,IF(ABS(BD65)&gt;0.01,"СОШЛОСЬ ПОСЛЕ КОРР.","СОШЛОСЬ"),IF(ABS(BD65)&gt;0.01,"ЧАСТИЧНО","НЕОПРЕДЕЛЕНО")))</x:f>
      </x:c>
      <x:c r="BH65" s="190"/>
      <x:c r="BI65" s="202"/>
      <x:c r="BJ65" s="214" t="str">
        <x:f>IF(COUNTA(BH65:BI65)=0,"",N(BH65)-N(BI65))</x:f>
      </x:c>
      <x:c r="BK65" s="226" t="str">
        <x:f>IF(COUNTA(BH65:BI65)=0,"",SUMIFS('04_Влияние_ОПИУ'!$F$2:$F$2000,'04_Влияние_ОПИУ'!$B$2:$B$2000,"2025-09",'04_Влияние_ОПИУ'!$C$2:$C$2000,$A65,'04_Влияние_ОПИУ'!$G$2:$G$2000,"Да"))</x:f>
      </x:c>
      <x:c r="BL65" s="238" t="str">
        <x:f>IF(COUNTA(BH65:BI65)=0,"",N(BI65)+N(BK65))</x:f>
      </x:c>
      <x:c r="BM65" s="252" t="str">
        <x:f>IF(COUNTA(BH65:BI65)=0,"",N(BH65)-N(BL65))</x:f>
      </x:c>
      <x:c r="BN65" s="260" t="str">
        <x:f>IF(COUNTA(BH65:BI65)=0,"",IF(ABS(BM65)&lt;=0.01,IF(ABS(BK65)&gt;0.01,"СОШЛОСЬ ПОСЛЕ КОРР.","СОШЛОСЬ"),IF(ABS(BK65)&gt;0.01,"ЧАСТИЧНО","НЕОПРЕДЕЛЕНО")))</x:f>
      </x:c>
      <x:c r="BO65" s="190"/>
      <x:c r="BP65" s="202"/>
      <x:c r="BQ65" s="214" t="str">
        <x:f>IF(COUNTA(BO65:BP65)=0,"",N(BO65)-N(BP65))</x:f>
      </x:c>
      <x:c r="BR65" s="226" t="str">
        <x:f>IF(COUNTA(BO65:BP65)=0,"",SUMIFS('04_Влияние_ОПИУ'!$F$2:$F$2000,'04_Влияние_ОПИУ'!$B$2:$B$2000,"2025-10",'04_Влияние_ОПИУ'!$C$2:$C$2000,$A65,'04_Влияние_ОПИУ'!$G$2:$G$2000,"Да"))</x:f>
      </x:c>
      <x:c r="BS65" s="238" t="str">
        <x:f>IF(COUNTA(BO65:BP65)=0,"",N(BP65)+N(BR65))</x:f>
      </x:c>
      <x:c r="BT65" s="252" t="str">
        <x:f>IF(COUNTA(BO65:BP65)=0,"",N(BO65)-N(BS65))</x:f>
      </x:c>
      <x:c r="BU65" s="260" t="str">
        <x:f>IF(COUNTA(BO65:BP65)=0,"",IF(ABS(BT65)&lt;=0.01,IF(ABS(BR65)&gt;0.01,"СОШЛОСЬ ПОСЛЕ КОРР.","СОШЛОСЬ"),IF(ABS(BR65)&gt;0.01,"ЧАСТИЧНО","НЕОПРЕДЕЛЕНО")))</x:f>
      </x:c>
      <x:c r="BV65" s="190"/>
      <x:c r="BW65" s="202"/>
      <x:c r="BX65" s="214" t="str">
        <x:f>IF(COUNTA(BV65:BW65)=0,"",N(BV65)-N(BW65))</x:f>
      </x:c>
      <x:c r="BY65" s="226" t="str">
        <x:f>IF(COUNTA(BV65:BW65)=0,"",SUMIFS('04_Влияние_ОПИУ'!$F$2:$F$2000,'04_Влияние_ОПИУ'!$B$2:$B$2000,"2025-11",'04_Влияние_ОПИУ'!$C$2:$C$2000,$A65,'04_Влияние_ОПИУ'!$G$2:$G$2000,"Да"))</x:f>
      </x:c>
      <x:c r="BZ65" s="238" t="str">
        <x:f>IF(COUNTA(BV65:BW65)=0,"",N(BW65)+N(BY65))</x:f>
      </x:c>
      <x:c r="CA65" s="252" t="str">
        <x:f>IF(COUNTA(BV65:BW65)=0,"",N(BV65)-N(BZ65))</x:f>
      </x:c>
      <x:c r="CB65" s="260" t="str">
        <x:f>IF(COUNTA(BV65:BW65)=0,"",IF(ABS(CA65)&lt;=0.01,IF(ABS(BY65)&gt;0.01,"СОШЛОСЬ ПОСЛЕ КОРР.","СОШЛОСЬ"),IF(ABS(BY65)&gt;0.01,"ЧАСТИЧНО","НЕОПРЕДЕЛЕНО")))</x:f>
      </x:c>
      <x:c r="CC65" s="190"/>
      <x:c r="CD65" s="202"/>
      <x:c r="CE65" s="214" t="str">
        <x:f>IF(COUNTA(CC65:CD65)=0,"",N(CC65)-N(CD65))</x:f>
      </x:c>
      <x:c r="CF65" s="226" t="str">
        <x:f>IF(COUNTA(CC65:CD65)=0,"",SUMIFS('04_Влияние_ОПИУ'!$F$2:$F$2000,'04_Влияние_ОПИУ'!$B$2:$B$2000,"2025-12",'04_Влияние_ОПИУ'!$C$2:$C$2000,$A65,'04_Влияние_ОПИУ'!$G$2:$G$2000,"Да"))</x:f>
      </x:c>
      <x:c r="CG65" s="238" t="str">
        <x:f>IF(COUNTA(CC65:CD65)=0,"",N(CD65)+N(CF65))</x:f>
      </x:c>
      <x:c r="CH65" s="252" t="str">
        <x:f>IF(COUNTA(CC65:CD65)=0,"",N(CC65)-N(CG65))</x:f>
      </x:c>
      <x:c r="CI65" s="260" t="str">
        <x:f>IF(COUNTA(CC65:CD65)=0,"",IF(ABS(CH65)&lt;=0.01,IF(ABS(CF65)&gt;0.01,"СОШЛОСЬ ПОСЛЕ КОРР.","СОШЛОСЬ"),IF(ABS(CF65)&gt;0.01,"ЧАСТИЧНО","НЕОПРЕДЕЛЕНО")))</x:f>
      </x:c>
    </x:row>
    <x:row r="66">
      <x:c r="A66" s="174" t="str">
        <x:v>R061</x:v>
      </x:c>
      <x:c r="B66" s="174" t="str">
        <x:v>Внутрихолдинговые дивиденды</x:v>
      </x:c>
      <x:c r="C66" s="162" t="str">
        <x:v>_Статьи ОПиУ 2025</x:v>
      </x:c>
      <x:c r="D66" s="190"/>
      <x:c r="E66" s="202"/>
      <x:c r="F66" s="214" t="str">
        <x:f>IF(COUNTA(D66:E66)=0,"",N(D66)-N(E66))</x:f>
      </x:c>
      <x:c r="G66" s="226" t="str">
        <x:f>IF(COUNTA(D66:E66)=0,"",SUMIFS('04_Влияние_ОПИУ'!$F$2:$F$2000,'04_Влияние_ОПИУ'!$B$2:$B$2000,"2025-01",'04_Влияние_ОПИУ'!$C$2:$C$2000,$A66,'04_Влияние_ОПИУ'!$G$2:$G$2000,"Да"))</x:f>
      </x:c>
      <x:c r="H66" s="238" t="str">
        <x:f>IF(COUNTA(D66:E66)=0,"",N(E66)+N(G66))</x:f>
      </x:c>
      <x:c r="I66" s="252" t="str">
        <x:f>IF(COUNTA(D66:E66)=0,"",N(D66)-N(H66))</x:f>
      </x:c>
      <x:c r="J66" s="260" t="str">
        <x:f>IF(COUNTA(D66:E66)=0,"",IF(ABS(I66)&lt;=0.01,IF(ABS(G66)&gt;0.01,"СОШЛОСЬ ПОСЛЕ КОРР.","СОШЛОСЬ"),IF(ABS(G66)&gt;0.01,"ЧАСТИЧНО","НЕОПРЕДЕЛЕНО")))</x:f>
      </x:c>
      <x:c r="K66" s="190"/>
      <x:c r="L66" s="202"/>
      <x:c r="M66" s="214" t="str">
        <x:f>IF(COUNTA(K66:L66)=0,"",N(K66)-N(L66))</x:f>
      </x:c>
      <x:c r="N66" s="226" t="str">
        <x:f>IF(COUNTA(K66:L66)=0,"",SUMIFS('04_Влияние_ОПИУ'!$F$2:$F$2000,'04_Влияние_ОПИУ'!$B$2:$B$2000,"2025-02",'04_Влияние_ОПИУ'!$C$2:$C$2000,$A66,'04_Влияние_ОПИУ'!$G$2:$G$2000,"Да"))</x:f>
      </x:c>
      <x:c r="O66" s="238" t="str">
        <x:f>IF(COUNTA(K66:L66)=0,"",N(L66)+N(N66))</x:f>
      </x:c>
      <x:c r="P66" s="252" t="str">
        <x:f>IF(COUNTA(K66:L66)=0,"",N(K66)-N(O66))</x:f>
      </x:c>
      <x:c r="Q66" s="260" t="str">
        <x:f>IF(COUNTA(K66:L66)=0,"",IF(ABS(P66)&lt;=0.01,IF(ABS(N66)&gt;0.01,"СОШЛОСЬ ПОСЛЕ КОРР.","СОШЛОСЬ"),IF(ABS(N66)&gt;0.01,"ЧАСТИЧНО","НЕОПРЕДЕЛЕНО")))</x:f>
      </x:c>
      <x:c r="R66" s="190"/>
      <x:c r="S66" s="202"/>
      <x:c r="T66" s="214" t="str">
        <x:f>IF(COUNTA(R66:S66)=0,"",N(R66)-N(S66))</x:f>
      </x:c>
      <x:c r="U66" s="226" t="str">
        <x:f>IF(COUNTA(R66:S66)=0,"",SUMIFS('04_Влияние_ОПИУ'!$F$2:$F$2000,'04_Влияние_ОПИУ'!$B$2:$B$2000,"2025-03",'04_Влияние_ОПИУ'!$C$2:$C$2000,$A66,'04_Влияние_ОПИУ'!$G$2:$G$2000,"Да"))</x:f>
      </x:c>
      <x:c r="V66" s="238" t="str">
        <x:f>IF(COUNTA(R66:S66)=0,"",N(S66)+N(U66))</x:f>
      </x:c>
      <x:c r="W66" s="252" t="str">
        <x:f>IF(COUNTA(R66:S66)=0,"",N(R66)-N(V66))</x:f>
      </x:c>
      <x:c r="X66" s="260" t="str">
        <x:f>IF(COUNTA(R66:S66)=0,"",IF(ABS(W66)&lt;=0.01,IF(ABS(U66)&gt;0.01,"СОШЛОСЬ ПОСЛЕ КОРР.","СОШЛОСЬ"),IF(ABS(U66)&gt;0.01,"ЧАСТИЧНО","НЕОПРЕДЕЛЕНО")))</x:f>
      </x:c>
      <x:c r="Y66" s="190"/>
      <x:c r="Z66" s="202"/>
      <x:c r="AA66" s="214" t="str">
        <x:f>IF(COUNTA(Y66:Z66)=0,"",N(Y66)-N(Z66))</x:f>
      </x:c>
      <x:c r="AB66" s="226" t="str">
        <x:f>IF(COUNTA(Y66:Z66)=0,"",SUMIFS('04_Влияние_ОПИУ'!$F$2:$F$2000,'04_Влияние_ОПИУ'!$B$2:$B$2000,"2025-04",'04_Влияние_ОПИУ'!$C$2:$C$2000,$A66,'04_Влияние_ОПИУ'!$G$2:$G$2000,"Да"))</x:f>
      </x:c>
      <x:c r="AC66" s="238" t="str">
        <x:f>IF(COUNTA(Y66:Z66)=0,"",N(Z66)+N(AB66))</x:f>
      </x:c>
      <x:c r="AD66" s="252" t="str">
        <x:f>IF(COUNTA(Y66:Z66)=0,"",N(Y66)-N(AC66))</x:f>
      </x:c>
      <x:c r="AE66" s="260" t="str">
        <x:f>IF(COUNTA(Y66:Z66)=0,"",IF(ABS(AD66)&lt;=0.01,IF(ABS(AB66)&gt;0.01,"СОШЛОСЬ ПОСЛЕ КОРР.","СОШЛОСЬ"),IF(ABS(AB66)&gt;0.01,"ЧАСТИЧНО","НЕОПРЕДЕЛЕНО")))</x:f>
      </x:c>
      <x:c r="AF66" s="190"/>
      <x:c r="AG66" s="202"/>
      <x:c r="AH66" s="214" t="str">
        <x:f>IF(COUNTA(AF66:AG66)=0,"",N(AF66)-N(AG66))</x:f>
      </x:c>
      <x:c r="AI66" s="226" t="str">
        <x:f>IF(COUNTA(AF66:AG66)=0,"",SUMIFS('04_Влияние_ОПИУ'!$F$2:$F$2000,'04_Влияние_ОПИУ'!$B$2:$B$2000,"2025-05",'04_Влияние_ОПИУ'!$C$2:$C$2000,$A66,'04_Влияние_ОПИУ'!$G$2:$G$2000,"Да"))</x:f>
      </x:c>
      <x:c r="AJ66" s="238" t="str">
        <x:f>IF(COUNTA(AF66:AG66)=0,"",N(AG66)+N(AI66))</x:f>
      </x:c>
      <x:c r="AK66" s="252" t="str">
        <x:f>IF(COUNTA(AF66:AG66)=0,"",N(AF66)-N(AJ66))</x:f>
      </x:c>
      <x:c r="AL66" s="260" t="str">
        <x:f>IF(COUNTA(AF66:AG66)=0,"",IF(ABS(AK66)&lt;=0.01,IF(ABS(AI66)&gt;0.01,"СОШЛОСЬ ПОСЛЕ КОРР.","СОШЛОСЬ"),IF(ABS(AI66)&gt;0.01,"ЧАСТИЧНО","НЕОПРЕДЕЛЕНО")))</x:f>
      </x:c>
      <x:c r="AM66" s="190"/>
      <x:c r="AN66" s="202"/>
      <x:c r="AO66" s="214" t="str">
        <x:f>IF(COUNTA(AM66:AN66)=0,"",N(AM66)-N(AN66))</x:f>
      </x:c>
      <x:c r="AP66" s="226" t="str">
        <x:f>IF(COUNTA(AM66:AN66)=0,"",SUMIFS('04_Влияние_ОПИУ'!$F$2:$F$2000,'04_Влияние_ОПИУ'!$B$2:$B$2000,"2025-06",'04_Влияние_ОПИУ'!$C$2:$C$2000,$A66,'04_Влияние_ОПИУ'!$G$2:$G$2000,"Да"))</x:f>
      </x:c>
      <x:c r="AQ66" s="238" t="str">
        <x:f>IF(COUNTA(AM66:AN66)=0,"",N(AN66)+N(AP66))</x:f>
      </x:c>
      <x:c r="AR66" s="252" t="str">
        <x:f>IF(COUNTA(AM66:AN66)=0,"",N(AM66)-N(AQ66))</x:f>
      </x:c>
      <x:c r="AS66" s="260" t="str">
        <x:f>IF(COUNTA(AM66:AN66)=0,"",IF(ABS(AR66)&lt;=0.01,IF(ABS(AP66)&gt;0.01,"СОШЛОСЬ ПОСЛЕ КОРР.","СОШЛОСЬ"),IF(ABS(AP66)&gt;0.01,"ЧАСТИЧНО","НЕОПРЕДЕЛЕНО")))</x:f>
      </x:c>
      <x:c r="AT66" s="190"/>
      <x:c r="AU66" s="202"/>
      <x:c r="AV66" s="214" t="str">
        <x:f>IF(COUNTA(AT66:AU66)=0,"",N(AT66)-N(AU66))</x:f>
      </x:c>
      <x:c r="AW66" s="226" t="str">
        <x:f>IF(COUNTA(AT66:AU66)=0,"",SUMIFS('04_Влияние_ОПИУ'!$F$2:$F$2000,'04_Влияние_ОПИУ'!$B$2:$B$2000,"2025-07",'04_Влияние_ОПИУ'!$C$2:$C$2000,$A66,'04_Влияние_ОПИУ'!$G$2:$G$2000,"Да"))</x:f>
      </x:c>
      <x:c r="AX66" s="238" t="str">
        <x:f>IF(COUNTA(AT66:AU66)=0,"",N(AU66)+N(AW66))</x:f>
      </x:c>
      <x:c r="AY66" s="252" t="str">
        <x:f>IF(COUNTA(AT66:AU66)=0,"",N(AT66)-N(AX66))</x:f>
      </x:c>
      <x:c r="AZ66" s="260" t="str">
        <x:f>IF(COUNTA(AT66:AU66)=0,"",IF(ABS(AY66)&lt;=0.01,IF(ABS(AW66)&gt;0.01,"СОШЛОСЬ ПОСЛЕ КОРР.","СОШЛОСЬ"),IF(ABS(AW66)&gt;0.01,"ЧАСТИЧНО","НЕОПРЕДЕЛЕНО")))</x:f>
      </x:c>
      <x:c r="BA66" s="190"/>
      <x:c r="BB66" s="202"/>
      <x:c r="BC66" s="214" t="str">
        <x:f>IF(COUNTA(BA66:BB66)=0,"",N(BA66)-N(BB66))</x:f>
      </x:c>
      <x:c r="BD66" s="226" t="str">
        <x:f>IF(COUNTA(BA66:BB66)=0,"",SUMIFS('04_Влияние_ОПИУ'!$F$2:$F$2000,'04_Влияние_ОПИУ'!$B$2:$B$2000,"2025-08",'04_Влияние_ОПИУ'!$C$2:$C$2000,$A66,'04_Влияние_ОПИУ'!$G$2:$G$2000,"Да"))</x:f>
      </x:c>
      <x:c r="BE66" s="238" t="str">
        <x:f>IF(COUNTA(BA66:BB66)=0,"",N(BB66)+N(BD66))</x:f>
      </x:c>
      <x:c r="BF66" s="252" t="str">
        <x:f>IF(COUNTA(BA66:BB66)=0,"",N(BA66)-N(BE66))</x:f>
      </x:c>
      <x:c r="BG66" s="260" t="str">
        <x:f>IF(COUNTA(BA66:BB66)=0,"",IF(ABS(BF66)&lt;=0.01,IF(ABS(BD66)&gt;0.01,"СОШЛОСЬ ПОСЛЕ КОРР.","СОШЛОСЬ"),IF(ABS(BD66)&gt;0.01,"ЧАСТИЧНО","НЕОПРЕДЕЛЕНО")))</x:f>
      </x:c>
      <x:c r="BH66" s="190"/>
      <x:c r="BI66" s="202"/>
      <x:c r="BJ66" s="214" t="str">
        <x:f>IF(COUNTA(BH66:BI66)=0,"",N(BH66)-N(BI66))</x:f>
      </x:c>
      <x:c r="BK66" s="226" t="str">
        <x:f>IF(COUNTA(BH66:BI66)=0,"",SUMIFS('04_Влияние_ОПИУ'!$F$2:$F$2000,'04_Влияние_ОПИУ'!$B$2:$B$2000,"2025-09",'04_Влияние_ОПИУ'!$C$2:$C$2000,$A66,'04_Влияние_ОПИУ'!$G$2:$G$2000,"Да"))</x:f>
      </x:c>
      <x:c r="BL66" s="238" t="str">
        <x:f>IF(COUNTA(BH66:BI66)=0,"",N(BI66)+N(BK66))</x:f>
      </x:c>
      <x:c r="BM66" s="252" t="str">
        <x:f>IF(COUNTA(BH66:BI66)=0,"",N(BH66)-N(BL66))</x:f>
      </x:c>
      <x:c r="BN66" s="260" t="str">
        <x:f>IF(COUNTA(BH66:BI66)=0,"",IF(ABS(BM66)&lt;=0.01,IF(ABS(BK66)&gt;0.01,"СОШЛОСЬ ПОСЛЕ КОРР.","СОШЛОСЬ"),IF(ABS(BK66)&gt;0.01,"ЧАСТИЧНО","НЕОПРЕДЕЛЕНО")))</x:f>
      </x:c>
      <x:c r="BO66" s="190"/>
      <x:c r="BP66" s="202"/>
      <x:c r="BQ66" s="214" t="str">
        <x:f>IF(COUNTA(BO66:BP66)=0,"",N(BO66)-N(BP66))</x:f>
      </x:c>
      <x:c r="BR66" s="226" t="str">
        <x:f>IF(COUNTA(BO66:BP66)=0,"",SUMIFS('04_Влияние_ОПИУ'!$F$2:$F$2000,'04_Влияние_ОПИУ'!$B$2:$B$2000,"2025-10",'04_Влияние_ОПИУ'!$C$2:$C$2000,$A66,'04_Влияние_ОПИУ'!$G$2:$G$2000,"Да"))</x:f>
      </x:c>
      <x:c r="BS66" s="238" t="str">
        <x:f>IF(COUNTA(BO66:BP66)=0,"",N(BP66)+N(BR66))</x:f>
      </x:c>
      <x:c r="BT66" s="252" t="str">
        <x:f>IF(COUNTA(BO66:BP66)=0,"",N(BO66)-N(BS66))</x:f>
      </x:c>
      <x:c r="BU66" s="260" t="str">
        <x:f>IF(COUNTA(BO66:BP66)=0,"",IF(ABS(BT66)&lt;=0.01,IF(ABS(BR66)&gt;0.01,"СОШЛОСЬ ПОСЛЕ КОРР.","СОШЛОСЬ"),IF(ABS(BR66)&gt;0.01,"ЧАСТИЧНО","НЕОПРЕДЕЛЕНО")))</x:f>
      </x:c>
      <x:c r="BV66" s="190"/>
      <x:c r="BW66" s="202"/>
      <x:c r="BX66" s="214" t="str">
        <x:f>IF(COUNTA(BV66:BW66)=0,"",N(BV66)-N(BW66))</x:f>
      </x:c>
      <x:c r="BY66" s="226" t="str">
        <x:f>IF(COUNTA(BV66:BW66)=0,"",SUMIFS('04_Влияние_ОПИУ'!$F$2:$F$2000,'04_Влияние_ОПИУ'!$B$2:$B$2000,"2025-11",'04_Влияние_ОПИУ'!$C$2:$C$2000,$A66,'04_Влияние_ОПИУ'!$G$2:$G$2000,"Да"))</x:f>
      </x:c>
      <x:c r="BZ66" s="238" t="str">
        <x:f>IF(COUNTA(BV66:BW66)=0,"",N(BW66)+N(BY66))</x:f>
      </x:c>
      <x:c r="CA66" s="252" t="str">
        <x:f>IF(COUNTA(BV66:BW66)=0,"",N(BV66)-N(BZ66))</x:f>
      </x:c>
      <x:c r="CB66" s="260" t="str">
        <x:f>IF(COUNTA(BV66:BW66)=0,"",IF(ABS(CA66)&lt;=0.01,IF(ABS(BY66)&gt;0.01,"СОШЛОСЬ ПОСЛЕ КОРР.","СОШЛОСЬ"),IF(ABS(BY66)&gt;0.01,"ЧАСТИЧНО","НЕОПРЕДЕЛЕНО")))</x:f>
      </x:c>
      <x:c r="CC66" s="190"/>
      <x:c r="CD66" s="202"/>
      <x:c r="CE66" s="214" t="str">
        <x:f>IF(COUNTA(CC66:CD66)=0,"",N(CC66)-N(CD66))</x:f>
      </x:c>
      <x:c r="CF66" s="226" t="str">
        <x:f>IF(COUNTA(CC66:CD66)=0,"",SUMIFS('04_Влияние_ОПИУ'!$F$2:$F$2000,'04_Влияние_ОПИУ'!$B$2:$B$2000,"2025-12",'04_Влияние_ОПИУ'!$C$2:$C$2000,$A66,'04_Влияние_ОПИУ'!$G$2:$G$2000,"Да"))</x:f>
      </x:c>
      <x:c r="CG66" s="238" t="str">
        <x:f>IF(COUNTA(CC66:CD66)=0,"",N(CD66)+N(CF66))</x:f>
      </x:c>
      <x:c r="CH66" s="252" t="str">
        <x:f>IF(COUNTA(CC66:CD66)=0,"",N(CC66)-N(CG66))</x:f>
      </x:c>
      <x:c r="CI66" s="260" t="str">
        <x:f>IF(COUNTA(CC66:CD66)=0,"",IF(ABS(CH66)&lt;=0.01,IF(ABS(CF66)&gt;0.01,"СОШЛОСЬ ПОСЛЕ КОРР.","СОШЛОСЬ"),IF(ABS(CF66)&gt;0.01,"ЧАСТИЧНО","НЕОПРЕДЕЛЕНО")))</x:f>
      </x:c>
    </x:row>
    <x:row r="67">
      <x:c r="A67" s="174" t="str">
        <x:v>R062</x:v>
      </x:c>
      <x:c r="B67" s="174" t="str">
        <x:v>Дивиденды начисленные</x:v>
      </x:c>
      <x:c r="C67" s="162" t="str">
        <x:v>Дивиденды начисленные</x:v>
      </x:c>
      <x:c r="D67" s="190"/>
      <x:c r="E67" s="202"/>
      <x:c r="F67" s="214" t="str">
        <x:f>IF(COUNTA(D67:E67)=0,"",N(D67)-N(E67))</x:f>
      </x:c>
      <x:c r="G67" s="226" t="str">
        <x:f>IF(COUNTA(D67:E67)=0,"",SUMIFS('04_Влияние_ОПИУ'!$F$2:$F$2000,'04_Влияние_ОПИУ'!$B$2:$B$2000,"2025-01",'04_Влияние_ОПИУ'!$C$2:$C$2000,$A67,'04_Влияние_ОПИУ'!$G$2:$G$2000,"Да"))</x:f>
      </x:c>
      <x:c r="H67" s="238" t="str">
        <x:f>IF(COUNTA(D67:E67)=0,"",N(E67)+N(G67))</x:f>
      </x:c>
      <x:c r="I67" s="252" t="str">
        <x:f>IF(COUNTA(D67:E67)=0,"",N(D67)-N(H67))</x:f>
      </x:c>
      <x:c r="J67" s="260" t="str">
        <x:f>IF(COUNTA(D67:E67)=0,"",IF(ABS(I67)&lt;=0.01,IF(ABS(G67)&gt;0.01,"СОШЛОСЬ ПОСЛЕ КОРР.","СОШЛОСЬ"),IF(ABS(G67)&gt;0.01,"ЧАСТИЧНО","НЕОПРЕДЕЛЕНО")))</x:f>
      </x:c>
      <x:c r="K67" s="190"/>
      <x:c r="L67" s="202"/>
      <x:c r="M67" s="214" t="str">
        <x:f>IF(COUNTA(K67:L67)=0,"",N(K67)-N(L67))</x:f>
      </x:c>
      <x:c r="N67" s="226" t="str">
        <x:f>IF(COUNTA(K67:L67)=0,"",SUMIFS('04_Влияние_ОПИУ'!$F$2:$F$2000,'04_Влияние_ОПИУ'!$B$2:$B$2000,"2025-02",'04_Влияние_ОПИУ'!$C$2:$C$2000,$A67,'04_Влияние_ОПИУ'!$G$2:$G$2000,"Да"))</x:f>
      </x:c>
      <x:c r="O67" s="238" t="str">
        <x:f>IF(COUNTA(K67:L67)=0,"",N(L67)+N(N67))</x:f>
      </x:c>
      <x:c r="P67" s="252" t="str">
        <x:f>IF(COUNTA(K67:L67)=0,"",N(K67)-N(O67))</x:f>
      </x:c>
      <x:c r="Q67" s="260" t="str">
        <x:f>IF(COUNTA(K67:L67)=0,"",IF(ABS(P67)&lt;=0.01,IF(ABS(N67)&gt;0.01,"СОШЛОСЬ ПОСЛЕ КОРР.","СОШЛОСЬ"),IF(ABS(N67)&gt;0.01,"ЧАСТИЧНО","НЕОПРЕДЕЛЕНО")))</x:f>
      </x:c>
      <x:c r="R67" s="190"/>
      <x:c r="S67" s="202"/>
      <x:c r="T67" s="214" t="str">
        <x:f>IF(COUNTA(R67:S67)=0,"",N(R67)-N(S67))</x:f>
      </x:c>
      <x:c r="U67" s="226" t="str">
        <x:f>IF(COUNTA(R67:S67)=0,"",SUMIFS('04_Влияние_ОПИУ'!$F$2:$F$2000,'04_Влияние_ОПИУ'!$B$2:$B$2000,"2025-03",'04_Влияние_ОПИУ'!$C$2:$C$2000,$A67,'04_Влияние_ОПИУ'!$G$2:$G$2000,"Да"))</x:f>
      </x:c>
      <x:c r="V67" s="238" t="str">
        <x:f>IF(COUNTA(R67:S67)=0,"",N(S67)+N(U67))</x:f>
      </x:c>
      <x:c r="W67" s="252" t="str">
        <x:f>IF(COUNTA(R67:S67)=0,"",N(R67)-N(V67))</x:f>
      </x:c>
      <x:c r="X67" s="260" t="str">
        <x:f>IF(COUNTA(R67:S67)=0,"",IF(ABS(W67)&lt;=0.01,IF(ABS(U67)&gt;0.01,"СОШЛОСЬ ПОСЛЕ КОРР.","СОШЛОСЬ"),IF(ABS(U67)&gt;0.01,"ЧАСТИЧНО","НЕОПРЕДЕЛЕНО")))</x:f>
      </x:c>
      <x:c r="Y67" s="190"/>
      <x:c r="Z67" s="202"/>
      <x:c r="AA67" s="214" t="str">
        <x:f>IF(COUNTA(Y67:Z67)=0,"",N(Y67)-N(Z67))</x:f>
      </x:c>
      <x:c r="AB67" s="226" t="str">
        <x:f>IF(COUNTA(Y67:Z67)=0,"",SUMIFS('04_Влияние_ОПИУ'!$F$2:$F$2000,'04_Влияние_ОПИУ'!$B$2:$B$2000,"2025-04",'04_Влияние_ОПИУ'!$C$2:$C$2000,$A67,'04_Влияние_ОПИУ'!$G$2:$G$2000,"Да"))</x:f>
      </x:c>
      <x:c r="AC67" s="238" t="str">
        <x:f>IF(COUNTA(Y67:Z67)=0,"",N(Z67)+N(AB67))</x:f>
      </x:c>
      <x:c r="AD67" s="252" t="str">
        <x:f>IF(COUNTA(Y67:Z67)=0,"",N(Y67)-N(AC67))</x:f>
      </x:c>
      <x:c r="AE67" s="260" t="str">
        <x:f>IF(COUNTA(Y67:Z67)=0,"",IF(ABS(AD67)&lt;=0.01,IF(ABS(AB67)&gt;0.01,"СОШЛОСЬ ПОСЛЕ КОРР.","СОШЛОСЬ"),IF(ABS(AB67)&gt;0.01,"ЧАСТИЧНО","НЕОПРЕДЕЛЕНО")))</x:f>
      </x:c>
      <x:c r="AF67" s="190"/>
      <x:c r="AG67" s="202"/>
      <x:c r="AH67" s="214" t="str">
        <x:f>IF(COUNTA(AF67:AG67)=0,"",N(AF67)-N(AG67))</x:f>
      </x:c>
      <x:c r="AI67" s="226" t="str">
        <x:f>IF(COUNTA(AF67:AG67)=0,"",SUMIFS('04_Влияние_ОПИУ'!$F$2:$F$2000,'04_Влияние_ОПИУ'!$B$2:$B$2000,"2025-05",'04_Влияние_ОПИУ'!$C$2:$C$2000,$A67,'04_Влияние_ОПИУ'!$G$2:$G$2000,"Да"))</x:f>
      </x:c>
      <x:c r="AJ67" s="238" t="str">
        <x:f>IF(COUNTA(AF67:AG67)=0,"",N(AG67)+N(AI67))</x:f>
      </x:c>
      <x:c r="AK67" s="252" t="str">
        <x:f>IF(COUNTA(AF67:AG67)=0,"",N(AF67)-N(AJ67))</x:f>
      </x:c>
      <x:c r="AL67" s="260" t="str">
        <x:f>IF(COUNTA(AF67:AG67)=0,"",IF(ABS(AK67)&lt;=0.01,IF(ABS(AI67)&gt;0.01,"СОШЛОСЬ ПОСЛЕ КОРР.","СОШЛОСЬ"),IF(ABS(AI67)&gt;0.01,"ЧАСТИЧНО","НЕОПРЕДЕЛЕНО")))</x:f>
      </x:c>
      <x:c r="AM67" s="190"/>
      <x:c r="AN67" s="202"/>
      <x:c r="AO67" s="214" t="str">
        <x:f>IF(COUNTA(AM67:AN67)=0,"",N(AM67)-N(AN67))</x:f>
      </x:c>
      <x:c r="AP67" s="226" t="str">
        <x:f>IF(COUNTA(AM67:AN67)=0,"",SUMIFS('04_Влияние_ОПИУ'!$F$2:$F$2000,'04_Влияние_ОПИУ'!$B$2:$B$2000,"2025-06",'04_Влияние_ОПИУ'!$C$2:$C$2000,$A67,'04_Влияние_ОПИУ'!$G$2:$G$2000,"Да"))</x:f>
      </x:c>
      <x:c r="AQ67" s="238" t="str">
        <x:f>IF(COUNTA(AM67:AN67)=0,"",N(AN67)+N(AP67))</x:f>
      </x:c>
      <x:c r="AR67" s="252" t="str">
        <x:f>IF(COUNTA(AM67:AN67)=0,"",N(AM67)-N(AQ67))</x:f>
      </x:c>
      <x:c r="AS67" s="260" t="str">
        <x:f>IF(COUNTA(AM67:AN67)=0,"",IF(ABS(AR67)&lt;=0.01,IF(ABS(AP67)&gt;0.01,"СОШЛОСЬ ПОСЛЕ КОРР.","СОШЛОСЬ"),IF(ABS(AP67)&gt;0.01,"ЧАСТИЧНО","НЕОПРЕДЕЛЕНО")))</x:f>
      </x:c>
      <x:c r="AT67" s="190"/>
      <x:c r="AU67" s="202"/>
      <x:c r="AV67" s="214" t="str">
        <x:f>IF(COUNTA(AT67:AU67)=0,"",N(AT67)-N(AU67))</x:f>
      </x:c>
      <x:c r="AW67" s="226" t="str">
        <x:f>IF(COUNTA(AT67:AU67)=0,"",SUMIFS('04_Влияние_ОПИУ'!$F$2:$F$2000,'04_Влияние_ОПИУ'!$B$2:$B$2000,"2025-07",'04_Влияние_ОПИУ'!$C$2:$C$2000,$A67,'04_Влияние_ОПИУ'!$G$2:$G$2000,"Да"))</x:f>
      </x:c>
      <x:c r="AX67" s="238" t="str">
        <x:f>IF(COUNTA(AT67:AU67)=0,"",N(AU67)+N(AW67))</x:f>
      </x:c>
      <x:c r="AY67" s="252" t="str">
        <x:f>IF(COUNTA(AT67:AU67)=0,"",N(AT67)-N(AX67))</x:f>
      </x:c>
      <x:c r="AZ67" s="260" t="str">
        <x:f>IF(COUNTA(AT67:AU67)=0,"",IF(ABS(AY67)&lt;=0.01,IF(ABS(AW67)&gt;0.01,"СОШЛОСЬ ПОСЛЕ КОРР.","СОШЛОСЬ"),IF(ABS(AW67)&gt;0.01,"ЧАСТИЧНО","НЕОПРЕДЕЛЕНО")))</x:f>
      </x:c>
      <x:c r="BA67" s="190"/>
      <x:c r="BB67" s="202"/>
      <x:c r="BC67" s="214" t="str">
        <x:f>IF(COUNTA(BA67:BB67)=0,"",N(BA67)-N(BB67))</x:f>
      </x:c>
      <x:c r="BD67" s="226" t="str">
        <x:f>IF(COUNTA(BA67:BB67)=0,"",SUMIFS('04_Влияние_ОПИУ'!$F$2:$F$2000,'04_Влияние_ОПИУ'!$B$2:$B$2000,"2025-08",'04_Влияние_ОПИУ'!$C$2:$C$2000,$A67,'04_Влияние_ОПИУ'!$G$2:$G$2000,"Да"))</x:f>
      </x:c>
      <x:c r="BE67" s="238" t="str">
        <x:f>IF(COUNTA(BA67:BB67)=0,"",N(BB67)+N(BD67))</x:f>
      </x:c>
      <x:c r="BF67" s="252" t="str">
        <x:f>IF(COUNTA(BA67:BB67)=0,"",N(BA67)-N(BE67))</x:f>
      </x:c>
      <x:c r="BG67" s="260" t="str">
        <x:f>IF(COUNTA(BA67:BB67)=0,"",IF(ABS(BF67)&lt;=0.01,IF(ABS(BD67)&gt;0.01,"СОШЛОСЬ ПОСЛЕ КОРР.","СОШЛОСЬ"),IF(ABS(BD67)&gt;0.01,"ЧАСТИЧНО","НЕОПРЕДЕЛЕНО")))</x:f>
      </x:c>
      <x:c r="BH67" s="190"/>
      <x:c r="BI67" s="202"/>
      <x:c r="BJ67" s="214" t="str">
        <x:f>IF(COUNTA(BH67:BI67)=0,"",N(BH67)-N(BI67))</x:f>
      </x:c>
      <x:c r="BK67" s="226" t="str">
        <x:f>IF(COUNTA(BH67:BI67)=0,"",SUMIFS('04_Влияние_ОПИУ'!$F$2:$F$2000,'04_Влияние_ОПИУ'!$B$2:$B$2000,"2025-09",'04_Влияние_ОПИУ'!$C$2:$C$2000,$A67,'04_Влияние_ОПИУ'!$G$2:$G$2000,"Да"))</x:f>
      </x:c>
      <x:c r="BL67" s="238" t="str">
        <x:f>IF(COUNTA(BH67:BI67)=0,"",N(BI67)+N(BK67))</x:f>
      </x:c>
      <x:c r="BM67" s="252" t="str">
        <x:f>IF(COUNTA(BH67:BI67)=0,"",N(BH67)-N(BL67))</x:f>
      </x:c>
      <x:c r="BN67" s="260" t="str">
        <x:f>IF(COUNTA(BH67:BI67)=0,"",IF(ABS(BM67)&lt;=0.01,IF(ABS(BK67)&gt;0.01,"СОШЛОСЬ ПОСЛЕ КОРР.","СОШЛОСЬ"),IF(ABS(BK67)&gt;0.01,"ЧАСТИЧНО","НЕОПРЕДЕЛЕНО")))</x:f>
      </x:c>
      <x:c r="BO67" s="190"/>
      <x:c r="BP67" s="202"/>
      <x:c r="BQ67" s="214" t="str">
        <x:f>IF(COUNTA(BO67:BP67)=0,"",N(BO67)-N(BP67))</x:f>
      </x:c>
      <x:c r="BR67" s="226" t="str">
        <x:f>IF(COUNTA(BO67:BP67)=0,"",SUMIFS('04_Влияние_ОПИУ'!$F$2:$F$2000,'04_Влияние_ОПИУ'!$B$2:$B$2000,"2025-10",'04_Влияние_ОПИУ'!$C$2:$C$2000,$A67,'04_Влияние_ОПИУ'!$G$2:$G$2000,"Да"))</x:f>
      </x:c>
      <x:c r="BS67" s="238" t="str">
        <x:f>IF(COUNTA(BO67:BP67)=0,"",N(BP67)+N(BR67))</x:f>
      </x:c>
      <x:c r="BT67" s="252" t="str">
        <x:f>IF(COUNTA(BO67:BP67)=0,"",N(BO67)-N(BS67))</x:f>
      </x:c>
      <x:c r="BU67" s="260" t="str">
        <x:f>IF(COUNTA(BO67:BP67)=0,"",IF(ABS(BT67)&lt;=0.01,IF(ABS(BR67)&gt;0.01,"СОШЛОСЬ ПОСЛЕ КОРР.","СОШЛОСЬ"),IF(ABS(BR67)&gt;0.01,"ЧАСТИЧНО","НЕОПРЕДЕЛЕНО")))</x:f>
      </x:c>
      <x:c r="BV67" s="190"/>
      <x:c r="BW67" s="202"/>
      <x:c r="BX67" s="214" t="str">
        <x:f>IF(COUNTA(BV67:BW67)=0,"",N(BV67)-N(BW67))</x:f>
      </x:c>
      <x:c r="BY67" s="226" t="str">
        <x:f>IF(COUNTA(BV67:BW67)=0,"",SUMIFS('04_Влияние_ОПИУ'!$F$2:$F$2000,'04_Влияние_ОПИУ'!$B$2:$B$2000,"2025-11",'04_Влияние_ОПИУ'!$C$2:$C$2000,$A67,'04_Влияние_ОПИУ'!$G$2:$G$2000,"Да"))</x:f>
      </x:c>
      <x:c r="BZ67" s="238" t="str">
        <x:f>IF(COUNTA(BV67:BW67)=0,"",N(BW67)+N(BY67))</x:f>
      </x:c>
      <x:c r="CA67" s="252" t="str">
        <x:f>IF(COUNTA(BV67:BW67)=0,"",N(BV67)-N(BZ67))</x:f>
      </x:c>
      <x:c r="CB67" s="260" t="str">
        <x:f>IF(COUNTA(BV67:BW67)=0,"",IF(ABS(CA67)&lt;=0.01,IF(ABS(BY67)&gt;0.01,"СОШЛОСЬ ПОСЛЕ КОРР.","СОШЛОСЬ"),IF(ABS(BY67)&gt;0.01,"ЧАСТИЧНО","НЕОПРЕДЕЛЕНО")))</x:f>
      </x:c>
      <x:c r="CC67" s="190"/>
      <x:c r="CD67" s="202"/>
      <x:c r="CE67" s="214" t="str">
        <x:f>IF(COUNTA(CC67:CD67)=0,"",N(CC67)-N(CD67))</x:f>
      </x:c>
      <x:c r="CF67" s="226" t="str">
        <x:f>IF(COUNTA(CC67:CD67)=0,"",SUMIFS('04_Влияние_ОПИУ'!$F$2:$F$2000,'04_Влияние_ОПИУ'!$B$2:$B$2000,"2025-12",'04_Влияние_ОПИУ'!$C$2:$C$2000,$A67,'04_Влияние_ОПИУ'!$G$2:$G$2000,"Да"))</x:f>
      </x:c>
      <x:c r="CG67" s="238" t="str">
        <x:f>IF(COUNTA(CC67:CD67)=0,"",N(CD67)+N(CF67))</x:f>
      </x:c>
      <x:c r="CH67" s="252" t="str">
        <x:f>IF(COUNTA(CC67:CD67)=0,"",N(CC67)-N(CG67))</x:f>
      </x:c>
      <x:c r="CI67" s="260" t="str">
        <x:f>IF(COUNTA(CC67:CD67)=0,"",IF(ABS(CH67)&lt;=0.01,IF(ABS(CF67)&gt;0.01,"СОШЛОСЬ ПОСЛЕ КОРР.","СОШЛОСЬ"),IF(ABS(CF67)&gt;0.01,"ЧАСТИЧНО","НЕОПРЕДЕЛЕНО")))</x:f>
      </x:c>
    </x:row>
    <x:row r="68">
      <x:c r="A68" s="158" t="str">
        <x:v>R063</x:v>
      </x:c>
      <x:c r="B68" s="158" t="str">
        <x:v>  Дивиденды учредителям</x:v>
      </x:c>
      <x:c r="C68" s="162" t="str">
        <x:v>  Дивиденды учредителям</x:v>
      </x:c>
      <x:c r="D68" s="190"/>
      <x:c r="E68" s="202"/>
      <x:c r="F68" s="214" t="str">
        <x:f>IF(COUNTA(D68:E68)=0,"",N(D68)-N(E68))</x:f>
      </x:c>
      <x:c r="G68" s="226" t="str">
        <x:f>IF(COUNTA(D68:E68)=0,"",SUMIFS('04_Влияние_ОПИУ'!$F$2:$F$2000,'04_Влияние_ОПИУ'!$B$2:$B$2000,"2025-01",'04_Влияние_ОПИУ'!$C$2:$C$2000,$A68,'04_Влияние_ОПИУ'!$G$2:$G$2000,"Да"))</x:f>
      </x:c>
      <x:c r="H68" s="238" t="str">
        <x:f>IF(COUNTA(D68:E68)=0,"",N(E68)+N(G68))</x:f>
      </x:c>
      <x:c r="I68" s="252" t="str">
        <x:f>IF(COUNTA(D68:E68)=0,"",N(D68)-N(H68))</x:f>
      </x:c>
      <x:c r="J68" s="260" t="str">
        <x:f>IF(COUNTA(D68:E68)=0,"",IF(ABS(I68)&lt;=0.01,IF(ABS(G68)&gt;0.01,"СОШЛОСЬ ПОСЛЕ КОРР.","СОШЛОСЬ"),IF(ABS(G68)&gt;0.01,"ЧАСТИЧНО","НЕОПРЕДЕЛЕНО")))</x:f>
      </x:c>
      <x:c r="K68" s="190"/>
      <x:c r="L68" s="202"/>
      <x:c r="M68" s="214" t="str">
        <x:f>IF(COUNTA(K68:L68)=0,"",N(K68)-N(L68))</x:f>
      </x:c>
      <x:c r="N68" s="226" t="str">
        <x:f>IF(COUNTA(K68:L68)=0,"",SUMIFS('04_Влияние_ОПИУ'!$F$2:$F$2000,'04_Влияние_ОПИУ'!$B$2:$B$2000,"2025-02",'04_Влияние_ОПИУ'!$C$2:$C$2000,$A68,'04_Влияние_ОПИУ'!$G$2:$G$2000,"Да"))</x:f>
      </x:c>
      <x:c r="O68" s="238" t="str">
        <x:f>IF(COUNTA(K68:L68)=0,"",N(L68)+N(N68))</x:f>
      </x:c>
      <x:c r="P68" s="252" t="str">
        <x:f>IF(COUNTA(K68:L68)=0,"",N(K68)-N(O68))</x:f>
      </x:c>
      <x:c r="Q68" s="260" t="str">
        <x:f>IF(COUNTA(K68:L68)=0,"",IF(ABS(P68)&lt;=0.01,IF(ABS(N68)&gt;0.01,"СОШЛОСЬ ПОСЛЕ КОРР.","СОШЛОСЬ"),IF(ABS(N68)&gt;0.01,"ЧАСТИЧНО","НЕОПРЕДЕЛЕНО")))</x:f>
      </x:c>
      <x:c r="R68" s="190"/>
      <x:c r="S68" s="202"/>
      <x:c r="T68" s="214" t="str">
        <x:f>IF(COUNTA(R68:S68)=0,"",N(R68)-N(S68))</x:f>
      </x:c>
      <x:c r="U68" s="226" t="str">
        <x:f>IF(COUNTA(R68:S68)=0,"",SUMIFS('04_Влияние_ОПИУ'!$F$2:$F$2000,'04_Влияние_ОПИУ'!$B$2:$B$2000,"2025-03",'04_Влияние_ОПИУ'!$C$2:$C$2000,$A68,'04_Влияние_ОПИУ'!$G$2:$G$2000,"Да"))</x:f>
      </x:c>
      <x:c r="V68" s="238" t="str">
        <x:f>IF(COUNTA(R68:S68)=0,"",N(S68)+N(U68))</x:f>
      </x:c>
      <x:c r="W68" s="252" t="str">
        <x:f>IF(COUNTA(R68:S68)=0,"",N(R68)-N(V68))</x:f>
      </x:c>
      <x:c r="X68" s="260" t="str">
        <x:f>IF(COUNTA(R68:S68)=0,"",IF(ABS(W68)&lt;=0.01,IF(ABS(U68)&gt;0.01,"СОШЛОСЬ ПОСЛЕ КОРР.","СОШЛОСЬ"),IF(ABS(U68)&gt;0.01,"ЧАСТИЧНО","НЕОПРЕДЕЛЕНО")))</x:f>
      </x:c>
      <x:c r="Y68" s="190"/>
      <x:c r="Z68" s="202"/>
      <x:c r="AA68" s="214" t="str">
        <x:f>IF(COUNTA(Y68:Z68)=0,"",N(Y68)-N(Z68))</x:f>
      </x:c>
      <x:c r="AB68" s="226" t="str">
        <x:f>IF(COUNTA(Y68:Z68)=0,"",SUMIFS('04_Влияние_ОПИУ'!$F$2:$F$2000,'04_Влияние_ОПИУ'!$B$2:$B$2000,"2025-04",'04_Влияние_ОПИУ'!$C$2:$C$2000,$A68,'04_Влияние_ОПИУ'!$G$2:$G$2000,"Да"))</x:f>
      </x:c>
      <x:c r="AC68" s="238" t="str">
        <x:f>IF(COUNTA(Y68:Z68)=0,"",N(Z68)+N(AB68))</x:f>
      </x:c>
      <x:c r="AD68" s="252" t="str">
        <x:f>IF(COUNTA(Y68:Z68)=0,"",N(Y68)-N(AC68))</x:f>
      </x:c>
      <x:c r="AE68" s="260" t="str">
        <x:f>IF(COUNTA(Y68:Z68)=0,"",IF(ABS(AD68)&lt;=0.01,IF(ABS(AB68)&gt;0.01,"СОШЛОСЬ ПОСЛЕ КОРР.","СОШЛОСЬ"),IF(ABS(AB68)&gt;0.01,"ЧАСТИЧНО","НЕОПРЕДЕЛЕНО")))</x:f>
      </x:c>
      <x:c r="AF68" s="190"/>
      <x:c r="AG68" s="202"/>
      <x:c r="AH68" s="214" t="str">
        <x:f>IF(COUNTA(AF68:AG68)=0,"",N(AF68)-N(AG68))</x:f>
      </x:c>
      <x:c r="AI68" s="226" t="str">
        <x:f>IF(COUNTA(AF68:AG68)=0,"",SUMIFS('04_Влияние_ОПИУ'!$F$2:$F$2000,'04_Влияние_ОПИУ'!$B$2:$B$2000,"2025-05",'04_Влияние_ОПИУ'!$C$2:$C$2000,$A68,'04_Влияние_ОПИУ'!$G$2:$G$2000,"Да"))</x:f>
      </x:c>
      <x:c r="AJ68" s="238" t="str">
        <x:f>IF(COUNTA(AF68:AG68)=0,"",N(AG68)+N(AI68))</x:f>
      </x:c>
      <x:c r="AK68" s="252" t="str">
        <x:f>IF(COUNTA(AF68:AG68)=0,"",N(AF68)-N(AJ68))</x:f>
      </x:c>
      <x:c r="AL68" s="260" t="str">
        <x:f>IF(COUNTA(AF68:AG68)=0,"",IF(ABS(AK68)&lt;=0.01,IF(ABS(AI68)&gt;0.01,"СОШЛОСЬ ПОСЛЕ КОРР.","СОШЛОСЬ"),IF(ABS(AI68)&gt;0.01,"ЧАСТИЧНО","НЕОПРЕДЕЛЕНО")))</x:f>
      </x:c>
      <x:c r="AM68" s="190"/>
      <x:c r="AN68" s="202"/>
      <x:c r="AO68" s="214" t="str">
        <x:f>IF(COUNTA(AM68:AN68)=0,"",N(AM68)-N(AN68))</x:f>
      </x:c>
      <x:c r="AP68" s="226" t="str">
        <x:f>IF(COUNTA(AM68:AN68)=0,"",SUMIFS('04_Влияние_ОПИУ'!$F$2:$F$2000,'04_Влияние_ОПИУ'!$B$2:$B$2000,"2025-06",'04_Влияние_ОПИУ'!$C$2:$C$2000,$A68,'04_Влияние_ОПИУ'!$G$2:$G$2000,"Да"))</x:f>
      </x:c>
      <x:c r="AQ68" s="238" t="str">
        <x:f>IF(COUNTA(AM68:AN68)=0,"",N(AN68)+N(AP68))</x:f>
      </x:c>
      <x:c r="AR68" s="252" t="str">
        <x:f>IF(COUNTA(AM68:AN68)=0,"",N(AM68)-N(AQ68))</x:f>
      </x:c>
      <x:c r="AS68" s="260" t="str">
        <x:f>IF(COUNTA(AM68:AN68)=0,"",IF(ABS(AR68)&lt;=0.01,IF(ABS(AP68)&gt;0.01,"СОШЛОСЬ ПОСЛЕ КОРР.","СОШЛОСЬ"),IF(ABS(AP68)&gt;0.01,"ЧАСТИЧНО","НЕОПРЕДЕЛЕНО")))</x:f>
      </x:c>
      <x:c r="AT68" s="190"/>
      <x:c r="AU68" s="202"/>
      <x:c r="AV68" s="214" t="str">
        <x:f>IF(COUNTA(AT68:AU68)=0,"",N(AT68)-N(AU68))</x:f>
      </x:c>
      <x:c r="AW68" s="226" t="str">
        <x:f>IF(COUNTA(AT68:AU68)=0,"",SUMIFS('04_Влияние_ОПИУ'!$F$2:$F$2000,'04_Влияние_ОПИУ'!$B$2:$B$2000,"2025-07",'04_Влияние_ОПИУ'!$C$2:$C$2000,$A68,'04_Влияние_ОПИУ'!$G$2:$G$2000,"Да"))</x:f>
      </x:c>
      <x:c r="AX68" s="238" t="str">
        <x:f>IF(COUNTA(AT68:AU68)=0,"",N(AU68)+N(AW68))</x:f>
      </x:c>
      <x:c r="AY68" s="252" t="str">
        <x:f>IF(COUNTA(AT68:AU68)=0,"",N(AT68)-N(AX68))</x:f>
      </x:c>
      <x:c r="AZ68" s="260" t="str">
        <x:f>IF(COUNTA(AT68:AU68)=0,"",IF(ABS(AY68)&lt;=0.01,IF(ABS(AW68)&gt;0.01,"СОШЛОСЬ ПОСЛЕ КОРР.","СОШЛОСЬ"),IF(ABS(AW68)&gt;0.01,"ЧАСТИЧНО","НЕОПРЕДЕЛЕНО")))</x:f>
      </x:c>
      <x:c r="BA68" s="190"/>
      <x:c r="BB68" s="202"/>
      <x:c r="BC68" s="214" t="str">
        <x:f>IF(COUNTA(BA68:BB68)=0,"",N(BA68)-N(BB68))</x:f>
      </x:c>
      <x:c r="BD68" s="226" t="str">
        <x:f>IF(COUNTA(BA68:BB68)=0,"",SUMIFS('04_Влияние_ОПИУ'!$F$2:$F$2000,'04_Влияние_ОПИУ'!$B$2:$B$2000,"2025-08",'04_Влияние_ОПИУ'!$C$2:$C$2000,$A68,'04_Влияние_ОПИУ'!$G$2:$G$2000,"Да"))</x:f>
      </x:c>
      <x:c r="BE68" s="238" t="str">
        <x:f>IF(COUNTA(BA68:BB68)=0,"",N(BB68)+N(BD68))</x:f>
      </x:c>
      <x:c r="BF68" s="252" t="str">
        <x:f>IF(COUNTA(BA68:BB68)=0,"",N(BA68)-N(BE68))</x:f>
      </x:c>
      <x:c r="BG68" s="260" t="str">
        <x:f>IF(COUNTA(BA68:BB68)=0,"",IF(ABS(BF68)&lt;=0.01,IF(ABS(BD68)&gt;0.01,"СОШЛОСЬ ПОСЛЕ КОРР.","СОШЛОСЬ"),IF(ABS(BD68)&gt;0.01,"ЧАСТИЧНО","НЕОПРЕДЕЛЕНО")))</x:f>
      </x:c>
      <x:c r="BH68" s="190"/>
      <x:c r="BI68" s="202"/>
      <x:c r="BJ68" s="214" t="str">
        <x:f>IF(COUNTA(BH68:BI68)=0,"",N(BH68)-N(BI68))</x:f>
      </x:c>
      <x:c r="BK68" s="226" t="str">
        <x:f>IF(COUNTA(BH68:BI68)=0,"",SUMIFS('04_Влияние_ОПИУ'!$F$2:$F$2000,'04_Влияние_ОПИУ'!$B$2:$B$2000,"2025-09",'04_Влияние_ОПИУ'!$C$2:$C$2000,$A68,'04_Влияние_ОПИУ'!$G$2:$G$2000,"Да"))</x:f>
      </x:c>
      <x:c r="BL68" s="238" t="str">
        <x:f>IF(COUNTA(BH68:BI68)=0,"",N(BI68)+N(BK68))</x:f>
      </x:c>
      <x:c r="BM68" s="252" t="str">
        <x:f>IF(COUNTA(BH68:BI68)=0,"",N(BH68)-N(BL68))</x:f>
      </x:c>
      <x:c r="BN68" s="260" t="str">
        <x:f>IF(COUNTA(BH68:BI68)=0,"",IF(ABS(BM68)&lt;=0.01,IF(ABS(BK68)&gt;0.01,"СОШЛОСЬ ПОСЛЕ КОРР.","СОШЛОСЬ"),IF(ABS(BK68)&gt;0.01,"ЧАСТИЧНО","НЕОПРЕДЕЛЕНО")))</x:f>
      </x:c>
      <x:c r="BO68" s="190"/>
      <x:c r="BP68" s="202"/>
      <x:c r="BQ68" s="214" t="str">
        <x:f>IF(COUNTA(BO68:BP68)=0,"",N(BO68)-N(BP68))</x:f>
      </x:c>
      <x:c r="BR68" s="226" t="str">
        <x:f>IF(COUNTA(BO68:BP68)=0,"",SUMIFS('04_Влияние_ОПИУ'!$F$2:$F$2000,'04_Влияние_ОПИУ'!$B$2:$B$2000,"2025-10",'04_Влияние_ОПИУ'!$C$2:$C$2000,$A68,'04_Влияние_ОПИУ'!$G$2:$G$2000,"Да"))</x:f>
      </x:c>
      <x:c r="BS68" s="238" t="str">
        <x:f>IF(COUNTA(BO68:BP68)=0,"",N(BP68)+N(BR68))</x:f>
      </x:c>
      <x:c r="BT68" s="252" t="str">
        <x:f>IF(COUNTA(BO68:BP68)=0,"",N(BO68)-N(BS68))</x:f>
      </x:c>
      <x:c r="BU68" s="260" t="str">
        <x:f>IF(COUNTA(BO68:BP68)=0,"",IF(ABS(BT68)&lt;=0.01,IF(ABS(BR68)&gt;0.01,"СОШЛОСЬ ПОСЛЕ КОРР.","СОШЛОСЬ"),IF(ABS(BR68)&gt;0.01,"ЧАСТИЧНО","НЕОПРЕДЕЛЕНО")))</x:f>
      </x:c>
      <x:c r="BV68" s="190"/>
      <x:c r="BW68" s="202"/>
      <x:c r="BX68" s="214" t="str">
        <x:f>IF(COUNTA(BV68:BW68)=0,"",N(BV68)-N(BW68))</x:f>
      </x:c>
      <x:c r="BY68" s="226" t="str">
        <x:f>IF(COUNTA(BV68:BW68)=0,"",SUMIFS('04_Влияние_ОПИУ'!$F$2:$F$2000,'04_Влияние_ОПИУ'!$B$2:$B$2000,"2025-11",'04_Влияние_ОПИУ'!$C$2:$C$2000,$A68,'04_Влияние_ОПИУ'!$G$2:$G$2000,"Да"))</x:f>
      </x:c>
      <x:c r="BZ68" s="238" t="str">
        <x:f>IF(COUNTA(BV68:BW68)=0,"",N(BW68)+N(BY68))</x:f>
      </x:c>
      <x:c r="CA68" s="252" t="str">
        <x:f>IF(COUNTA(BV68:BW68)=0,"",N(BV68)-N(BZ68))</x:f>
      </x:c>
      <x:c r="CB68" s="260" t="str">
        <x:f>IF(COUNTA(BV68:BW68)=0,"",IF(ABS(CA68)&lt;=0.01,IF(ABS(BY68)&gt;0.01,"СОШЛОСЬ ПОСЛЕ КОРР.","СОШЛОСЬ"),IF(ABS(BY68)&gt;0.01,"ЧАСТИЧНО","НЕОПРЕДЕЛЕНО")))</x:f>
      </x:c>
      <x:c r="CC68" s="190"/>
      <x:c r="CD68" s="202"/>
      <x:c r="CE68" s="214" t="str">
        <x:f>IF(COUNTA(CC68:CD68)=0,"",N(CC68)-N(CD68))</x:f>
      </x:c>
      <x:c r="CF68" s="226" t="str">
        <x:f>IF(COUNTA(CC68:CD68)=0,"",SUMIFS('04_Влияние_ОПИУ'!$F$2:$F$2000,'04_Влияние_ОПИУ'!$B$2:$B$2000,"2025-12",'04_Влияние_ОПИУ'!$C$2:$C$2000,$A68,'04_Влияние_ОПИУ'!$G$2:$G$2000,"Да"))</x:f>
      </x:c>
      <x:c r="CG68" s="238" t="str">
        <x:f>IF(COUNTA(CC68:CD68)=0,"",N(CD68)+N(CF68))</x:f>
      </x:c>
      <x:c r="CH68" s="252" t="str">
        <x:f>IF(COUNTA(CC68:CD68)=0,"",N(CC68)-N(CG68))</x:f>
      </x:c>
      <x:c r="CI68" s="260" t="str">
        <x:f>IF(COUNTA(CC68:CD68)=0,"",IF(ABS(CH68)&lt;=0.01,IF(ABS(CF68)&gt;0.01,"СОШЛОСЬ ПОСЛЕ КОРР.","СОШЛОСЬ"),IF(ABS(CF68)&gt;0.01,"ЧАСТИЧНО","НЕОПРЕДЕЛЕНО")))</x:f>
      </x:c>
    </x:row>
    <x:row r="69">
      <x:c r="A69" s="158" t="str">
        <x:v>R064</x:v>
      </x:c>
      <x:c r="B69" s="158" t="str">
        <x:v>  НДФЛ с дивидендов</x:v>
      </x:c>
      <x:c r="C69" s="162" t="str">
        <x:v>  НДФЛ с дивидендов</x:v>
      </x:c>
      <x:c r="D69" s="190"/>
      <x:c r="E69" s="202"/>
      <x:c r="F69" s="214" t="str">
        <x:f>IF(COUNTA(D69:E69)=0,"",N(D69)-N(E69))</x:f>
      </x:c>
      <x:c r="G69" s="226" t="str">
        <x:f>IF(COUNTA(D69:E69)=0,"",SUMIFS('04_Влияние_ОПИУ'!$F$2:$F$2000,'04_Влияние_ОПИУ'!$B$2:$B$2000,"2025-01",'04_Влияние_ОПИУ'!$C$2:$C$2000,$A69,'04_Влияние_ОПИУ'!$G$2:$G$2000,"Да"))</x:f>
      </x:c>
      <x:c r="H69" s="238" t="str">
        <x:f>IF(COUNTA(D69:E69)=0,"",N(E69)+N(G69))</x:f>
      </x:c>
      <x:c r="I69" s="252" t="str">
        <x:f>IF(COUNTA(D69:E69)=0,"",N(D69)-N(H69))</x:f>
      </x:c>
      <x:c r="J69" s="260" t="str">
        <x:f>IF(COUNTA(D69:E69)=0,"",IF(ABS(I69)&lt;=0.01,IF(ABS(G69)&gt;0.01,"СОШЛОСЬ ПОСЛЕ КОРР.","СОШЛОСЬ"),IF(ABS(G69)&gt;0.01,"ЧАСТИЧНО","НЕОПРЕДЕЛЕНО")))</x:f>
      </x:c>
      <x:c r="K69" s="190"/>
      <x:c r="L69" s="202"/>
      <x:c r="M69" s="214" t="str">
        <x:f>IF(COUNTA(K69:L69)=0,"",N(K69)-N(L69))</x:f>
      </x:c>
      <x:c r="N69" s="226" t="str">
        <x:f>IF(COUNTA(K69:L69)=0,"",SUMIFS('04_Влияние_ОПИУ'!$F$2:$F$2000,'04_Влияние_ОПИУ'!$B$2:$B$2000,"2025-02",'04_Влияние_ОПИУ'!$C$2:$C$2000,$A69,'04_Влияние_ОПИУ'!$G$2:$G$2000,"Да"))</x:f>
      </x:c>
      <x:c r="O69" s="238" t="str">
        <x:f>IF(COUNTA(K69:L69)=0,"",N(L69)+N(N69))</x:f>
      </x:c>
      <x:c r="P69" s="252" t="str">
        <x:f>IF(COUNTA(K69:L69)=0,"",N(K69)-N(O69))</x:f>
      </x:c>
      <x:c r="Q69" s="260" t="str">
        <x:f>IF(COUNTA(K69:L69)=0,"",IF(ABS(P69)&lt;=0.01,IF(ABS(N69)&gt;0.01,"СОШЛОСЬ ПОСЛЕ КОРР.","СОШЛОСЬ"),IF(ABS(N69)&gt;0.01,"ЧАСТИЧНО","НЕОПРЕДЕЛЕНО")))</x:f>
      </x:c>
      <x:c r="R69" s="190"/>
      <x:c r="S69" s="202"/>
      <x:c r="T69" s="214" t="str">
        <x:f>IF(COUNTA(R69:S69)=0,"",N(R69)-N(S69))</x:f>
      </x:c>
      <x:c r="U69" s="226" t="str">
        <x:f>IF(COUNTA(R69:S69)=0,"",SUMIFS('04_Влияние_ОПИУ'!$F$2:$F$2000,'04_Влияние_ОПИУ'!$B$2:$B$2000,"2025-03",'04_Влияние_ОПИУ'!$C$2:$C$2000,$A69,'04_Влияние_ОПИУ'!$G$2:$G$2000,"Да"))</x:f>
      </x:c>
      <x:c r="V69" s="238" t="str">
        <x:f>IF(COUNTA(R69:S69)=0,"",N(S69)+N(U69))</x:f>
      </x:c>
      <x:c r="W69" s="252" t="str">
        <x:f>IF(COUNTA(R69:S69)=0,"",N(R69)-N(V69))</x:f>
      </x:c>
      <x:c r="X69" s="260" t="str">
        <x:f>IF(COUNTA(R69:S69)=0,"",IF(ABS(W69)&lt;=0.01,IF(ABS(U69)&gt;0.01,"СОШЛОСЬ ПОСЛЕ КОРР.","СОШЛОСЬ"),IF(ABS(U69)&gt;0.01,"ЧАСТИЧНО","НЕОПРЕДЕЛЕНО")))</x:f>
      </x:c>
      <x:c r="Y69" s="190"/>
      <x:c r="Z69" s="202"/>
      <x:c r="AA69" s="214" t="str">
        <x:f>IF(COUNTA(Y69:Z69)=0,"",N(Y69)-N(Z69))</x:f>
      </x:c>
      <x:c r="AB69" s="226" t="str">
        <x:f>IF(COUNTA(Y69:Z69)=0,"",SUMIFS('04_Влияние_ОПИУ'!$F$2:$F$2000,'04_Влияние_ОПИУ'!$B$2:$B$2000,"2025-04",'04_Влияние_ОПИУ'!$C$2:$C$2000,$A69,'04_Влияние_ОПИУ'!$G$2:$G$2000,"Да"))</x:f>
      </x:c>
      <x:c r="AC69" s="238" t="str">
        <x:f>IF(COUNTA(Y69:Z69)=0,"",N(Z69)+N(AB69))</x:f>
      </x:c>
      <x:c r="AD69" s="252" t="str">
        <x:f>IF(COUNTA(Y69:Z69)=0,"",N(Y69)-N(AC69))</x:f>
      </x:c>
      <x:c r="AE69" s="260" t="str">
        <x:f>IF(COUNTA(Y69:Z69)=0,"",IF(ABS(AD69)&lt;=0.01,IF(ABS(AB69)&gt;0.01,"СОШЛОСЬ ПОСЛЕ КОРР.","СОШЛОСЬ"),IF(ABS(AB69)&gt;0.01,"ЧАСТИЧНО","НЕОПРЕДЕЛЕНО")))</x:f>
      </x:c>
      <x:c r="AF69" s="190"/>
      <x:c r="AG69" s="202"/>
      <x:c r="AH69" s="214" t="str">
        <x:f>IF(COUNTA(AF69:AG69)=0,"",N(AF69)-N(AG69))</x:f>
      </x:c>
      <x:c r="AI69" s="226" t="str">
        <x:f>IF(COUNTA(AF69:AG69)=0,"",SUMIFS('04_Влияние_ОПИУ'!$F$2:$F$2000,'04_Влияние_ОПИУ'!$B$2:$B$2000,"2025-05",'04_Влияние_ОПИУ'!$C$2:$C$2000,$A69,'04_Влияние_ОПИУ'!$G$2:$G$2000,"Да"))</x:f>
      </x:c>
      <x:c r="AJ69" s="238" t="str">
        <x:f>IF(COUNTA(AF69:AG69)=0,"",N(AG69)+N(AI69))</x:f>
      </x:c>
      <x:c r="AK69" s="252" t="str">
        <x:f>IF(COUNTA(AF69:AG69)=0,"",N(AF69)-N(AJ69))</x:f>
      </x:c>
      <x:c r="AL69" s="260" t="str">
        <x:f>IF(COUNTA(AF69:AG69)=0,"",IF(ABS(AK69)&lt;=0.01,IF(ABS(AI69)&gt;0.01,"СОШЛОСЬ ПОСЛЕ КОРР.","СОШЛОСЬ"),IF(ABS(AI69)&gt;0.01,"ЧАСТИЧНО","НЕОПРЕДЕЛЕНО")))</x:f>
      </x:c>
      <x:c r="AM69" s="190"/>
      <x:c r="AN69" s="202"/>
      <x:c r="AO69" s="214" t="str">
        <x:f>IF(COUNTA(AM69:AN69)=0,"",N(AM69)-N(AN69))</x:f>
      </x:c>
      <x:c r="AP69" s="226" t="str">
        <x:f>IF(COUNTA(AM69:AN69)=0,"",SUMIFS('04_Влияние_ОПИУ'!$F$2:$F$2000,'04_Влияние_ОПИУ'!$B$2:$B$2000,"2025-06",'04_Влияние_ОПИУ'!$C$2:$C$2000,$A69,'04_Влияние_ОПИУ'!$G$2:$G$2000,"Да"))</x:f>
      </x:c>
      <x:c r="AQ69" s="238" t="str">
        <x:f>IF(COUNTA(AM69:AN69)=0,"",N(AN69)+N(AP69))</x:f>
      </x:c>
      <x:c r="AR69" s="252" t="str">
        <x:f>IF(COUNTA(AM69:AN69)=0,"",N(AM69)-N(AQ69))</x:f>
      </x:c>
      <x:c r="AS69" s="260" t="str">
        <x:f>IF(COUNTA(AM69:AN69)=0,"",IF(ABS(AR69)&lt;=0.01,IF(ABS(AP69)&gt;0.01,"СОШЛОСЬ ПОСЛЕ КОРР.","СОШЛОСЬ"),IF(ABS(AP69)&gt;0.01,"ЧАСТИЧНО","НЕОПРЕДЕЛЕНО")))</x:f>
      </x:c>
      <x:c r="AT69" s="190"/>
      <x:c r="AU69" s="202"/>
      <x:c r="AV69" s="214" t="str">
        <x:f>IF(COUNTA(AT69:AU69)=0,"",N(AT69)-N(AU69))</x:f>
      </x:c>
      <x:c r="AW69" s="226" t="str">
        <x:f>IF(COUNTA(AT69:AU69)=0,"",SUMIFS('04_Влияние_ОПИУ'!$F$2:$F$2000,'04_Влияние_ОПИУ'!$B$2:$B$2000,"2025-07",'04_Влияние_ОПИУ'!$C$2:$C$2000,$A69,'04_Влияние_ОПИУ'!$G$2:$G$2000,"Да"))</x:f>
      </x:c>
      <x:c r="AX69" s="238" t="str">
        <x:f>IF(COUNTA(AT69:AU69)=0,"",N(AU69)+N(AW69))</x:f>
      </x:c>
      <x:c r="AY69" s="252" t="str">
        <x:f>IF(COUNTA(AT69:AU69)=0,"",N(AT69)-N(AX69))</x:f>
      </x:c>
      <x:c r="AZ69" s="260" t="str">
        <x:f>IF(COUNTA(AT69:AU69)=0,"",IF(ABS(AY69)&lt;=0.01,IF(ABS(AW69)&gt;0.01,"СОШЛОСЬ ПОСЛЕ КОРР.","СОШЛОСЬ"),IF(ABS(AW69)&gt;0.01,"ЧАСТИЧНО","НЕОПРЕДЕЛЕНО")))</x:f>
      </x:c>
      <x:c r="BA69" s="190"/>
      <x:c r="BB69" s="202"/>
      <x:c r="BC69" s="214" t="str">
        <x:f>IF(COUNTA(BA69:BB69)=0,"",N(BA69)-N(BB69))</x:f>
      </x:c>
      <x:c r="BD69" s="226" t="str">
        <x:f>IF(COUNTA(BA69:BB69)=0,"",SUMIFS('04_Влияние_ОПИУ'!$F$2:$F$2000,'04_Влияние_ОПИУ'!$B$2:$B$2000,"2025-08",'04_Влияние_ОПИУ'!$C$2:$C$2000,$A69,'04_Влияние_ОПИУ'!$G$2:$G$2000,"Да"))</x:f>
      </x:c>
      <x:c r="BE69" s="238" t="str">
        <x:f>IF(COUNTA(BA69:BB69)=0,"",N(BB69)+N(BD69))</x:f>
      </x:c>
      <x:c r="BF69" s="252" t="str">
        <x:f>IF(COUNTA(BA69:BB69)=0,"",N(BA69)-N(BE69))</x:f>
      </x:c>
      <x:c r="BG69" s="260" t="str">
        <x:f>IF(COUNTA(BA69:BB69)=0,"",IF(ABS(BF69)&lt;=0.01,IF(ABS(BD69)&gt;0.01,"СОШЛОСЬ ПОСЛЕ КОРР.","СОШЛОСЬ"),IF(ABS(BD69)&gt;0.01,"ЧАСТИЧНО","НЕОПРЕДЕЛЕНО")))</x:f>
      </x:c>
      <x:c r="BH69" s="190"/>
      <x:c r="BI69" s="202"/>
      <x:c r="BJ69" s="214" t="str">
        <x:f>IF(COUNTA(BH69:BI69)=0,"",N(BH69)-N(BI69))</x:f>
      </x:c>
      <x:c r="BK69" s="226" t="str">
        <x:f>IF(COUNTA(BH69:BI69)=0,"",SUMIFS('04_Влияние_ОПИУ'!$F$2:$F$2000,'04_Влияние_ОПИУ'!$B$2:$B$2000,"2025-09",'04_Влияние_ОПИУ'!$C$2:$C$2000,$A69,'04_Влияние_ОПИУ'!$G$2:$G$2000,"Да"))</x:f>
      </x:c>
      <x:c r="BL69" s="238" t="str">
        <x:f>IF(COUNTA(BH69:BI69)=0,"",N(BI69)+N(BK69))</x:f>
      </x:c>
      <x:c r="BM69" s="252" t="str">
        <x:f>IF(COUNTA(BH69:BI69)=0,"",N(BH69)-N(BL69))</x:f>
      </x:c>
      <x:c r="BN69" s="260" t="str">
        <x:f>IF(COUNTA(BH69:BI69)=0,"",IF(ABS(BM69)&lt;=0.01,IF(ABS(BK69)&gt;0.01,"СОШЛОСЬ ПОСЛЕ КОРР.","СОШЛОСЬ"),IF(ABS(BK69)&gt;0.01,"ЧАСТИЧНО","НЕОПРЕДЕЛЕНО")))</x:f>
      </x:c>
      <x:c r="BO69" s="190"/>
      <x:c r="BP69" s="202"/>
      <x:c r="BQ69" s="214" t="str">
        <x:f>IF(COUNTA(BO69:BP69)=0,"",N(BO69)-N(BP69))</x:f>
      </x:c>
      <x:c r="BR69" s="226" t="str">
        <x:f>IF(COUNTA(BO69:BP69)=0,"",SUMIFS('04_Влияние_ОПИУ'!$F$2:$F$2000,'04_Влияние_ОПИУ'!$B$2:$B$2000,"2025-10",'04_Влияние_ОПИУ'!$C$2:$C$2000,$A69,'04_Влияние_ОПИУ'!$G$2:$G$2000,"Да"))</x:f>
      </x:c>
      <x:c r="BS69" s="238" t="str">
        <x:f>IF(COUNTA(BO69:BP69)=0,"",N(BP69)+N(BR69))</x:f>
      </x:c>
      <x:c r="BT69" s="252" t="str">
        <x:f>IF(COUNTA(BO69:BP69)=0,"",N(BO69)-N(BS69))</x:f>
      </x:c>
      <x:c r="BU69" s="260" t="str">
        <x:f>IF(COUNTA(BO69:BP69)=0,"",IF(ABS(BT69)&lt;=0.01,IF(ABS(BR69)&gt;0.01,"СОШЛОСЬ ПОСЛЕ КОРР.","СОШЛОСЬ"),IF(ABS(BR69)&gt;0.01,"ЧАСТИЧНО","НЕОПРЕДЕЛЕНО")))</x:f>
      </x:c>
      <x:c r="BV69" s="190"/>
      <x:c r="BW69" s="202"/>
      <x:c r="BX69" s="214" t="str">
        <x:f>IF(COUNTA(BV69:BW69)=0,"",N(BV69)-N(BW69))</x:f>
      </x:c>
      <x:c r="BY69" s="226" t="str">
        <x:f>IF(COUNTA(BV69:BW69)=0,"",SUMIFS('04_Влияние_ОПИУ'!$F$2:$F$2000,'04_Влияние_ОПИУ'!$B$2:$B$2000,"2025-11",'04_Влияние_ОПИУ'!$C$2:$C$2000,$A69,'04_Влияние_ОПИУ'!$G$2:$G$2000,"Да"))</x:f>
      </x:c>
      <x:c r="BZ69" s="238" t="str">
        <x:f>IF(COUNTA(BV69:BW69)=0,"",N(BW69)+N(BY69))</x:f>
      </x:c>
      <x:c r="CA69" s="252" t="str">
        <x:f>IF(COUNTA(BV69:BW69)=0,"",N(BV69)-N(BZ69))</x:f>
      </x:c>
      <x:c r="CB69" s="260" t="str">
        <x:f>IF(COUNTA(BV69:BW69)=0,"",IF(ABS(CA69)&lt;=0.01,IF(ABS(BY69)&gt;0.01,"СОШЛОСЬ ПОСЛЕ КОРР.","СОШЛОСЬ"),IF(ABS(BY69)&gt;0.01,"ЧАСТИЧНО","НЕОПРЕДЕЛЕНО")))</x:f>
      </x:c>
      <x:c r="CC69" s="190"/>
      <x:c r="CD69" s="202"/>
      <x:c r="CE69" s="214" t="str">
        <x:f>IF(COUNTA(CC69:CD69)=0,"",N(CC69)-N(CD69))</x:f>
      </x:c>
      <x:c r="CF69" s="226" t="str">
        <x:f>IF(COUNTA(CC69:CD69)=0,"",SUMIFS('04_Влияние_ОПИУ'!$F$2:$F$2000,'04_Влияние_ОПИУ'!$B$2:$B$2000,"2025-12",'04_Влияние_ОПИУ'!$C$2:$C$2000,$A69,'04_Влияние_ОПИУ'!$G$2:$G$2000,"Да"))</x:f>
      </x:c>
      <x:c r="CG69" s="238" t="str">
        <x:f>IF(COUNTA(CC69:CD69)=0,"",N(CD69)+N(CF69))</x:f>
      </x:c>
      <x:c r="CH69" s="252" t="str">
        <x:f>IF(COUNTA(CC69:CD69)=0,"",N(CC69)-N(CG69))</x:f>
      </x:c>
      <x:c r="CI69" s="260" t="str">
        <x:f>IF(COUNTA(CC69:CD69)=0,"",IF(ABS(CH69)&lt;=0.01,IF(ABS(CF69)&gt;0.01,"СОШЛОСЬ ПОСЛЕ КОРР.","СОШЛОСЬ"),IF(ABS(CF69)&gt;0.01,"ЧАСТИЧНО","НЕОПРЕДЕЛЕНО")))</x:f>
      </x:c>
    </x:row>
    <x:row r="70">
      <x:c r="A70" s="174" t="str">
        <x:v>R065</x:v>
      </x:c>
      <x:c r="B70" s="174" t="str">
        <x:v>Нераспределенная прибыль (9 Управляющая)</x:v>
      </x:c>
      <x:c r="C70" s="162" t="str">
        <x:v>Нераспределенная прибыль</x:v>
      </x:c>
      <x:c r="D70" s="190"/>
      <x:c r="E70" s="202"/>
      <x:c r="F70" s="214" t="str">
        <x:f>IF(COUNTA(D70:E70)=0,"",N(D70)-N(E70))</x:f>
      </x:c>
      <x:c r="G70" s="226" t="str">
        <x:f>IF(COUNTA(D70:E70)=0,"",SUMIFS('04_Влияние_ОПИУ'!$F$2:$F$2000,'04_Влияние_ОПИУ'!$B$2:$B$2000,"2025-01",'04_Влияние_ОПИУ'!$C$2:$C$2000,$A70,'04_Влияние_ОПИУ'!$G$2:$G$2000,"Да"))</x:f>
      </x:c>
      <x:c r="H70" s="238" t="str">
        <x:f>IF(COUNTA(D70:E70)=0,"",N(E70)+N(G70))</x:f>
      </x:c>
      <x:c r="I70" s="252" t="str">
        <x:f>IF(COUNTA(D70:E70)=0,"",N(D70)-N(H70))</x:f>
      </x:c>
      <x:c r="J70" s="260" t="str">
        <x:f>IF(COUNTA(D70:E70)=0,"",IF(ABS(I70)&lt;=0.01,IF(ABS(G70)&gt;0.01,"СОШЛОСЬ ПОСЛЕ КОРР.","СОШЛОСЬ"),IF(ABS(G70)&gt;0.01,"ЧАСТИЧНО","НЕОПРЕДЕЛЕНО")))</x:f>
      </x:c>
      <x:c r="K70" s="190"/>
      <x:c r="L70" s="202"/>
      <x:c r="M70" s="214" t="str">
        <x:f>IF(COUNTA(K70:L70)=0,"",N(K70)-N(L70))</x:f>
      </x:c>
      <x:c r="N70" s="226" t="str">
        <x:f>IF(COUNTA(K70:L70)=0,"",SUMIFS('04_Влияние_ОПИУ'!$F$2:$F$2000,'04_Влияние_ОПИУ'!$B$2:$B$2000,"2025-02",'04_Влияние_ОПИУ'!$C$2:$C$2000,$A70,'04_Влияние_ОПИУ'!$G$2:$G$2000,"Да"))</x:f>
      </x:c>
      <x:c r="O70" s="238" t="str">
        <x:f>IF(COUNTA(K70:L70)=0,"",N(L70)+N(N70))</x:f>
      </x:c>
      <x:c r="P70" s="252" t="str">
        <x:f>IF(COUNTA(K70:L70)=0,"",N(K70)-N(O70))</x:f>
      </x:c>
      <x:c r="Q70" s="260" t="str">
        <x:f>IF(COUNTA(K70:L70)=0,"",IF(ABS(P70)&lt;=0.01,IF(ABS(N70)&gt;0.01,"СОШЛОСЬ ПОСЛЕ КОРР.","СОШЛОСЬ"),IF(ABS(N70)&gt;0.01,"ЧАСТИЧНО","НЕОПРЕДЕЛЕНО")))</x:f>
      </x:c>
      <x:c r="R70" s="190"/>
      <x:c r="S70" s="202"/>
      <x:c r="T70" s="214" t="str">
        <x:f>IF(COUNTA(R70:S70)=0,"",N(R70)-N(S70))</x:f>
      </x:c>
      <x:c r="U70" s="226" t="str">
        <x:f>IF(COUNTA(R70:S70)=0,"",SUMIFS('04_Влияние_ОПИУ'!$F$2:$F$2000,'04_Влияние_ОПИУ'!$B$2:$B$2000,"2025-03",'04_Влияние_ОПИУ'!$C$2:$C$2000,$A70,'04_Влияние_ОПИУ'!$G$2:$G$2000,"Да"))</x:f>
      </x:c>
      <x:c r="V70" s="238" t="str">
        <x:f>IF(COUNTA(R70:S70)=0,"",N(S70)+N(U70))</x:f>
      </x:c>
      <x:c r="W70" s="252" t="str">
        <x:f>IF(COUNTA(R70:S70)=0,"",N(R70)-N(V70))</x:f>
      </x:c>
      <x:c r="X70" s="260" t="str">
        <x:f>IF(COUNTA(R70:S70)=0,"",IF(ABS(W70)&lt;=0.01,IF(ABS(U70)&gt;0.01,"СОШЛОСЬ ПОСЛЕ КОРР.","СОШЛОСЬ"),IF(ABS(U70)&gt;0.01,"ЧАСТИЧНО","НЕОПРЕДЕЛЕНО")))</x:f>
      </x:c>
      <x:c r="Y70" s="190"/>
      <x:c r="Z70" s="202"/>
      <x:c r="AA70" s="214" t="str">
        <x:f>IF(COUNTA(Y70:Z70)=0,"",N(Y70)-N(Z70))</x:f>
      </x:c>
      <x:c r="AB70" s="226" t="str">
        <x:f>IF(COUNTA(Y70:Z70)=0,"",SUMIFS('04_Влияние_ОПИУ'!$F$2:$F$2000,'04_Влияние_ОПИУ'!$B$2:$B$2000,"2025-04",'04_Влияние_ОПИУ'!$C$2:$C$2000,$A70,'04_Влияние_ОПИУ'!$G$2:$G$2000,"Да"))</x:f>
      </x:c>
      <x:c r="AC70" s="238" t="str">
        <x:f>IF(COUNTA(Y70:Z70)=0,"",N(Z70)+N(AB70))</x:f>
      </x:c>
      <x:c r="AD70" s="252" t="str">
        <x:f>IF(COUNTA(Y70:Z70)=0,"",N(Y70)-N(AC70))</x:f>
      </x:c>
      <x:c r="AE70" s="260" t="str">
        <x:f>IF(COUNTA(Y70:Z70)=0,"",IF(ABS(AD70)&lt;=0.01,IF(ABS(AB70)&gt;0.01,"СОШЛОСЬ ПОСЛЕ КОРР.","СОШЛОСЬ"),IF(ABS(AB70)&gt;0.01,"ЧАСТИЧНО","НЕОПРЕДЕЛЕНО")))</x:f>
      </x:c>
      <x:c r="AF70" s="190"/>
      <x:c r="AG70" s="202"/>
      <x:c r="AH70" s="214" t="str">
        <x:f>IF(COUNTA(AF70:AG70)=0,"",N(AF70)-N(AG70))</x:f>
      </x:c>
      <x:c r="AI70" s="226" t="str">
        <x:f>IF(COUNTA(AF70:AG70)=0,"",SUMIFS('04_Влияние_ОПИУ'!$F$2:$F$2000,'04_Влияние_ОПИУ'!$B$2:$B$2000,"2025-05",'04_Влияние_ОПИУ'!$C$2:$C$2000,$A70,'04_Влияние_ОПИУ'!$G$2:$G$2000,"Да"))</x:f>
      </x:c>
      <x:c r="AJ70" s="238" t="str">
        <x:f>IF(COUNTA(AF70:AG70)=0,"",N(AG70)+N(AI70))</x:f>
      </x:c>
      <x:c r="AK70" s="252" t="str">
        <x:f>IF(COUNTA(AF70:AG70)=0,"",N(AF70)-N(AJ70))</x:f>
      </x:c>
      <x:c r="AL70" s="260" t="str">
        <x:f>IF(COUNTA(AF70:AG70)=0,"",IF(ABS(AK70)&lt;=0.01,IF(ABS(AI70)&gt;0.01,"СОШЛОСЬ ПОСЛЕ КОРР.","СОШЛОСЬ"),IF(ABS(AI70)&gt;0.01,"ЧАСТИЧНО","НЕОПРЕДЕЛЕНО")))</x:f>
      </x:c>
      <x:c r="AM70" s="190"/>
      <x:c r="AN70" s="202"/>
      <x:c r="AO70" s="214" t="str">
        <x:f>IF(COUNTA(AM70:AN70)=0,"",N(AM70)-N(AN70))</x:f>
      </x:c>
      <x:c r="AP70" s="226" t="str">
        <x:f>IF(COUNTA(AM70:AN70)=0,"",SUMIFS('04_Влияние_ОПИУ'!$F$2:$F$2000,'04_Влияние_ОПИУ'!$B$2:$B$2000,"2025-06",'04_Влияние_ОПИУ'!$C$2:$C$2000,$A70,'04_Влияние_ОПИУ'!$G$2:$G$2000,"Да"))</x:f>
      </x:c>
      <x:c r="AQ70" s="238" t="str">
        <x:f>IF(COUNTA(AM70:AN70)=0,"",N(AN70)+N(AP70))</x:f>
      </x:c>
      <x:c r="AR70" s="252" t="str">
        <x:f>IF(COUNTA(AM70:AN70)=0,"",N(AM70)-N(AQ70))</x:f>
      </x:c>
      <x:c r="AS70" s="260" t="str">
        <x:f>IF(COUNTA(AM70:AN70)=0,"",IF(ABS(AR70)&lt;=0.01,IF(ABS(AP70)&gt;0.01,"СОШЛОСЬ ПОСЛЕ КОРР.","СОШЛОСЬ"),IF(ABS(AP70)&gt;0.01,"ЧАСТИЧНО","НЕОПРЕДЕЛЕНО")))</x:f>
      </x:c>
      <x:c r="AT70" s="190"/>
      <x:c r="AU70" s="202"/>
      <x:c r="AV70" s="214" t="str">
        <x:f>IF(COUNTA(AT70:AU70)=0,"",N(AT70)-N(AU70))</x:f>
      </x:c>
      <x:c r="AW70" s="226" t="str">
        <x:f>IF(COUNTA(AT70:AU70)=0,"",SUMIFS('04_Влияние_ОПИУ'!$F$2:$F$2000,'04_Влияние_ОПИУ'!$B$2:$B$2000,"2025-07",'04_Влияние_ОПИУ'!$C$2:$C$2000,$A70,'04_Влияние_ОПИУ'!$G$2:$G$2000,"Да"))</x:f>
      </x:c>
      <x:c r="AX70" s="238" t="str">
        <x:f>IF(COUNTA(AT70:AU70)=0,"",N(AU70)+N(AW70))</x:f>
      </x:c>
      <x:c r="AY70" s="252" t="str">
        <x:f>IF(COUNTA(AT70:AU70)=0,"",N(AT70)-N(AX70))</x:f>
      </x:c>
      <x:c r="AZ70" s="260" t="str">
        <x:f>IF(COUNTA(AT70:AU70)=0,"",IF(ABS(AY70)&lt;=0.01,IF(ABS(AW70)&gt;0.01,"СОШЛОСЬ ПОСЛЕ КОРР.","СОШЛОСЬ"),IF(ABS(AW70)&gt;0.01,"ЧАСТИЧНО","НЕОПРЕДЕЛЕНО")))</x:f>
      </x:c>
      <x:c r="BA70" s="190"/>
      <x:c r="BB70" s="202"/>
      <x:c r="BC70" s="214" t="str">
        <x:f>IF(COUNTA(BA70:BB70)=0,"",N(BA70)-N(BB70))</x:f>
      </x:c>
      <x:c r="BD70" s="226" t="str">
        <x:f>IF(COUNTA(BA70:BB70)=0,"",SUMIFS('04_Влияние_ОПИУ'!$F$2:$F$2000,'04_Влияние_ОПИУ'!$B$2:$B$2000,"2025-08",'04_Влияние_ОПИУ'!$C$2:$C$2000,$A70,'04_Влияние_ОПИУ'!$G$2:$G$2000,"Да"))</x:f>
      </x:c>
      <x:c r="BE70" s="238" t="str">
        <x:f>IF(COUNTA(BA70:BB70)=0,"",N(BB70)+N(BD70))</x:f>
      </x:c>
      <x:c r="BF70" s="252" t="str">
        <x:f>IF(COUNTA(BA70:BB70)=0,"",N(BA70)-N(BE70))</x:f>
      </x:c>
      <x:c r="BG70" s="260" t="str">
        <x:f>IF(COUNTA(BA70:BB70)=0,"",IF(ABS(BF70)&lt;=0.01,IF(ABS(BD70)&gt;0.01,"СОШЛОСЬ ПОСЛЕ КОРР.","СОШЛОСЬ"),IF(ABS(BD70)&gt;0.01,"ЧАСТИЧНО","НЕОПРЕДЕЛЕНО")))</x:f>
      </x:c>
      <x:c r="BH70" s="190"/>
      <x:c r="BI70" s="202"/>
      <x:c r="BJ70" s="214" t="str">
        <x:f>IF(COUNTA(BH70:BI70)=0,"",N(BH70)-N(BI70))</x:f>
      </x:c>
      <x:c r="BK70" s="226" t="str">
        <x:f>IF(COUNTA(BH70:BI70)=0,"",SUMIFS('04_Влияние_ОПИУ'!$F$2:$F$2000,'04_Влияние_ОПИУ'!$B$2:$B$2000,"2025-09",'04_Влияние_ОПИУ'!$C$2:$C$2000,$A70,'04_Влияние_ОПИУ'!$G$2:$G$2000,"Да"))</x:f>
      </x:c>
      <x:c r="BL70" s="238" t="str">
        <x:f>IF(COUNTA(BH70:BI70)=0,"",N(BI70)+N(BK70))</x:f>
      </x:c>
      <x:c r="BM70" s="252" t="str">
        <x:f>IF(COUNTA(BH70:BI70)=0,"",N(BH70)-N(BL70))</x:f>
      </x:c>
      <x:c r="BN70" s="260" t="str">
        <x:f>IF(COUNTA(BH70:BI70)=0,"",IF(ABS(BM70)&lt;=0.01,IF(ABS(BK70)&gt;0.01,"СОШЛОСЬ ПОСЛЕ КОРР.","СОШЛОСЬ"),IF(ABS(BK70)&gt;0.01,"ЧАСТИЧНО","НЕОПРЕДЕЛЕНО")))</x:f>
      </x:c>
      <x:c r="BO70" s="190"/>
      <x:c r="BP70" s="202"/>
      <x:c r="BQ70" s="214" t="str">
        <x:f>IF(COUNTA(BO70:BP70)=0,"",N(BO70)-N(BP70))</x:f>
      </x:c>
      <x:c r="BR70" s="226" t="str">
        <x:f>IF(COUNTA(BO70:BP70)=0,"",SUMIFS('04_Влияние_ОПИУ'!$F$2:$F$2000,'04_Влияние_ОПИУ'!$B$2:$B$2000,"2025-10",'04_Влияние_ОПИУ'!$C$2:$C$2000,$A70,'04_Влияние_ОПИУ'!$G$2:$G$2000,"Да"))</x:f>
      </x:c>
      <x:c r="BS70" s="238" t="str">
        <x:f>IF(COUNTA(BO70:BP70)=0,"",N(BP70)+N(BR70))</x:f>
      </x:c>
      <x:c r="BT70" s="252" t="str">
        <x:f>IF(COUNTA(BO70:BP70)=0,"",N(BO70)-N(BS70))</x:f>
      </x:c>
      <x:c r="BU70" s="260" t="str">
        <x:f>IF(COUNTA(BO70:BP70)=0,"",IF(ABS(BT70)&lt;=0.01,IF(ABS(BR70)&gt;0.01,"СОШЛОСЬ ПОСЛЕ КОРР.","СОШЛОСЬ"),IF(ABS(BR70)&gt;0.01,"ЧАСТИЧНО","НЕОПРЕДЕЛЕНО")))</x:f>
      </x:c>
      <x:c r="BV70" s="190"/>
      <x:c r="BW70" s="202"/>
      <x:c r="BX70" s="214" t="str">
        <x:f>IF(COUNTA(BV70:BW70)=0,"",N(BV70)-N(BW70))</x:f>
      </x:c>
      <x:c r="BY70" s="226" t="str">
        <x:f>IF(COUNTA(BV70:BW70)=0,"",SUMIFS('04_Влияние_ОПИУ'!$F$2:$F$2000,'04_Влияние_ОПИУ'!$B$2:$B$2000,"2025-11",'04_Влияние_ОПИУ'!$C$2:$C$2000,$A70,'04_Влияние_ОПИУ'!$G$2:$G$2000,"Да"))</x:f>
      </x:c>
      <x:c r="BZ70" s="238" t="str">
        <x:f>IF(COUNTA(BV70:BW70)=0,"",N(BW70)+N(BY70))</x:f>
      </x:c>
      <x:c r="CA70" s="252" t="str">
        <x:f>IF(COUNTA(BV70:BW70)=0,"",N(BV70)-N(BZ70))</x:f>
      </x:c>
      <x:c r="CB70" s="260" t="str">
        <x:f>IF(COUNTA(BV70:BW70)=0,"",IF(ABS(CA70)&lt;=0.01,IF(ABS(BY70)&gt;0.01,"СОШЛОСЬ ПОСЛЕ КОРР.","СОШЛОСЬ"),IF(ABS(BY70)&gt;0.01,"ЧАСТИЧНО","НЕОПРЕДЕЛЕНО")))</x:f>
      </x:c>
      <x:c r="CC70" s="190"/>
      <x:c r="CD70" s="202"/>
      <x:c r="CE70" s="214" t="str">
        <x:f>IF(COUNTA(CC70:CD70)=0,"",N(CC70)-N(CD70))</x:f>
      </x:c>
      <x:c r="CF70" s="226" t="str">
        <x:f>IF(COUNTA(CC70:CD70)=0,"",SUMIFS('04_Влияние_ОПИУ'!$F$2:$F$2000,'04_Влияние_ОПИУ'!$B$2:$B$2000,"2025-12",'04_Влияние_ОПИУ'!$C$2:$C$2000,$A70,'04_Влияние_ОПИУ'!$G$2:$G$2000,"Да"))</x:f>
      </x:c>
      <x:c r="CG70" s="238" t="str">
        <x:f>IF(COUNTA(CC70:CD70)=0,"",N(CD70)+N(CF70))</x:f>
      </x:c>
      <x:c r="CH70" s="252" t="str">
        <x:f>IF(COUNTA(CC70:CD70)=0,"",N(CC70)-N(CG70))</x:f>
      </x:c>
      <x:c r="CI70" s="260" t="str">
        <x:f>IF(COUNTA(CC70:CD70)=0,"",IF(ABS(CH70)&lt;=0.01,IF(ABS(CF70)&gt;0.01,"СОШЛОСЬ ПОСЛЕ КОРР.","СОШЛОСЬ"),IF(ABS(CF70)&gt;0.01,"ЧАСТИЧНО","НЕОПРЕДЕЛЕНО")))</x:f>
      </x:c>
    </x:row>
  </x:sheetData>
  <x:mergeCells>
    <x:mergeCell ref="A1:CI1"/>
    <x:mergeCell ref="A2:CI2"/>
    <x:mergeCell ref="A3:CI3"/>
    <x:mergeCell ref="A4:A5"/>
    <x:mergeCell ref="B4:B5"/>
    <x:mergeCell ref="C4:C5"/>
    <x:mergeCell ref="D4:J4"/>
    <x:mergeCell ref="K4:Q4"/>
    <x:mergeCell ref="R4:X4"/>
    <x:mergeCell ref="Y4:AE4"/>
    <x:mergeCell ref="AF4:AL4"/>
    <x:mergeCell ref="AM4:AS4"/>
    <x:mergeCell ref="AT4:AZ4"/>
    <x:mergeCell ref="BA4:BG4"/>
    <x:mergeCell ref="BH4:BN4"/>
    <x:mergeCell ref="BO4:BU4"/>
    <x:mergeCell ref="BV4:CB4"/>
    <x:mergeCell ref="CC4:CI4"/>
  </x:mergeCells>
  <x:conditionalFormatting sqref="I6:I70">
    <x:cfRule type="expression" dxfId="0" priority="1">
      <x:formula>ABS(I6)&lt;=0.01</x:formula>
    </x:cfRule>
    <x:cfRule type="expression" dxfId="1" priority="2">
      <x:formula>ABS(I6)&gt;0.01</x:formula>
    </x:cfRule>
  </x:conditionalFormatting>
  <x:conditionalFormatting sqref="J6:J70">
    <x:cfRule type="expression" dxfId="2" priority="3">
      <x:formula>LEFT(J6,7)="СОШЛОСЬ"</x:formula>
    </x:cfRule>
    <x:cfRule type="expression" dxfId="3" priority="4">
      <x:formula>OR(J6="НЕОПРЕДЕЛЕНО",J6="ЧАСТИЧНО")</x:formula>
    </x:cfRule>
  </x:conditionalFormatting>
  <x:conditionalFormatting sqref="P6:P70">
    <x:cfRule type="expression" dxfId="4" priority="5">
      <x:formula>ABS(P6)&lt;=0.01</x:formula>
    </x:cfRule>
    <x:cfRule type="expression" dxfId="5" priority="6">
      <x:formula>ABS(P6)&gt;0.01</x:formula>
    </x:cfRule>
  </x:conditionalFormatting>
  <x:conditionalFormatting sqref="Q6:Q70">
    <x:cfRule type="expression" dxfId="6" priority="7">
      <x:formula>LEFT(Q6,7)="СОШЛОСЬ"</x:formula>
    </x:cfRule>
    <x:cfRule type="expression" dxfId="7" priority="8">
      <x:formula>OR(Q6="НЕОПРЕДЕЛЕНО",Q6="ЧАСТИЧНО")</x:formula>
    </x:cfRule>
  </x:conditionalFormatting>
  <x:conditionalFormatting sqref="W6:W70">
    <x:cfRule type="expression" dxfId="8" priority="9">
      <x:formula>ABS(W6)&lt;=0.01</x:formula>
    </x:cfRule>
    <x:cfRule type="expression" dxfId="9" priority="10">
      <x:formula>ABS(W6)&gt;0.01</x:formula>
    </x:cfRule>
  </x:conditionalFormatting>
  <x:conditionalFormatting sqref="X6:X70">
    <x:cfRule type="expression" dxfId="10" priority="11">
      <x:formula>LEFT(X6,7)="СОШЛОСЬ"</x:formula>
    </x:cfRule>
    <x:cfRule type="expression" dxfId="11" priority="12">
      <x:formula>OR(X6="НЕОПРЕДЕЛЕНО",X6="ЧАСТИЧНО")</x:formula>
    </x:cfRule>
  </x:conditionalFormatting>
  <x:conditionalFormatting sqref="AD6:AD70">
    <x:cfRule type="expression" dxfId="12" priority="13">
      <x:formula>ABS(AD6)&lt;=0.01</x:formula>
    </x:cfRule>
    <x:cfRule type="expression" dxfId="13" priority="14">
      <x:formula>ABS(AD6)&gt;0.01</x:formula>
    </x:cfRule>
  </x:conditionalFormatting>
  <x:conditionalFormatting sqref="AE6:AE70">
    <x:cfRule type="expression" dxfId="14" priority="15">
      <x:formula>LEFT(AE6,7)="СОШЛОСЬ"</x:formula>
    </x:cfRule>
    <x:cfRule type="expression" dxfId="15" priority="16">
      <x:formula>OR(AE6="НЕОПРЕДЕЛЕНО",AE6="ЧАСТИЧНО")</x:formula>
    </x:cfRule>
  </x:conditionalFormatting>
  <x:conditionalFormatting sqref="AK6:AK70">
    <x:cfRule type="expression" dxfId="16" priority="17">
      <x:formula>ABS(AK6)&lt;=0.01</x:formula>
    </x:cfRule>
    <x:cfRule type="expression" dxfId="17" priority="18">
      <x:formula>ABS(AK6)&gt;0.01</x:formula>
    </x:cfRule>
  </x:conditionalFormatting>
  <x:conditionalFormatting sqref="AL6:AL70">
    <x:cfRule type="expression" dxfId="18" priority="19">
      <x:formula>LEFT(AL6,7)="СОШЛОСЬ"</x:formula>
    </x:cfRule>
    <x:cfRule type="expression" dxfId="19" priority="20">
      <x:formula>OR(AL6="НЕОПРЕДЕЛЕНО",AL6="ЧАСТИЧНО")</x:formula>
    </x:cfRule>
  </x:conditionalFormatting>
  <x:conditionalFormatting sqref="AR6:AR70">
    <x:cfRule type="expression" dxfId="20" priority="21">
      <x:formula>ABS(AR6)&lt;=0.01</x:formula>
    </x:cfRule>
    <x:cfRule type="expression" dxfId="21" priority="22">
      <x:formula>ABS(AR6)&gt;0.01</x:formula>
    </x:cfRule>
  </x:conditionalFormatting>
  <x:conditionalFormatting sqref="AS6:AS70">
    <x:cfRule type="expression" dxfId="22" priority="23">
      <x:formula>LEFT(AS6,7)="СОШЛОСЬ"</x:formula>
    </x:cfRule>
    <x:cfRule type="expression" dxfId="23" priority="24">
      <x:formula>OR(AS6="НЕОПРЕДЕЛЕНО",AS6="ЧАСТИЧНО")</x:formula>
    </x:cfRule>
  </x:conditionalFormatting>
  <x:conditionalFormatting sqref="AY6:AY70">
    <x:cfRule type="expression" dxfId="24" priority="25">
      <x:formula>ABS(AY6)&lt;=0.01</x:formula>
    </x:cfRule>
    <x:cfRule type="expression" dxfId="25" priority="26">
      <x:formula>ABS(AY6)&gt;0.01</x:formula>
    </x:cfRule>
  </x:conditionalFormatting>
  <x:conditionalFormatting sqref="AZ6:AZ70">
    <x:cfRule type="expression" dxfId="26" priority="27">
      <x:formula>LEFT(AZ6,7)="СОШЛОСЬ"</x:formula>
    </x:cfRule>
    <x:cfRule type="expression" dxfId="27" priority="28">
      <x:formula>OR(AZ6="НЕОПРЕДЕЛЕНО",AZ6="ЧАСТИЧНО")</x:formula>
    </x:cfRule>
  </x:conditionalFormatting>
  <x:conditionalFormatting sqref="BF6:BF70">
    <x:cfRule type="expression" dxfId="28" priority="29">
      <x:formula>ABS(BF6)&lt;=0.01</x:formula>
    </x:cfRule>
    <x:cfRule type="expression" dxfId="29" priority="30">
      <x:formula>ABS(BF6)&gt;0.01</x:formula>
    </x:cfRule>
  </x:conditionalFormatting>
  <x:conditionalFormatting sqref="BG6:BG70">
    <x:cfRule type="expression" dxfId="30" priority="31">
      <x:formula>LEFT(BG6,7)="СОШЛОСЬ"</x:formula>
    </x:cfRule>
    <x:cfRule type="expression" dxfId="31" priority="32">
      <x:formula>OR(BG6="НЕОПРЕДЕЛЕНО",BG6="ЧАСТИЧНО")</x:formula>
    </x:cfRule>
  </x:conditionalFormatting>
  <x:conditionalFormatting sqref="BM6:BM70">
    <x:cfRule type="expression" dxfId="32" priority="33">
      <x:formula>ABS(BM6)&lt;=0.01</x:formula>
    </x:cfRule>
    <x:cfRule type="expression" dxfId="33" priority="34">
      <x:formula>ABS(BM6)&gt;0.01</x:formula>
    </x:cfRule>
  </x:conditionalFormatting>
  <x:conditionalFormatting sqref="BN6:BN70">
    <x:cfRule type="expression" dxfId="34" priority="35">
      <x:formula>LEFT(BN6,7)="СОШЛОСЬ"</x:formula>
    </x:cfRule>
    <x:cfRule type="expression" dxfId="35" priority="36">
      <x:formula>OR(BN6="НЕОПРЕДЕЛЕНО",BN6="ЧАСТИЧНО")</x:formula>
    </x:cfRule>
  </x:conditionalFormatting>
  <x:conditionalFormatting sqref="BT6:BT70">
    <x:cfRule type="expression" dxfId="36" priority="37">
      <x:formula>ABS(BT6)&lt;=0.01</x:formula>
    </x:cfRule>
    <x:cfRule type="expression" dxfId="37" priority="38">
      <x:formula>ABS(BT6)&gt;0.01</x:formula>
    </x:cfRule>
  </x:conditionalFormatting>
  <x:conditionalFormatting sqref="BU6:BU70">
    <x:cfRule type="expression" dxfId="38" priority="39">
      <x:formula>LEFT(BU6,7)="СОШЛОСЬ"</x:formula>
    </x:cfRule>
    <x:cfRule type="expression" dxfId="39" priority="40">
      <x:formula>OR(BU6="НЕОПРЕДЕЛЕНО",BU6="ЧАСТИЧНО")</x:formula>
    </x:cfRule>
  </x:conditionalFormatting>
  <x:conditionalFormatting sqref="CA6:CA70">
    <x:cfRule type="expression" dxfId="40" priority="41">
      <x:formula>ABS(CA6)&lt;=0.01</x:formula>
    </x:cfRule>
    <x:cfRule type="expression" dxfId="41" priority="42">
      <x:formula>ABS(CA6)&gt;0.01</x:formula>
    </x:cfRule>
  </x:conditionalFormatting>
  <x:conditionalFormatting sqref="CB6:CB70">
    <x:cfRule type="expression" dxfId="42" priority="43">
      <x:formula>LEFT(CB6,7)="СОШЛОСЬ"</x:formula>
    </x:cfRule>
    <x:cfRule type="expression" dxfId="43" priority="44">
      <x:formula>OR(CB6="НЕОПРЕДЕЛЕНО",CB6="ЧАСТИЧНО")</x:formula>
    </x:cfRule>
  </x:conditionalFormatting>
  <x:conditionalFormatting sqref="CH6:CH70">
    <x:cfRule type="expression" dxfId="44" priority="45">
      <x:formula>ABS(CH6)&lt;=0.01</x:formula>
    </x:cfRule>
    <x:cfRule type="expression" dxfId="45" priority="46">
      <x:formula>ABS(CH6)&gt;0.01</x:formula>
    </x:cfRule>
  </x:conditionalFormatting>
  <x:conditionalFormatting sqref="CI6:CI70">
    <x:cfRule type="expression" dxfId="46" priority="47">
      <x:formula>LEFT(CI6,7)="СОШЛОСЬ"</x:formula>
    </x:cfRule>
    <x:cfRule type="expression" dxfId="47" priority="48">
      <x:formula>OR(CI6="НЕОПРЕДЕЛЕНО",CI6="ЧАСТИЧНО")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1" hidden="0" customWidth="1"/>
    <x:col min="3" max="3" width="14" hidden="0" customWidth="1"/>
    <x:col min="4" max="4" width="46" hidden="0" customWidth="1"/>
    <x:col min="5" max="5" width="4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8" hidden="0" customWidth="1"/>
    <x:col min="11" max="11" width="17" hidden="0" customWidth="1"/>
    <x:col min="12" max="12" width="22" hidden="0" customWidth="1"/>
    <x:col min="13" max="13" width="34" hidden="0" customWidth="1"/>
  </x:cols>
  <x:sheetData>
    <x:row r="1" ht="28" customHeight="1">
      <x:c r="A1" s="6" t="str">
        <x:v>Детальная сверка ОПИУ за 2025-01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</x:row>
    <x:row r="2" ht="24" customHeight="1">
      <x:c r="A2" s="15" t="str">
        <x:v>Одна строка соответствует строке структуры ОПИУ образца. ID строится автоматически.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</x:row>
    <x:row r="3" ht="28" customHeight="1">
      <x:c r="A3" s="23" t="str">
        <x:v>Перед выпуском заполните паспорт, источники, решения и подтверждённые корректировки.</x:v>
      </x:c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</x:row>
    <x:row r="4">
      <x:c r="A4" s="270" t="str">
        <x:v>Период</x:v>
      </x:c>
      <x:c r="B4" s="270" t="str">
        <x:v>2025-01</x:v>
      </x:c>
      <x:c r="C4" s="270" t="str">
        <x:v>Код организации</x:v>
      </x:c>
      <x:c r="D4" s="270" t="str">
        <x:v>[КОДОРГ]</x:v>
      </x:c>
      <x:c r="E4" s="270" t="str">
        <x:v>Версия</x:v>
      </x:c>
      <x:c r="F4" s="270" t="str">
        <x:v>v01</x:v>
      </x:c>
    </x:row>
    <x:row r="6">
      <x:c r="A6" s="38" t="str">
        <x:v>Стабильный ID</x:v>
      </x:c>
      <x:c r="B6" s="38" t="str">
        <x:v>Код строки</x:v>
      </x:c>
      <x:c r="C6" s="38" t="str">
        <x:v>Тип строки</x:v>
      </x:c>
      <x:c r="D6" s="38" t="str">
        <x:v>Строка ОПИУ Инталев</x:v>
      </x:c>
      <x:c r="E6" s="38" t="str">
        <x:v>Строка/статья ERP</x:v>
      </x:c>
      <x:c r="F6" s="38" t="str">
        <x:v>Инталев эталон</x:v>
      </x:c>
      <x:c r="G6" s="38" t="str">
        <x:v>ERP текущая</x:v>
      </x:c>
      <x:c r="H6" s="38" t="str">
        <x:v>Дельта текущая</x:v>
      </x:c>
      <x:c r="I6" s="38" t="str">
        <x:v>Корректировки</x:v>
      </x:c>
      <x:c r="J6" s="38" t="str">
        <x:v>ОПИУ ERP после корректировки</x:v>
      </x:c>
      <x:c r="K6" s="38" t="str">
        <x:v>Остаточная дельта</x:v>
      </x:c>
      <x:c r="L6" s="38" t="str">
        <x:v>Статус</x:v>
      </x:c>
      <x:c r="M6" s="38" t="str">
        <x:v>ID проблемы/решения</x:v>
      </x:c>
    </x:row>
    <x:row r="7">
      <x:c r="A7" s="154" t="str">
        <x:f>"OPIU-"&amp;SUBSTITUTE($B$4,"-","")&amp;"-"&amp;$D$4&amp;"-"&amp;B7&amp;"-001-"&amp;$F$4</x:f>
        <x:v>OPIU-202501-[КОДОРГ]-R001-001-v01</x:v>
      </x:c>
      <x:c r="B7" s="154" t="str">
        <x:v>R001</x:v>
      </x:c>
      <x:c r="C7" s="154" t="str">
        <x:v>БЛОК</x:v>
      </x:c>
      <x:c r="D7" s="154" t="str">
        <x:v>  Административные расходы</x:v>
      </x:c>
      <x:c r="E7" s="154" t="str">
        <x:v>  1_Административные расходы</x:v>
      </x:c>
      <x:c r="F7" s="274"/>
      <x:c r="G7" s="278"/>
      <x:c r="H7" s="282" t="str">
        <x:f>IF(COUNTA(F7:G7)=0,"",N(F7)-N(G7))</x:f>
      </x:c>
      <x:c r="I7" s="286" t="str">
        <x:f>IF(COUNTA(F7:G7)=0,"",SUMIFS('04_Влияние_ОПИУ'!$F$2:$F$2000,'04_Влияние_ОПИУ'!$B$2:$B$2000,$B$4,'04_Влияние_ОПИУ'!$C$2:$C$2000,B7,'04_Влияние_ОПИУ'!$G$2:$G$2000,"Да"))</x:f>
      </x:c>
      <x:c r="J7" s="290" t="str">
        <x:f>IF(COUNTA(F7:G7)=0,"",N(G7)+N(I7))</x:f>
      </x:c>
      <x:c r="K7" s="292" t="str">
        <x:f>IF(COUNTA(F7:G7)=0,"",N(F7)-N(J7))</x:f>
      </x:c>
      <x:c r="L7" s="294" t="str">
        <x:f>IF(COUNTA(F7:G7)=0,"",IF(ABS(K7)&lt;=0.01,IF(ABS(I7)&gt;0.01,"СОШЛОСЬ ПОСЛЕ КОРР.","СОШЛОСЬ"),IF(ABS(I7)&gt;0.01,"ЧАСТИЧНО","НЕОПРЕДЕЛЕНО")))</x:f>
      </x:c>
      <x:c r="M7" s="154" t="str">
        <x:f>IF(COUNTA(F7:G7)=0,"",IF(ABS(K7)&lt;=0.01,"","UNRES-"&amp;SUBSTITUTE($B$4,"-","")&amp;"-"&amp;$D$4&amp;"-"&amp;B7))</x:f>
      </x:c>
    </x:row>
    <x:row r="8">
      <x:c r="A8" s="154" t="str">
        <x:f>"OPIU-"&amp;SUBSTITUTE($B$4,"-","")&amp;"-"&amp;$D$4&amp;"-"&amp;B8&amp;"-001-"&amp;$F$4</x:f>
        <x:v>OPIU-202501-[КОДОРГ]-R002-001-v01</x:v>
      </x:c>
      <x:c r="B8" s="154" t="str">
        <x:v>R002</x:v>
      </x:c>
      <x:c r="C8" s="154" t="str">
        <x:v>СТАТЬЯ</x:v>
      </x:c>
      <x:c r="D8" s="154" t="str">
        <x:v>      Аренда и содержание офисных помещений</x:v>
      </x:c>
      <x:c r="E8" s="154" t="str">
        <x:v>      Аренда и содержание офисных помещений</x:v>
      </x:c>
      <x:c r="F8" s="274"/>
      <x:c r="G8" s="278"/>
      <x:c r="H8" s="282" t="str">
        <x:f>IF(COUNTA(F8:G8)=0,"",N(F8)-N(G8))</x:f>
      </x:c>
      <x:c r="I8" s="286" t="str">
        <x:f>IF(COUNTA(F8:G8)=0,"",SUMIFS('04_Влияние_ОПИУ'!$F$2:$F$2000,'04_Влияние_ОПИУ'!$B$2:$B$2000,$B$4,'04_Влияние_ОПИУ'!$C$2:$C$2000,B8,'04_Влияние_ОПИУ'!$G$2:$G$2000,"Да"))</x:f>
      </x:c>
      <x:c r="J8" s="290" t="str">
        <x:f>IF(COUNTA(F8:G8)=0,"",N(G8)+N(I8))</x:f>
      </x:c>
      <x:c r="K8" s="292" t="str">
        <x:f>IF(COUNTA(F8:G8)=0,"",N(F8)-N(J8))</x:f>
      </x:c>
      <x:c r="L8" s="294" t="str">
        <x:f>IF(COUNTA(F8:G8)=0,"",IF(ABS(K8)&lt;=0.01,IF(ABS(I8)&gt;0.01,"СОШЛОСЬ ПОСЛЕ КОРР.","СОШЛОСЬ"),IF(ABS(I8)&gt;0.01,"ЧАСТИЧНО","НЕОПРЕДЕЛЕНО")))</x:f>
      </x:c>
      <x:c r="M8" s="154" t="str">
        <x:f>IF(COUNTA(F8:G8)=0,"",IF(ABS(K8)&lt;=0.01,"","UNRES-"&amp;SUBSTITUTE($B$4,"-","")&amp;"-"&amp;$D$4&amp;"-"&amp;B8))</x:f>
      </x:c>
    </x:row>
    <x:row r="9">
      <x:c r="A9" s="154" t="str">
        <x:f>"OPIU-"&amp;SUBSTITUTE($B$4,"-","")&amp;"-"&amp;$D$4&amp;"-"&amp;B9&amp;"-001-"&amp;$F$4</x:f>
        <x:v>OPIU-202501-[КОДОРГ]-R003-001-v01</x:v>
      </x:c>
      <x:c r="B9" s="154" t="str">
        <x:v>R003</x:v>
      </x:c>
      <x:c r="C9" s="154" t="str">
        <x:v>ДЕТАЛЬ</x:v>
      </x:c>
      <x:c r="D9" s="154" t="str">
        <x:v>        Аренда офиса внешняя</x:v>
      </x:c>
      <x:c r="E9" s="154" t="str">
        <x:v>        Аренда офиса внешняя</x:v>
      </x:c>
      <x:c r="F9" s="274"/>
      <x:c r="G9" s="278"/>
      <x:c r="H9" s="282" t="str">
        <x:f>IF(COUNTA(F9:G9)=0,"",N(F9)-N(G9))</x:f>
      </x:c>
      <x:c r="I9" s="286" t="str">
        <x:f>IF(COUNTA(F9:G9)=0,"",SUMIFS('04_Влияние_ОПИУ'!$F$2:$F$2000,'04_Влияние_ОПИУ'!$B$2:$B$2000,$B$4,'04_Влияние_ОПИУ'!$C$2:$C$2000,B9,'04_Влияние_ОПИУ'!$G$2:$G$2000,"Да"))</x:f>
      </x:c>
      <x:c r="J9" s="290" t="str">
        <x:f>IF(COUNTA(F9:G9)=0,"",N(G9)+N(I9))</x:f>
      </x:c>
      <x:c r="K9" s="292" t="str">
        <x:f>IF(COUNTA(F9:G9)=0,"",N(F9)-N(J9))</x:f>
      </x:c>
      <x:c r="L9" s="294" t="str">
        <x:f>IF(COUNTA(F9:G9)=0,"",IF(ABS(K9)&lt;=0.01,IF(ABS(I9)&gt;0.01,"СОШЛОСЬ ПОСЛЕ КОРР.","СОШЛОСЬ"),IF(ABS(I9)&gt;0.01,"ЧАСТИЧНО","НЕОПРЕДЕЛЕНО")))</x:f>
      </x:c>
      <x:c r="M9" s="154" t="str">
        <x:f>IF(COUNTA(F9:G9)=0,"",IF(ABS(K9)&lt;=0.01,"","UNRES-"&amp;SUBSTITUTE($B$4,"-","")&amp;"-"&amp;$D$4&amp;"-"&amp;B9))</x:f>
      </x:c>
    </x:row>
    <x:row r="10">
      <x:c r="A10" s="154" t="str">
        <x:f>"OPIU-"&amp;SUBSTITUTE($B$4,"-","")&amp;"-"&amp;$D$4&amp;"-"&amp;B10&amp;"-001-"&amp;$F$4</x:f>
        <x:v>OPIU-202501-[КОДОРГ]-R004-001-v01</x:v>
      </x:c>
      <x:c r="B10" s="154" t="str">
        <x:v>R004</x:v>
      </x:c>
      <x:c r="C10" s="154" t="str">
        <x:v>ДЕТАЛЬ</x:v>
      </x:c>
      <x:c r="D10" s="154" t="str">
        <x:v>        Аренда офиса внутренняя</x:v>
      </x:c>
      <x:c r="E10" s="154" t="str">
        <x:v>        Аренда офиса внутренняя</x:v>
      </x:c>
      <x:c r="F10" s="274"/>
      <x:c r="G10" s="278"/>
      <x:c r="H10" s="282" t="str">
        <x:f>IF(COUNTA(F10:G10)=0,"",N(F10)-N(G10))</x:f>
      </x:c>
      <x:c r="I10" s="286" t="str">
        <x:f>IF(COUNTA(F10:G10)=0,"",SUMIFS('04_Влияние_ОПИУ'!$F$2:$F$2000,'04_Влияние_ОПИУ'!$B$2:$B$2000,$B$4,'04_Влияние_ОПИУ'!$C$2:$C$2000,B10,'04_Влияние_ОПИУ'!$G$2:$G$2000,"Да"))</x:f>
      </x:c>
      <x:c r="J10" s="290" t="str">
        <x:f>IF(COUNTA(F10:G10)=0,"",N(G10)+N(I10))</x:f>
      </x:c>
      <x:c r="K10" s="292" t="str">
        <x:f>IF(COUNTA(F10:G10)=0,"",N(F10)-N(J10))</x:f>
      </x:c>
      <x:c r="L10" s="294" t="str">
        <x:f>IF(COUNTA(F10:G10)=0,"",IF(ABS(K10)&lt;=0.01,IF(ABS(I10)&gt;0.01,"СОШЛОСЬ ПОСЛЕ КОРР.","СОШЛОСЬ"),IF(ABS(I10)&gt;0.01,"ЧАСТИЧНО","НЕОПРЕДЕЛЕНО")))</x:f>
      </x:c>
      <x:c r="M10" s="154" t="str">
        <x:f>IF(COUNTA(F10:G10)=0,"",IF(ABS(K10)&lt;=0.01,"","UNRES-"&amp;SUBSTITUTE($B$4,"-","")&amp;"-"&amp;$D$4&amp;"-"&amp;B10))</x:f>
      </x:c>
    </x:row>
    <x:row r="11">
      <x:c r="A11" s="154" t="str">
        <x:f>"OPIU-"&amp;SUBSTITUTE($B$4,"-","")&amp;"-"&amp;$D$4&amp;"-"&amp;B11&amp;"-001-"&amp;$F$4</x:f>
        <x:v>OPIU-202501-[КОДОРГ]-R005-001-v01</x:v>
      </x:c>
      <x:c r="B11" s="154" t="str">
        <x:v>R005</x:v>
      </x:c>
      <x:c r="C11" s="154" t="str">
        <x:v>ДЕТАЛЬ</x:v>
      </x:c>
      <x:c r="D11" s="154" t="str">
        <x:v>        Коммунальные расходы</x:v>
      </x:c>
      <x:c r="E11" s="154" t="str">
        <x:v>        Коммунальные расходы</x:v>
      </x:c>
      <x:c r="F11" s="274"/>
      <x:c r="G11" s="278"/>
      <x:c r="H11" s="282" t="str">
        <x:f>IF(COUNTA(F11:G11)=0,"",N(F11)-N(G11))</x:f>
      </x:c>
      <x:c r="I11" s="286" t="str">
        <x:f>IF(COUNTA(F11:G11)=0,"",SUMIFS('04_Влияние_ОПИУ'!$F$2:$F$2000,'04_Влияние_ОПИУ'!$B$2:$B$2000,$B$4,'04_Влияние_ОПИУ'!$C$2:$C$2000,B11,'04_Влияние_ОПИУ'!$G$2:$G$2000,"Да"))</x:f>
      </x:c>
      <x:c r="J11" s="290" t="str">
        <x:f>IF(COUNTA(F11:G11)=0,"",N(G11)+N(I11))</x:f>
      </x:c>
      <x:c r="K11" s="292" t="str">
        <x:f>IF(COUNTA(F11:G11)=0,"",N(F11)-N(J11))</x:f>
      </x:c>
      <x:c r="L11" s="294" t="str">
        <x:f>IF(COUNTA(F11:G11)=0,"",IF(ABS(K11)&lt;=0.01,IF(ABS(I11)&gt;0.01,"СОШЛОСЬ ПОСЛЕ КОРР.","СОШЛОСЬ"),IF(ABS(I11)&gt;0.01,"ЧАСТИЧНО","НЕОПРЕДЕЛЕНО")))</x:f>
      </x:c>
      <x:c r="M11" s="154" t="str">
        <x:f>IF(COUNTA(F11:G11)=0,"",IF(ABS(K11)&lt;=0.01,"","UNRES-"&amp;SUBSTITUTE($B$4,"-","")&amp;"-"&amp;$D$4&amp;"-"&amp;B11))</x:f>
      </x:c>
    </x:row>
    <x:row r="12">
      <x:c r="A12" s="154" t="str">
        <x:f>"OPIU-"&amp;SUBSTITUTE($B$4,"-","")&amp;"-"&amp;$D$4&amp;"-"&amp;B12&amp;"-001-"&amp;$F$4</x:f>
        <x:v>OPIU-202501-[КОДОРГ]-R006-001-v01</x:v>
      </x:c>
      <x:c r="B12" s="154" t="str">
        <x:v>R006</x:v>
      </x:c>
      <x:c r="C12" s="154" t="str">
        <x:v>ДЕТАЛЬ</x:v>
      </x:c>
      <x:c r="D12" s="154" t="str">
        <x:v>        Охрана</x:v>
      </x:c>
      <x:c r="E12" s="154" t="str">
        <x:v>        Охрана</x:v>
      </x:c>
      <x:c r="F12" s="274"/>
      <x:c r="G12" s="278"/>
      <x:c r="H12" s="282" t="str">
        <x:f>IF(COUNTA(F12:G12)=0,"",N(F12)-N(G12))</x:f>
      </x:c>
      <x:c r="I12" s="286" t="str">
        <x:f>IF(COUNTA(F12:G12)=0,"",SUMIFS('04_Влияние_ОПИУ'!$F$2:$F$2000,'04_Влияние_ОПИУ'!$B$2:$B$2000,$B$4,'04_Влияние_ОПИУ'!$C$2:$C$2000,B12,'04_Влияние_ОПИУ'!$G$2:$G$2000,"Да"))</x:f>
      </x:c>
      <x:c r="J12" s="290" t="str">
        <x:f>IF(COUNTA(F12:G12)=0,"",N(G12)+N(I12))</x:f>
      </x:c>
      <x:c r="K12" s="292" t="str">
        <x:f>IF(COUNTA(F12:G12)=0,"",N(F12)-N(J12))</x:f>
      </x:c>
      <x:c r="L12" s="294" t="str">
        <x:f>IF(COUNTA(F12:G12)=0,"",IF(ABS(K12)&lt;=0.01,IF(ABS(I12)&gt;0.01,"СОШЛОСЬ ПОСЛЕ КОРР.","СОШЛОСЬ"),IF(ABS(I12)&gt;0.01,"ЧАСТИЧНО","НЕОПРЕДЕЛЕНО")))</x:f>
      </x:c>
      <x:c r="M12" s="154" t="str">
        <x:f>IF(COUNTA(F12:G12)=0,"",IF(ABS(K12)&lt;=0.01,"","UNRES-"&amp;SUBSTITUTE($B$4,"-","")&amp;"-"&amp;$D$4&amp;"-"&amp;B12))</x:f>
      </x:c>
    </x:row>
    <x:row r="13">
      <x:c r="A13" s="154" t="str">
        <x:f>"OPIU-"&amp;SUBSTITUTE($B$4,"-","")&amp;"-"&amp;$D$4&amp;"-"&amp;B13&amp;"-001-"&amp;$F$4</x:f>
        <x:v>OPIU-202501-[КОДОРГ]-R007-001-v01</x:v>
      </x:c>
      <x:c r="B13" s="154" t="str">
        <x:v>R007</x:v>
      </x:c>
      <x:c r="C13" s="154" t="str">
        <x:v>ДЕТАЛЬ</x:v>
      </x:c>
      <x:c r="D13" s="154" t="str">
        <x:v>        Текущий ремонт</x:v>
      </x:c>
      <x:c r="E13" s="154" t="str">
        <x:v>        Текущий ремонт</x:v>
      </x:c>
      <x:c r="F13" s="274"/>
      <x:c r="G13" s="278"/>
      <x:c r="H13" s="282" t="str">
        <x:f>IF(COUNTA(F13:G13)=0,"",N(F13)-N(G13))</x:f>
      </x:c>
      <x:c r="I13" s="286" t="str">
        <x:f>IF(COUNTA(F13:G13)=0,"",SUMIFS('04_Влияние_ОПИУ'!$F$2:$F$2000,'04_Влияние_ОПИУ'!$B$2:$B$2000,$B$4,'04_Влияние_ОПИУ'!$C$2:$C$2000,B13,'04_Влияние_ОПИУ'!$G$2:$G$2000,"Да"))</x:f>
      </x:c>
      <x:c r="J13" s="290" t="str">
        <x:f>IF(COUNTA(F13:G13)=0,"",N(G13)+N(I13))</x:f>
      </x:c>
      <x:c r="K13" s="292" t="str">
        <x:f>IF(COUNTA(F13:G13)=0,"",N(F13)-N(J13))</x:f>
      </x:c>
      <x:c r="L13" s="294" t="str">
        <x:f>IF(COUNTA(F13:G13)=0,"",IF(ABS(K13)&lt;=0.01,IF(ABS(I13)&gt;0.01,"СОШЛОСЬ ПОСЛЕ КОРР.","СОШЛОСЬ"),IF(ABS(I13)&gt;0.01,"ЧАСТИЧНО","НЕОПРЕДЕЛЕНО")))</x:f>
      </x:c>
      <x:c r="M13" s="154" t="str">
        <x:f>IF(COUNTA(F13:G13)=0,"",IF(ABS(K13)&lt;=0.01,"","UNRES-"&amp;SUBSTITUTE($B$4,"-","")&amp;"-"&amp;$D$4&amp;"-"&amp;B13))</x:f>
      </x:c>
    </x:row>
    <x:row r="14">
      <x:c r="A14" s="154" t="str">
        <x:f>"OPIU-"&amp;SUBSTITUTE($B$4,"-","")&amp;"-"&amp;$D$4&amp;"-"&amp;B14&amp;"-001-"&amp;$F$4</x:f>
        <x:v>OPIU-202501-[КОДОРГ]-R008-001-v01</x:v>
      </x:c>
      <x:c r="B14" s="154" t="str">
        <x:v>R008</x:v>
      </x:c>
      <x:c r="C14" s="154" t="str">
        <x:v>ДЕТАЛЬ</x:v>
      </x:c>
      <x:c r="D14" s="154" t="str">
        <x:v>        Уборка и прочее содержание</x:v>
      </x:c>
      <x:c r="E14" s="154" t="str">
        <x:v>        Уборка и прочее содержание</x:v>
      </x:c>
      <x:c r="F14" s="274"/>
      <x:c r="G14" s="278"/>
      <x:c r="H14" s="282" t="str">
        <x:f>IF(COUNTA(F14:G14)=0,"",N(F14)-N(G14))</x:f>
      </x:c>
      <x:c r="I14" s="286" t="str">
        <x:f>IF(COUNTA(F14:G14)=0,"",SUMIFS('04_Влияние_ОПИУ'!$F$2:$F$2000,'04_Влияние_ОПИУ'!$B$2:$B$2000,$B$4,'04_Влияние_ОПИУ'!$C$2:$C$2000,B14,'04_Влияние_ОПИУ'!$G$2:$G$2000,"Да"))</x:f>
      </x:c>
      <x:c r="J14" s="290" t="str">
        <x:f>IF(COUNTA(F14:G14)=0,"",N(G14)+N(I14))</x:f>
      </x:c>
      <x:c r="K14" s="292" t="str">
        <x:f>IF(COUNTA(F14:G14)=0,"",N(F14)-N(J14))</x:f>
      </x:c>
      <x:c r="L14" s="294" t="str">
        <x:f>IF(COUNTA(F14:G14)=0,"",IF(ABS(K14)&lt;=0.01,IF(ABS(I14)&gt;0.01,"СОШЛОСЬ ПОСЛЕ КОРР.","СОШЛОСЬ"),IF(ABS(I14)&gt;0.01,"ЧАСТИЧНО","НЕОПРЕДЕЛЕНО")))</x:f>
      </x:c>
      <x:c r="M14" s="154" t="str">
        <x:f>IF(COUNTA(F14:G14)=0,"",IF(ABS(K14)&lt;=0.01,"","UNRES-"&amp;SUBSTITUTE($B$4,"-","")&amp;"-"&amp;$D$4&amp;"-"&amp;B14))</x:f>
      </x:c>
    </x:row>
    <x:row r="15">
      <x:c r="A15" s="154" t="str">
        <x:f>"OPIU-"&amp;SUBSTITUTE($B$4,"-","")&amp;"-"&amp;$D$4&amp;"-"&amp;B15&amp;"-001-"&amp;$F$4</x:f>
        <x:v>OPIU-202501-[КОДОРГ]-R009-001-v01</x:v>
      </x:c>
      <x:c r="B15" s="154" t="str">
        <x:v>R009</x:v>
      </x:c>
      <x:c r="C15" s="154" t="str">
        <x:v>ДЕТАЛЬ</x:v>
      </x:c>
      <x:c r="D15" s="154" t="str">
        <x:v>        Электроэнергия</x:v>
      </x:c>
      <x:c r="E15" s="154" t="str">
        <x:v>        Электроэнергия</x:v>
      </x:c>
      <x:c r="F15" s="274"/>
      <x:c r="G15" s="278"/>
      <x:c r="H15" s="282" t="str">
        <x:f>IF(COUNTA(F15:G15)=0,"",N(F15)-N(G15))</x:f>
      </x:c>
      <x:c r="I15" s="286" t="str">
        <x:f>IF(COUNTA(F15:G15)=0,"",SUMIFS('04_Влияние_ОПИУ'!$F$2:$F$2000,'04_Влияние_ОПИУ'!$B$2:$B$2000,$B$4,'04_Влияние_ОПИУ'!$C$2:$C$2000,B15,'04_Влияние_ОПИУ'!$G$2:$G$2000,"Да"))</x:f>
      </x:c>
      <x:c r="J15" s="290" t="str">
        <x:f>IF(COUNTA(F15:G15)=0,"",N(G15)+N(I15))</x:f>
      </x:c>
      <x:c r="K15" s="292" t="str">
        <x:f>IF(COUNTA(F15:G15)=0,"",N(F15)-N(J15))</x:f>
      </x:c>
      <x:c r="L15" s="294" t="str">
        <x:f>IF(COUNTA(F15:G15)=0,"",IF(ABS(K15)&lt;=0.01,IF(ABS(I15)&gt;0.01,"СОШЛОСЬ ПОСЛЕ КОРР.","СОШЛОСЬ"),IF(ABS(I15)&gt;0.01,"ЧАСТИЧНО","НЕОПРЕДЕЛЕНО")))</x:f>
      </x:c>
      <x:c r="M15" s="154" t="str">
        <x:f>IF(COUNTA(F15:G15)=0,"",IF(ABS(K15)&lt;=0.01,"","UNRES-"&amp;SUBSTITUTE($B$4,"-","")&amp;"-"&amp;$D$4&amp;"-"&amp;B15))</x:f>
      </x:c>
    </x:row>
    <x:row r="16">
      <x:c r="A16" s="154" t="str">
        <x:f>"OPIU-"&amp;SUBSTITUTE($B$4,"-","")&amp;"-"&amp;$D$4&amp;"-"&amp;B16&amp;"-001-"&amp;$F$4</x:f>
        <x:v>OPIU-202501-[КОДОРГ]-R010-001-v01</x:v>
      </x:c>
      <x:c r="B16" s="154" t="str">
        <x:v>R010</x:v>
      </x:c>
      <x:c r="C16" s="154" t="str">
        <x:v>СТАТЬЯ</x:v>
      </x:c>
      <x:c r="D16" s="154" t="str">
        <x:v>      Командировочные</x:v>
      </x:c>
      <x:c r="E16" s="154" t="str">
        <x:v>      Командировочные</x:v>
      </x:c>
      <x:c r="F16" s="274"/>
      <x:c r="G16" s="278"/>
      <x:c r="H16" s="282" t="str">
        <x:f>IF(COUNTA(F16:G16)=0,"",N(F16)-N(G16))</x:f>
      </x:c>
      <x:c r="I16" s="286" t="str">
        <x:f>IF(COUNTA(F16:G16)=0,"",SUMIFS('04_Влияние_ОПИУ'!$F$2:$F$2000,'04_Влияние_ОПИУ'!$B$2:$B$2000,$B$4,'04_Влияние_ОПИУ'!$C$2:$C$2000,B16,'04_Влияние_ОПИУ'!$G$2:$G$2000,"Да"))</x:f>
      </x:c>
      <x:c r="J16" s="290" t="str">
        <x:f>IF(COUNTA(F16:G16)=0,"",N(G16)+N(I16))</x:f>
      </x:c>
      <x:c r="K16" s="292" t="str">
        <x:f>IF(COUNTA(F16:G16)=0,"",N(F16)-N(J16))</x:f>
      </x:c>
      <x:c r="L16" s="294" t="str">
        <x:f>IF(COUNTA(F16:G16)=0,"",IF(ABS(K16)&lt;=0.01,IF(ABS(I16)&gt;0.01,"СОШЛОСЬ ПОСЛЕ КОРР.","СОШЛОСЬ"),IF(ABS(I16)&gt;0.01,"ЧАСТИЧНО","НЕОПРЕДЕЛЕНО")))</x:f>
      </x:c>
      <x:c r="M16" s="154" t="str">
        <x:f>IF(COUNTA(F16:G16)=0,"",IF(ABS(K16)&lt;=0.01,"","UNRES-"&amp;SUBSTITUTE($B$4,"-","")&amp;"-"&amp;$D$4&amp;"-"&amp;B16))</x:f>
      </x:c>
    </x:row>
    <x:row r="17">
      <x:c r="A17" s="154" t="str">
        <x:f>"OPIU-"&amp;SUBSTITUTE($B$4,"-","")&amp;"-"&amp;$D$4&amp;"-"&amp;B17&amp;"-001-"&amp;$F$4</x:f>
        <x:v>OPIU-202501-[КОДОРГ]-R011-001-v01</x:v>
      </x:c>
      <x:c r="B17" s="154" t="str">
        <x:v>R011</x:v>
      </x:c>
      <x:c r="C17" s="154" t="str">
        <x:v>СТАТЬЯ</x:v>
      </x:c>
      <x:c r="D17" s="154" t="str">
        <x:v>      Налоги зарплатные</x:v>
      </x:c>
      <x:c r="E17" s="154" t="str">
        <x:v>      Налоги зарплатные</x:v>
      </x:c>
      <x:c r="F17" s="274"/>
      <x:c r="G17" s="278"/>
      <x:c r="H17" s="282" t="str">
        <x:f>IF(COUNTA(F17:G17)=0,"",N(F17)-N(G17))</x:f>
      </x:c>
      <x:c r="I17" s="286" t="str">
        <x:f>IF(COUNTA(F17:G17)=0,"",SUMIFS('04_Влияние_ОПИУ'!$F$2:$F$2000,'04_Влияние_ОПИУ'!$B$2:$B$2000,$B$4,'04_Влияние_ОПИУ'!$C$2:$C$2000,B17,'04_Влияние_ОПИУ'!$G$2:$G$2000,"Да"))</x:f>
      </x:c>
      <x:c r="J17" s="290" t="str">
        <x:f>IF(COUNTA(F17:G17)=0,"",N(G17)+N(I17))</x:f>
      </x:c>
      <x:c r="K17" s="292" t="str">
        <x:f>IF(COUNTA(F17:G17)=0,"",N(F17)-N(J17))</x:f>
      </x:c>
      <x:c r="L17" s="294" t="str">
        <x:f>IF(COUNTA(F17:G17)=0,"",IF(ABS(K17)&lt;=0.01,IF(ABS(I17)&gt;0.01,"СОШЛОСЬ ПОСЛЕ КОРР.","СОШЛОСЬ"),IF(ABS(I17)&gt;0.01,"ЧАСТИЧНО","НЕОПРЕДЕЛЕНО")))</x:f>
      </x:c>
      <x:c r="M17" s="154" t="str">
        <x:f>IF(COUNTA(F17:G17)=0,"",IF(ABS(K17)&lt;=0.01,"","UNRES-"&amp;SUBSTITUTE($B$4,"-","")&amp;"-"&amp;$D$4&amp;"-"&amp;B17))</x:f>
      </x:c>
    </x:row>
    <x:row r="18">
      <x:c r="A18" s="154" t="str">
        <x:f>"OPIU-"&amp;SUBSTITUTE($B$4,"-","")&amp;"-"&amp;$D$4&amp;"-"&amp;B18&amp;"-001-"&amp;$F$4</x:f>
        <x:v>OPIU-202501-[КОДОРГ]-R012-001-v01</x:v>
      </x:c>
      <x:c r="B18" s="154" t="str">
        <x:v>R012</x:v>
      </x:c>
      <x:c r="C18" s="154" t="str">
        <x:v>СТАТЬЯ</x:v>
      </x:c>
      <x:c r="D18" s="154" t="str">
        <x:v>      Прочие административные расходы</x:v>
      </x:c>
      <x:c r="E18" s="154" t="str">
        <x:v>      Прочие административные расходы</x:v>
      </x:c>
      <x:c r="F18" s="274"/>
      <x:c r="G18" s="278"/>
      <x:c r="H18" s="282" t="str">
        <x:f>IF(COUNTA(F18:G18)=0,"",N(F18)-N(G18))</x:f>
      </x:c>
      <x:c r="I18" s="286" t="str">
        <x:f>IF(COUNTA(F18:G18)=0,"",SUMIFS('04_Влияние_ОПИУ'!$F$2:$F$2000,'04_Влияние_ОПИУ'!$B$2:$B$2000,$B$4,'04_Влияние_ОПИУ'!$C$2:$C$2000,B18,'04_Влияние_ОПИУ'!$G$2:$G$2000,"Да"))</x:f>
      </x:c>
      <x:c r="J18" s="290" t="str">
        <x:f>IF(COUNTA(F18:G18)=0,"",N(G18)+N(I18))</x:f>
      </x:c>
      <x:c r="K18" s="292" t="str">
        <x:f>IF(COUNTA(F18:G18)=0,"",N(F18)-N(J18))</x:f>
      </x:c>
      <x:c r="L18" s="294" t="str">
        <x:f>IF(COUNTA(F18:G18)=0,"",IF(ABS(K18)&lt;=0.01,IF(ABS(I18)&gt;0.01,"СОШЛОСЬ ПОСЛЕ КОРР.","СОШЛОСЬ"),IF(ABS(I18)&gt;0.01,"ЧАСТИЧНО","НЕОПРЕДЕЛЕНО")))</x:f>
      </x:c>
      <x:c r="M18" s="154" t="str">
        <x:f>IF(COUNTA(F18:G18)=0,"",IF(ABS(K18)&lt;=0.01,"","UNRES-"&amp;SUBSTITUTE($B$4,"-","")&amp;"-"&amp;$D$4&amp;"-"&amp;B18))</x:f>
      </x:c>
    </x:row>
    <x:row r="19">
      <x:c r="A19" s="154" t="str">
        <x:f>"OPIU-"&amp;SUBSTITUTE($B$4,"-","")&amp;"-"&amp;$D$4&amp;"-"&amp;B19&amp;"-001-"&amp;$F$4</x:f>
        <x:v>OPIU-202501-[КОДОРГ]-R013-001-v01</x:v>
      </x:c>
      <x:c r="B19" s="154" t="str">
        <x:v>R013</x:v>
      </x:c>
      <x:c r="C19" s="154" t="str">
        <x:v>ДЕТАЛЬ</x:v>
      </x:c>
      <x:c r="D19" s="154" t="str">
        <x:v>        Канцелярские расходы</x:v>
      </x:c>
      <x:c r="E19" s="154" t="str">
        <x:v>        Канцелярские расходы</x:v>
      </x:c>
      <x:c r="F19" s="274"/>
      <x:c r="G19" s="278"/>
      <x:c r="H19" s="282" t="str">
        <x:f>IF(COUNTA(F19:G19)=0,"",N(F19)-N(G19))</x:f>
      </x:c>
      <x:c r="I19" s="286" t="str">
        <x:f>IF(COUNTA(F19:G19)=0,"",SUMIFS('04_Влияние_ОПИУ'!$F$2:$F$2000,'04_Влияние_ОПИУ'!$B$2:$B$2000,$B$4,'04_Влияние_ОПИУ'!$C$2:$C$2000,B19,'04_Влияние_ОПИУ'!$G$2:$G$2000,"Да"))</x:f>
      </x:c>
      <x:c r="J19" s="290" t="str">
        <x:f>IF(COUNTA(F19:G19)=0,"",N(G19)+N(I19))</x:f>
      </x:c>
      <x:c r="K19" s="292" t="str">
        <x:f>IF(COUNTA(F19:G19)=0,"",N(F19)-N(J19))</x:f>
      </x:c>
      <x:c r="L19" s="294" t="str">
        <x:f>IF(COUNTA(F19:G19)=0,"",IF(ABS(K19)&lt;=0.01,IF(ABS(I19)&gt;0.01,"СОШЛОСЬ ПОСЛЕ КОРР.","СОШЛОСЬ"),IF(ABS(I19)&gt;0.01,"ЧАСТИЧНО","НЕОПРЕДЕЛЕНО")))</x:f>
      </x:c>
      <x:c r="M19" s="154" t="str">
        <x:f>IF(COUNTA(F19:G19)=0,"",IF(ABS(K19)&lt;=0.01,"","UNRES-"&amp;SUBSTITUTE($B$4,"-","")&amp;"-"&amp;$D$4&amp;"-"&amp;B19))</x:f>
      </x:c>
    </x:row>
    <x:row r="20">
      <x:c r="A20" s="154" t="str">
        <x:f>"OPIU-"&amp;SUBSTITUTE($B$4,"-","")&amp;"-"&amp;$D$4&amp;"-"&amp;B20&amp;"-001-"&amp;$F$4</x:f>
        <x:v>OPIU-202501-[КОДОРГ]-R014-001-v01</x:v>
      </x:c>
      <x:c r="B20" s="154" t="str">
        <x:v>R014</x:v>
      </x:c>
      <x:c r="C20" s="154" t="str">
        <x:v>ДЕТАЛЬ</x:v>
      </x:c>
      <x:c r="D20" s="154" t="str">
        <x:v>        МБП прочие</x:v>
      </x:c>
      <x:c r="E20" s="154" t="str">
        <x:v>        МБП прочие</x:v>
      </x:c>
      <x:c r="F20" s="274"/>
      <x:c r="G20" s="278"/>
      <x:c r="H20" s="282" t="str">
        <x:f>IF(COUNTA(F20:G20)=0,"",N(F20)-N(G20))</x:f>
      </x:c>
      <x:c r="I20" s="286" t="str">
        <x:f>IF(COUNTA(F20:G20)=0,"",SUMIFS('04_Влияние_ОПИУ'!$F$2:$F$2000,'04_Влияние_ОПИУ'!$B$2:$B$2000,$B$4,'04_Влияние_ОПИУ'!$C$2:$C$2000,B20,'04_Влияние_ОПИУ'!$G$2:$G$2000,"Да"))</x:f>
      </x:c>
      <x:c r="J20" s="290" t="str">
        <x:f>IF(COUNTA(F20:G20)=0,"",N(G20)+N(I20))</x:f>
      </x:c>
      <x:c r="K20" s="292" t="str">
        <x:f>IF(COUNTA(F20:G20)=0,"",N(F20)-N(J20))</x:f>
      </x:c>
      <x:c r="L20" s="294" t="str">
        <x:f>IF(COUNTA(F20:G20)=0,"",IF(ABS(K20)&lt;=0.01,IF(ABS(I20)&gt;0.01,"СОШЛОСЬ ПОСЛЕ КОРР.","СОШЛОСЬ"),IF(ABS(I20)&gt;0.01,"ЧАСТИЧНО","НЕОПРЕДЕЛЕНО")))</x:f>
      </x:c>
      <x:c r="M20" s="154" t="str">
        <x:f>IF(COUNTA(F20:G20)=0,"",IF(ABS(K20)&lt;=0.01,"","UNRES-"&amp;SUBSTITUTE($B$4,"-","")&amp;"-"&amp;$D$4&amp;"-"&amp;B20))</x:f>
      </x:c>
    </x:row>
    <x:row r="21">
      <x:c r="A21" s="154" t="str">
        <x:f>"OPIU-"&amp;SUBSTITUTE($B$4,"-","")&amp;"-"&amp;$D$4&amp;"-"&amp;B21&amp;"-001-"&amp;$F$4</x:f>
        <x:v>OPIU-202501-[КОДОРГ]-R015-001-v01</x:v>
      </x:c>
      <x:c r="B21" s="154" t="str">
        <x:v>R015</x:v>
      </x:c>
      <x:c r="C21" s="154" t="str">
        <x:v>ДЕТАЛЬ</x:v>
      </x:c>
      <x:c r="D21" s="154" t="str">
        <x:v>        ПО рабочее для функций (ЭДО и т.д.)</x:v>
      </x:c>
      <x:c r="E21" s="154" t="str">
        <x:v>        ПО рабочее для функций (ЭДО и т.д.)</x:v>
      </x:c>
      <x:c r="F21" s="274"/>
      <x:c r="G21" s="278"/>
      <x:c r="H21" s="282" t="str">
        <x:f>IF(COUNTA(F21:G21)=0,"",N(F21)-N(G21))</x:f>
      </x:c>
      <x:c r="I21" s="286" t="str">
        <x:f>IF(COUNTA(F21:G21)=0,"",SUMIFS('04_Влияние_ОПИУ'!$F$2:$F$2000,'04_Влияние_ОПИУ'!$B$2:$B$2000,$B$4,'04_Влияние_ОПИУ'!$C$2:$C$2000,B21,'04_Влияние_ОПИУ'!$G$2:$G$2000,"Да"))</x:f>
      </x:c>
      <x:c r="J21" s="290" t="str">
        <x:f>IF(COUNTA(F21:G21)=0,"",N(G21)+N(I21))</x:f>
      </x:c>
      <x:c r="K21" s="292" t="str">
        <x:f>IF(COUNTA(F21:G21)=0,"",N(F21)-N(J21))</x:f>
      </x:c>
      <x:c r="L21" s="294" t="str">
        <x:f>IF(COUNTA(F21:G21)=0,"",IF(ABS(K21)&lt;=0.01,IF(ABS(I21)&gt;0.01,"СОШЛОСЬ ПОСЛЕ КОРР.","СОШЛОСЬ"),IF(ABS(I21)&gt;0.01,"ЧАСТИЧНО","НЕОПРЕДЕЛЕНО")))</x:f>
      </x:c>
      <x:c r="M21" s="154" t="str">
        <x:f>IF(COUNTA(F21:G21)=0,"",IF(ABS(K21)&lt;=0.01,"","UNRES-"&amp;SUBSTITUTE($B$4,"-","")&amp;"-"&amp;$D$4&amp;"-"&amp;B21))</x:f>
      </x:c>
    </x:row>
    <x:row r="22">
      <x:c r="A22" s="154" t="str">
        <x:f>"OPIU-"&amp;SUBSTITUTE($B$4,"-","")&amp;"-"&amp;$D$4&amp;"-"&amp;B22&amp;"-001-"&amp;$F$4</x:f>
        <x:v>OPIU-202501-[КОДОРГ]-R016-001-v01</x:v>
      </x:c>
      <x:c r="B22" s="154" t="str">
        <x:v>R016</x:v>
      </x:c>
      <x:c r="C22" s="154" t="str">
        <x:v>ДЕТАЛЬ</x:v>
      </x:c>
      <x:c r="D22" s="154" t="str">
        <x:v>        Почтовые расходы</x:v>
      </x:c>
      <x:c r="E22" s="154" t="str">
        <x:v>        Почтовые расходы</x:v>
      </x:c>
      <x:c r="F22" s="274"/>
      <x:c r="G22" s="278"/>
      <x:c r="H22" s="282" t="str">
        <x:f>IF(COUNTA(F22:G22)=0,"",N(F22)-N(G22))</x:f>
      </x:c>
      <x:c r="I22" s="286" t="str">
        <x:f>IF(COUNTA(F22:G22)=0,"",SUMIFS('04_Влияние_ОПИУ'!$F$2:$F$2000,'04_Влияние_ОПИУ'!$B$2:$B$2000,$B$4,'04_Влияние_ОПИУ'!$C$2:$C$2000,B22,'04_Влияние_ОПИУ'!$G$2:$G$2000,"Да"))</x:f>
      </x:c>
      <x:c r="J22" s="290" t="str">
        <x:f>IF(COUNTA(F22:G22)=0,"",N(G22)+N(I22))</x:f>
      </x:c>
      <x:c r="K22" s="292" t="str">
        <x:f>IF(COUNTA(F22:G22)=0,"",N(F22)-N(J22))</x:f>
      </x:c>
      <x:c r="L22" s="294" t="str">
        <x:f>IF(COUNTA(F22:G22)=0,"",IF(ABS(K22)&lt;=0.01,IF(ABS(I22)&gt;0.01,"СОШЛОСЬ ПОСЛЕ КОРР.","СОШЛОСЬ"),IF(ABS(I22)&gt;0.01,"ЧАСТИЧНО","НЕОПРЕДЕЛЕНО")))</x:f>
      </x:c>
      <x:c r="M22" s="154" t="str">
        <x:f>IF(COUNTA(F22:G22)=0,"",IF(ABS(K22)&lt;=0.01,"","UNRES-"&amp;SUBSTITUTE($B$4,"-","")&amp;"-"&amp;$D$4&amp;"-"&amp;B22))</x:f>
      </x:c>
    </x:row>
    <x:row r="23">
      <x:c r="A23" s="154" t="str">
        <x:f>"OPIU-"&amp;SUBSTITUTE($B$4,"-","")&amp;"-"&amp;$D$4&amp;"-"&amp;B23&amp;"-001-"&amp;$F$4</x:f>
        <x:v>OPIU-202501-[КОДОРГ]-R017-001-v01</x:v>
      </x:c>
      <x:c r="B23" s="154" t="str">
        <x:v>R017</x:v>
      </x:c>
      <x:c r="C23" s="154" t="str">
        <x:v>ДЕТАЛЬ</x:v>
      </x:c>
      <x:c r="D23" s="154" t="str">
        <x:v>        Прочие адм.расходы</x:v>
      </x:c>
      <x:c r="E23" s="154" t="str">
        <x:v>        Прочие адм.расходы</x:v>
      </x:c>
      <x:c r="F23" s="274"/>
      <x:c r="G23" s="278"/>
      <x:c r="H23" s="282" t="str">
        <x:f>IF(COUNTA(F23:G23)=0,"",N(F23)-N(G23))</x:f>
      </x:c>
      <x:c r="I23" s="286" t="str">
        <x:f>IF(COUNTA(F23:G23)=0,"",SUMIFS('04_Влияние_ОПИУ'!$F$2:$F$2000,'04_Влияние_ОПИУ'!$B$2:$B$2000,$B$4,'04_Влияние_ОПИУ'!$C$2:$C$2000,B23,'04_Влияние_ОПИУ'!$G$2:$G$2000,"Да"))</x:f>
      </x:c>
      <x:c r="J23" s="290" t="str">
        <x:f>IF(COUNTA(F23:G23)=0,"",N(G23)+N(I23))</x:f>
      </x:c>
      <x:c r="K23" s="292" t="str">
        <x:f>IF(COUNTA(F23:G23)=0,"",N(F23)-N(J23))</x:f>
      </x:c>
      <x:c r="L23" s="294" t="str">
        <x:f>IF(COUNTA(F23:G23)=0,"",IF(ABS(K23)&lt;=0.01,IF(ABS(I23)&gt;0.01,"СОШЛОСЬ ПОСЛЕ КОРР.","СОШЛОСЬ"),IF(ABS(I23)&gt;0.01,"ЧАСТИЧНО","НЕОПРЕДЕЛЕНО")))</x:f>
      </x:c>
      <x:c r="M23" s="154" t="str">
        <x:f>IF(COUNTA(F23:G23)=0,"",IF(ABS(K23)&lt;=0.01,"","UNRES-"&amp;SUBSTITUTE($B$4,"-","")&amp;"-"&amp;$D$4&amp;"-"&amp;B23))</x:f>
      </x:c>
    </x:row>
    <x:row r="24">
      <x:c r="A24" s="154" t="str">
        <x:f>"OPIU-"&amp;SUBSTITUTE($B$4,"-","")&amp;"-"&amp;$D$4&amp;"-"&amp;B24&amp;"-001-"&amp;$F$4</x:f>
        <x:v>OPIU-202501-[КОДОРГ]-R018-001-v01</x:v>
      </x:c>
      <x:c r="B24" s="154" t="str">
        <x:v>R018</x:v>
      </x:c>
      <x:c r="C24" s="154" t="str">
        <x:v>ДЕТАЛЬ</x:v>
      </x:c>
      <x:c r="D24" s="154" t="str">
        <x:v>        Юридические расходы</x:v>
      </x:c>
      <x:c r="E24" s="154" t="str">
        <x:v>        Юридические расходы</x:v>
      </x:c>
      <x:c r="F24" s="274"/>
      <x:c r="G24" s="278"/>
      <x:c r="H24" s="282" t="str">
        <x:f>IF(COUNTA(F24:G24)=0,"",N(F24)-N(G24))</x:f>
      </x:c>
      <x:c r="I24" s="286" t="str">
        <x:f>IF(COUNTA(F24:G24)=0,"",SUMIFS('04_Влияние_ОПИУ'!$F$2:$F$2000,'04_Влияние_ОПИУ'!$B$2:$B$2000,$B$4,'04_Влияние_ОПИУ'!$C$2:$C$2000,B24,'04_Влияние_ОПИУ'!$G$2:$G$2000,"Да"))</x:f>
      </x:c>
      <x:c r="J24" s="290" t="str">
        <x:f>IF(COUNTA(F24:G24)=0,"",N(G24)+N(I24))</x:f>
      </x:c>
      <x:c r="K24" s="292" t="str">
        <x:f>IF(COUNTA(F24:G24)=0,"",N(F24)-N(J24))</x:f>
      </x:c>
      <x:c r="L24" s="294" t="str">
        <x:f>IF(COUNTA(F24:G24)=0,"",IF(ABS(K24)&lt;=0.01,IF(ABS(I24)&gt;0.01,"СОШЛОСЬ ПОСЛЕ КОРР.","СОШЛОСЬ"),IF(ABS(I24)&gt;0.01,"ЧАСТИЧНО","НЕОПРЕДЕЛЕНО")))</x:f>
      </x:c>
      <x:c r="M24" s="154" t="str">
        <x:f>IF(COUNTA(F24:G24)=0,"",IF(ABS(K24)&lt;=0.01,"","UNRES-"&amp;SUBSTITUTE($B$4,"-","")&amp;"-"&amp;$D$4&amp;"-"&amp;B24))</x:f>
      </x:c>
    </x:row>
    <x:row r="25">
      <x:c r="A25" s="154" t="str">
        <x:f>"OPIU-"&amp;SUBSTITUTE($B$4,"-","")&amp;"-"&amp;$D$4&amp;"-"&amp;B25&amp;"-001-"&amp;$F$4</x:f>
        <x:v>OPIU-202501-[КОДОРГ]-R019-001-v01</x:v>
      </x:c>
      <x:c r="B25" s="154" t="str">
        <x:v>R019</x:v>
      </x:c>
      <x:c r="C25" s="154" t="str">
        <x:v>СТАТЬЯ</x:v>
      </x:c>
      <x:c r="D25" s="154" t="str">
        <x:v>      Расходы ИТ</x:v>
      </x:c>
      <x:c r="E25" s="154" t="str">
        <x:v>      Расходы ИТ</x:v>
      </x:c>
      <x:c r="F25" s="274"/>
      <x:c r="G25" s="278"/>
      <x:c r="H25" s="282" t="str">
        <x:f>IF(COUNTA(F25:G25)=0,"",N(F25)-N(G25))</x:f>
      </x:c>
      <x:c r="I25" s="286" t="str">
        <x:f>IF(COUNTA(F25:G25)=0,"",SUMIFS('04_Влияние_ОПИУ'!$F$2:$F$2000,'04_Влияние_ОПИУ'!$B$2:$B$2000,$B$4,'04_Влияние_ОПИУ'!$C$2:$C$2000,B25,'04_Влияние_ОПИУ'!$G$2:$G$2000,"Да"))</x:f>
      </x:c>
      <x:c r="J25" s="290" t="str">
        <x:f>IF(COUNTA(F25:G25)=0,"",N(G25)+N(I25))</x:f>
      </x:c>
      <x:c r="K25" s="292" t="str">
        <x:f>IF(COUNTA(F25:G25)=0,"",N(F25)-N(J25))</x:f>
      </x:c>
      <x:c r="L25" s="294" t="str">
        <x:f>IF(COUNTA(F25:G25)=0,"",IF(ABS(K25)&lt;=0.01,IF(ABS(I25)&gt;0.01,"СОШЛОСЬ ПОСЛЕ КОРР.","СОШЛОСЬ"),IF(ABS(I25)&gt;0.01,"ЧАСТИЧНО","НЕОПРЕДЕЛЕНО")))</x:f>
      </x:c>
      <x:c r="M25" s="154" t="str">
        <x:f>IF(COUNTA(F25:G25)=0,"",IF(ABS(K25)&lt;=0.01,"","UNRES-"&amp;SUBSTITUTE($B$4,"-","")&amp;"-"&amp;$D$4&amp;"-"&amp;B25))</x:f>
      </x:c>
    </x:row>
    <x:row r="26">
      <x:c r="A26" s="154" t="str">
        <x:f>"OPIU-"&amp;SUBSTITUTE($B$4,"-","")&amp;"-"&amp;$D$4&amp;"-"&amp;B26&amp;"-001-"&amp;$F$4</x:f>
        <x:v>OPIU-202501-[КОДОРГ]-R020-001-v01</x:v>
      </x:c>
      <x:c r="B26" s="154" t="str">
        <x:v>R020</x:v>
      </x:c>
      <x:c r="C26" s="154" t="str">
        <x:v>ДЕТАЛЬ</x:v>
      </x:c>
      <x:c r="D26" s="154" t="str">
        <x:v>        Абонентское обслуживание ПО (1С, Windows и пр)</x:v>
      </x:c>
      <x:c r="E26" s="154" t="str">
        <x:v>        Абонентское обслуживание ПО (1С, Windows и пр)</x:v>
      </x:c>
      <x:c r="F26" s="274"/>
      <x:c r="G26" s="278"/>
      <x:c r="H26" s="282" t="str">
        <x:f>IF(COUNTA(F26:G26)=0,"",N(F26)-N(G26))</x:f>
      </x:c>
      <x:c r="I26" s="286" t="str">
        <x:f>IF(COUNTA(F26:G26)=0,"",SUMIFS('04_Влияние_ОПИУ'!$F$2:$F$2000,'04_Влияние_ОПИУ'!$B$2:$B$2000,$B$4,'04_Влияние_ОПИУ'!$C$2:$C$2000,B26,'04_Влияние_ОПИУ'!$G$2:$G$2000,"Да"))</x:f>
      </x:c>
      <x:c r="J26" s="290" t="str">
        <x:f>IF(COUNTA(F26:G26)=0,"",N(G26)+N(I26))</x:f>
      </x:c>
      <x:c r="K26" s="292" t="str">
        <x:f>IF(COUNTA(F26:G26)=0,"",N(F26)-N(J26))</x:f>
      </x:c>
      <x:c r="L26" s="294" t="str">
        <x:f>IF(COUNTA(F26:G26)=0,"",IF(ABS(K26)&lt;=0.01,IF(ABS(I26)&gt;0.01,"СОШЛОСЬ ПОСЛЕ КОРР.","СОШЛОСЬ"),IF(ABS(I26)&gt;0.01,"ЧАСТИЧНО","НЕОПРЕДЕЛЕНО")))</x:f>
      </x:c>
      <x:c r="M26" s="154" t="str">
        <x:f>IF(COUNTA(F26:G26)=0,"",IF(ABS(K26)&lt;=0.01,"","UNRES-"&amp;SUBSTITUTE($B$4,"-","")&amp;"-"&amp;$D$4&amp;"-"&amp;B26))</x:f>
      </x:c>
    </x:row>
    <x:row r="27">
      <x:c r="A27" s="154" t="str">
        <x:f>"OPIU-"&amp;SUBSTITUTE($B$4,"-","")&amp;"-"&amp;$D$4&amp;"-"&amp;B27&amp;"-001-"&amp;$F$4</x:f>
        <x:v>OPIU-202501-[КОДОРГ]-R021-001-v01</x:v>
      </x:c>
      <x:c r="B27" s="154" t="str">
        <x:v>R021</x:v>
      </x:c>
      <x:c r="C27" s="154" t="str">
        <x:v>ДЕТАЛЬ</x:v>
      </x:c>
      <x:c r="D27" s="154" t="str">
        <x:v>        Обслуживание орг.техники</x:v>
      </x:c>
      <x:c r="E27" s="154" t="str">
        <x:v>        Обслуживание орг.техники</x:v>
      </x:c>
      <x:c r="F27" s="274"/>
      <x:c r="G27" s="278"/>
      <x:c r="H27" s="282" t="str">
        <x:f>IF(COUNTA(F27:G27)=0,"",N(F27)-N(G27))</x:f>
      </x:c>
      <x:c r="I27" s="286" t="str">
        <x:f>IF(COUNTA(F27:G27)=0,"",SUMIFS('04_Влияние_ОПИУ'!$F$2:$F$2000,'04_Влияние_ОПИУ'!$B$2:$B$2000,$B$4,'04_Влияние_ОПИУ'!$C$2:$C$2000,B27,'04_Влияние_ОПИУ'!$G$2:$G$2000,"Да"))</x:f>
      </x:c>
      <x:c r="J27" s="290" t="str">
        <x:f>IF(COUNTA(F27:G27)=0,"",N(G27)+N(I27))</x:f>
      </x:c>
      <x:c r="K27" s="292" t="str">
        <x:f>IF(COUNTA(F27:G27)=0,"",N(F27)-N(J27))</x:f>
      </x:c>
      <x:c r="L27" s="294" t="str">
        <x:f>IF(COUNTA(F27:G27)=0,"",IF(ABS(K27)&lt;=0.01,IF(ABS(I27)&gt;0.01,"СОШЛОСЬ ПОСЛЕ КОРР.","СОШЛОСЬ"),IF(ABS(I27)&gt;0.01,"ЧАСТИЧНО","НЕОПРЕДЕЛЕНО")))</x:f>
      </x:c>
      <x:c r="M27" s="154" t="str">
        <x:f>IF(COUNTA(F27:G27)=0,"",IF(ABS(K27)&lt;=0.01,"","UNRES-"&amp;SUBSTITUTE($B$4,"-","")&amp;"-"&amp;$D$4&amp;"-"&amp;B27))</x:f>
      </x:c>
    </x:row>
    <x:row r="28">
      <x:c r="A28" s="154" t="str">
        <x:f>"OPIU-"&amp;SUBSTITUTE($B$4,"-","")&amp;"-"&amp;$D$4&amp;"-"&amp;B28&amp;"-001-"&amp;$F$4</x:f>
        <x:v>OPIU-202501-[КОДОРГ]-R022-001-v01</x:v>
      </x:c>
      <x:c r="B28" s="154" t="str">
        <x:v>R022</x:v>
      </x:c>
      <x:c r="C28" s="154" t="str">
        <x:v>ДЕТАЛЬ</x:v>
      </x:c>
      <x:c r="D28" s="154" t="str">
        <x:v>        Орг.техника и комплектующие</x:v>
      </x:c>
      <x:c r="E28" s="154" t="str">
        <x:v>        Орг.техника и комплектующие</x:v>
      </x:c>
      <x:c r="F28" s="274"/>
      <x:c r="G28" s="278"/>
      <x:c r="H28" s="282" t="str">
        <x:f>IF(COUNTA(F28:G28)=0,"",N(F28)-N(G28))</x:f>
      </x:c>
      <x:c r="I28" s="286" t="str">
        <x:f>IF(COUNTA(F28:G28)=0,"",SUMIFS('04_Влияние_ОПИУ'!$F$2:$F$2000,'04_Влияние_ОПИУ'!$B$2:$B$2000,$B$4,'04_Влияние_ОПИУ'!$C$2:$C$2000,B28,'04_Влияние_ОПИУ'!$G$2:$G$2000,"Да"))</x:f>
      </x:c>
      <x:c r="J28" s="290" t="str">
        <x:f>IF(COUNTA(F28:G28)=0,"",N(G28)+N(I28))</x:f>
      </x:c>
      <x:c r="K28" s="292" t="str">
        <x:f>IF(COUNTA(F28:G28)=0,"",N(F28)-N(J28))</x:f>
      </x:c>
      <x:c r="L28" s="294" t="str">
        <x:f>IF(COUNTA(F28:G28)=0,"",IF(ABS(K28)&lt;=0.01,IF(ABS(I28)&gt;0.01,"СОШЛОСЬ ПОСЛЕ КОРР.","СОШЛОСЬ"),IF(ABS(I28)&gt;0.01,"ЧАСТИЧНО","НЕОПРЕДЕЛЕНО")))</x:f>
      </x:c>
      <x:c r="M28" s="154" t="str">
        <x:f>IF(COUNTA(F28:G28)=0,"",IF(ABS(K28)&lt;=0.01,"","UNRES-"&amp;SUBSTITUTE($B$4,"-","")&amp;"-"&amp;$D$4&amp;"-"&amp;B28))</x:f>
      </x:c>
    </x:row>
    <x:row r="29">
      <x:c r="A29" s="154" t="str">
        <x:f>"OPIU-"&amp;SUBSTITUTE($B$4,"-","")&amp;"-"&amp;$D$4&amp;"-"&amp;B29&amp;"-001-"&amp;$F$4</x:f>
        <x:v>OPIU-202501-[КОДОРГ]-R023-001-v01</x:v>
      </x:c>
      <x:c r="B29" s="154" t="str">
        <x:v>R023</x:v>
      </x:c>
      <x:c r="C29" s="154" t="str">
        <x:v>СТАТЬЯ</x:v>
      </x:c>
      <x:c r="D29" s="154" t="str">
        <x:v>      Расходы на персонал</x:v>
      </x:c>
      <x:c r="E29" s="154" t="str">
        <x:v>      Расходы на персонал</x:v>
      </x:c>
      <x:c r="F29" s="274"/>
      <x:c r="G29" s="278"/>
      <x:c r="H29" s="282" t="str">
        <x:f>IF(COUNTA(F29:G29)=0,"",N(F29)-N(G29))</x:f>
      </x:c>
      <x:c r="I29" s="286" t="str">
        <x:f>IF(COUNTA(F29:G29)=0,"",SUMIFS('04_Влияние_ОПИУ'!$F$2:$F$2000,'04_Влияние_ОПИУ'!$B$2:$B$2000,$B$4,'04_Влияние_ОПИУ'!$C$2:$C$2000,B29,'04_Влияние_ОПИУ'!$G$2:$G$2000,"Да"))</x:f>
      </x:c>
      <x:c r="J29" s="290" t="str">
        <x:f>IF(COUNTA(F29:G29)=0,"",N(G29)+N(I29))</x:f>
      </x:c>
      <x:c r="K29" s="292" t="str">
        <x:f>IF(COUNTA(F29:G29)=0,"",N(F29)-N(J29))</x:f>
      </x:c>
      <x:c r="L29" s="294" t="str">
        <x:f>IF(COUNTA(F29:G29)=0,"",IF(ABS(K29)&lt;=0.01,IF(ABS(I29)&gt;0.01,"СОШЛОСЬ ПОСЛЕ КОРР.","СОШЛОСЬ"),IF(ABS(I29)&gt;0.01,"ЧАСТИЧНО","НЕОПРЕДЕЛЕНО")))</x:f>
      </x:c>
      <x:c r="M29" s="154" t="str">
        <x:f>IF(COUNTA(F29:G29)=0,"",IF(ABS(K29)&lt;=0.01,"","UNRES-"&amp;SUBSTITUTE($B$4,"-","")&amp;"-"&amp;$D$4&amp;"-"&amp;B29))</x:f>
      </x:c>
    </x:row>
    <x:row r="30">
      <x:c r="A30" s="154" t="str">
        <x:f>"OPIU-"&amp;SUBSTITUTE($B$4,"-","")&amp;"-"&amp;$D$4&amp;"-"&amp;B30&amp;"-001-"&amp;$F$4</x:f>
        <x:v>OPIU-202501-[КОДОРГ]-R024-001-v01</x:v>
      </x:c>
      <x:c r="B30" s="154" t="str">
        <x:v>R024</x:v>
      </x:c>
      <x:c r="C30" s="154" t="str">
        <x:v>ДЕТАЛЬ</x:v>
      </x:c>
      <x:c r="D30" s="154" t="str">
        <x:v>        Корпоративные мероприятия</x:v>
      </x:c>
      <x:c r="E30" s="154" t="str">
        <x:v>        Корпоративные мероприятия</x:v>
      </x:c>
      <x:c r="F30" s="274"/>
      <x:c r="G30" s="278"/>
      <x:c r="H30" s="282" t="str">
        <x:f>IF(COUNTA(F30:G30)=0,"",N(F30)-N(G30))</x:f>
      </x:c>
      <x:c r="I30" s="286" t="str">
        <x:f>IF(COUNTA(F30:G30)=0,"",SUMIFS('04_Влияние_ОПИУ'!$F$2:$F$2000,'04_Влияние_ОПИУ'!$B$2:$B$2000,$B$4,'04_Влияние_ОПИУ'!$C$2:$C$2000,B30,'04_Влияние_ОПИУ'!$G$2:$G$2000,"Да"))</x:f>
      </x:c>
      <x:c r="J30" s="290" t="str">
        <x:f>IF(COUNTA(F30:G30)=0,"",N(G30)+N(I30))</x:f>
      </x:c>
      <x:c r="K30" s="292" t="str">
        <x:f>IF(COUNTA(F30:G30)=0,"",N(F30)-N(J30))</x:f>
      </x:c>
      <x:c r="L30" s="294" t="str">
        <x:f>IF(COUNTA(F30:G30)=0,"",IF(ABS(K30)&lt;=0.01,IF(ABS(I30)&gt;0.01,"СОШЛОСЬ ПОСЛЕ КОРР.","СОШЛОСЬ"),IF(ABS(I30)&gt;0.01,"ЧАСТИЧНО","НЕОПРЕДЕЛЕНО")))</x:f>
      </x:c>
      <x:c r="M30" s="154" t="str">
        <x:f>IF(COUNTA(F30:G30)=0,"",IF(ABS(K30)&lt;=0.01,"","UNRES-"&amp;SUBSTITUTE($B$4,"-","")&amp;"-"&amp;$D$4&amp;"-"&amp;B30))</x:f>
      </x:c>
    </x:row>
    <x:row r="31">
      <x:c r="A31" s="154" t="str">
        <x:f>"OPIU-"&amp;SUBSTITUTE($B$4,"-","")&amp;"-"&amp;$D$4&amp;"-"&amp;B31&amp;"-001-"&amp;$F$4</x:f>
        <x:v>OPIU-202501-[КОДОРГ]-R025-001-v01</x:v>
      </x:c>
      <x:c r="B31" s="154" t="str">
        <x:v>R025</x:v>
      </x:c>
      <x:c r="C31" s="154" t="str">
        <x:v>ДЕТАЛЬ</x:v>
      </x:c>
      <x:c r="D31" s="154" t="str">
        <x:v>        Мат помощь и прочие выплаты</x:v>
      </x:c>
      <x:c r="E31" s="154" t="str">
        <x:v>        Мат помощь и прочие выплаты</x:v>
      </x:c>
      <x:c r="F31" s="274"/>
      <x:c r="G31" s="278"/>
      <x:c r="H31" s="282" t="str">
        <x:f>IF(COUNTA(F31:G31)=0,"",N(F31)-N(G31))</x:f>
      </x:c>
      <x:c r="I31" s="286" t="str">
        <x:f>IF(COUNTA(F31:G31)=0,"",SUMIFS('04_Влияние_ОПИУ'!$F$2:$F$2000,'04_Влияние_ОПИУ'!$B$2:$B$2000,$B$4,'04_Влияние_ОПИУ'!$C$2:$C$2000,B31,'04_Влияние_ОПИУ'!$G$2:$G$2000,"Да"))</x:f>
      </x:c>
      <x:c r="J31" s="290" t="str">
        <x:f>IF(COUNTA(F31:G31)=0,"",N(G31)+N(I31))</x:f>
      </x:c>
      <x:c r="K31" s="292" t="str">
        <x:f>IF(COUNTA(F31:G31)=0,"",N(F31)-N(J31))</x:f>
      </x:c>
      <x:c r="L31" s="294" t="str">
        <x:f>IF(COUNTA(F31:G31)=0,"",IF(ABS(K31)&lt;=0.01,IF(ABS(I31)&gt;0.01,"СОШЛОСЬ ПОСЛЕ КОРР.","СОШЛОСЬ"),IF(ABS(I31)&gt;0.01,"ЧАСТИЧНО","НЕОПРЕДЕЛЕНО")))</x:f>
      </x:c>
      <x:c r="M31" s="154" t="str">
        <x:f>IF(COUNTA(F31:G31)=0,"",IF(ABS(K31)&lt;=0.01,"","UNRES-"&amp;SUBSTITUTE($B$4,"-","")&amp;"-"&amp;$D$4&amp;"-"&amp;B31))</x:f>
      </x:c>
    </x:row>
    <x:row r="32">
      <x:c r="A32" s="154" t="str">
        <x:f>"OPIU-"&amp;SUBSTITUTE($B$4,"-","")&amp;"-"&amp;$D$4&amp;"-"&amp;B32&amp;"-001-"&amp;$F$4</x:f>
        <x:v>OPIU-202501-[КОДОРГ]-R026-001-v01</x:v>
      </x:c>
      <x:c r="B32" s="154" t="str">
        <x:v>R026</x:v>
      </x:c>
      <x:c r="C32" s="154" t="str">
        <x:v>ДЕТАЛЬ</x:v>
      </x:c>
      <x:c r="D32" s="154" t="str">
        <x:v>        Обучение сотрудников</x:v>
      </x:c>
      <x:c r="E32" s="154" t="str">
        <x:v>        Обучение сотрудников</x:v>
      </x:c>
      <x:c r="F32" s="274"/>
      <x:c r="G32" s="278"/>
      <x:c r="H32" s="282" t="str">
        <x:f>IF(COUNTA(F32:G32)=0,"",N(F32)-N(G32))</x:f>
      </x:c>
      <x:c r="I32" s="286" t="str">
        <x:f>IF(COUNTA(F32:G32)=0,"",SUMIFS('04_Влияние_ОПИУ'!$F$2:$F$2000,'04_Влияние_ОПИУ'!$B$2:$B$2000,$B$4,'04_Влияние_ОПИУ'!$C$2:$C$2000,B32,'04_Влияние_ОПИУ'!$G$2:$G$2000,"Да"))</x:f>
      </x:c>
      <x:c r="J32" s="290" t="str">
        <x:f>IF(COUNTA(F32:G32)=0,"",N(G32)+N(I32))</x:f>
      </x:c>
      <x:c r="K32" s="292" t="str">
        <x:f>IF(COUNTA(F32:G32)=0,"",N(F32)-N(J32))</x:f>
      </x:c>
      <x:c r="L32" s="294" t="str">
        <x:f>IF(COUNTA(F32:G32)=0,"",IF(ABS(K32)&lt;=0.01,IF(ABS(I32)&gt;0.01,"СОШЛОСЬ ПОСЛЕ КОРР.","СОШЛОСЬ"),IF(ABS(I32)&gt;0.01,"ЧАСТИЧНО","НЕОПРЕДЕЛЕНО")))</x:f>
      </x:c>
      <x:c r="M32" s="154" t="str">
        <x:f>IF(COUNTA(F32:G32)=0,"",IF(ABS(K32)&lt;=0.01,"","UNRES-"&amp;SUBSTITUTE($B$4,"-","")&amp;"-"&amp;$D$4&amp;"-"&amp;B32))</x:f>
      </x:c>
    </x:row>
    <x:row r="33">
      <x:c r="A33" s="154" t="str">
        <x:f>"OPIU-"&amp;SUBSTITUTE($B$4,"-","")&amp;"-"&amp;$D$4&amp;"-"&amp;B33&amp;"-001-"&amp;$F$4</x:f>
        <x:v>OPIU-202501-[КОДОРГ]-R027-001-v01</x:v>
      </x:c>
      <x:c r="B33" s="154" t="str">
        <x:v>R027</x:v>
      </x:c>
      <x:c r="C33" s="154" t="str">
        <x:v>ДЕТАЛЬ</x:v>
      </x:c>
      <x:c r="D33" s="154" t="str">
        <x:v>        Подбор персонала</x:v>
      </x:c>
      <x:c r="E33" s="154" t="str">
        <x:v>        Подбор персонала</x:v>
      </x:c>
      <x:c r="F33" s="274"/>
      <x:c r="G33" s="278"/>
      <x:c r="H33" s="282" t="str">
        <x:f>IF(COUNTA(F33:G33)=0,"",N(F33)-N(G33))</x:f>
      </x:c>
      <x:c r="I33" s="286" t="str">
        <x:f>IF(COUNTA(F33:G33)=0,"",SUMIFS('04_Влияние_ОПИУ'!$F$2:$F$2000,'04_Влияние_ОПИУ'!$B$2:$B$2000,$B$4,'04_Влияние_ОПИУ'!$C$2:$C$2000,B33,'04_Влияние_ОПИУ'!$G$2:$G$2000,"Да"))</x:f>
      </x:c>
      <x:c r="J33" s="290" t="str">
        <x:f>IF(COUNTA(F33:G33)=0,"",N(G33)+N(I33))</x:f>
      </x:c>
      <x:c r="K33" s="292" t="str">
        <x:f>IF(COUNTA(F33:G33)=0,"",N(F33)-N(J33))</x:f>
      </x:c>
      <x:c r="L33" s="294" t="str">
        <x:f>IF(COUNTA(F33:G33)=0,"",IF(ABS(K33)&lt;=0.01,IF(ABS(I33)&gt;0.01,"СОШЛОСЬ ПОСЛЕ КОРР.","СОШЛОСЬ"),IF(ABS(I33)&gt;0.01,"ЧАСТИЧНО","НЕОПРЕДЕЛЕНО")))</x:f>
      </x:c>
      <x:c r="M33" s="154" t="str">
        <x:f>IF(COUNTA(F33:G33)=0,"",IF(ABS(K33)&lt;=0.01,"","UNRES-"&amp;SUBSTITUTE($B$4,"-","")&amp;"-"&amp;$D$4&amp;"-"&amp;B33))</x:f>
      </x:c>
    </x:row>
    <x:row r="34">
      <x:c r="A34" s="154" t="str">
        <x:f>"OPIU-"&amp;SUBSTITUTE($B$4,"-","")&amp;"-"&amp;$D$4&amp;"-"&amp;B34&amp;"-001-"&amp;$F$4</x:f>
        <x:v>OPIU-202501-[КОДОРГ]-R028-001-v01</x:v>
      </x:c>
      <x:c r="B34" s="154" t="str">
        <x:v>R028</x:v>
      </x:c>
      <x:c r="C34" s="154" t="str">
        <x:v>ДЕТАЛЬ</x:v>
      </x:c>
      <x:c r="D34" s="154" t="str">
        <x:v>        Прочие расходы на персонал</x:v>
      </x:c>
      <x:c r="E34" s="154" t="str">
        <x:v>        Прочие расходы на персонал</x:v>
      </x:c>
      <x:c r="F34" s="274"/>
      <x:c r="G34" s="278"/>
      <x:c r="H34" s="282" t="str">
        <x:f>IF(COUNTA(F34:G34)=0,"",N(F34)-N(G34))</x:f>
      </x:c>
      <x:c r="I34" s="286" t="str">
        <x:f>IF(COUNTA(F34:G34)=0,"",SUMIFS('04_Влияние_ОПИУ'!$F$2:$F$2000,'04_Влияние_ОПИУ'!$B$2:$B$2000,$B$4,'04_Влияние_ОПИУ'!$C$2:$C$2000,B34,'04_Влияние_ОПИУ'!$G$2:$G$2000,"Да"))</x:f>
      </x:c>
      <x:c r="J34" s="290" t="str">
        <x:f>IF(COUNTA(F34:G34)=0,"",N(G34)+N(I34))</x:f>
      </x:c>
      <x:c r="K34" s="292" t="str">
        <x:f>IF(COUNTA(F34:G34)=0,"",N(F34)-N(J34))</x:f>
      </x:c>
      <x:c r="L34" s="294" t="str">
        <x:f>IF(COUNTA(F34:G34)=0,"",IF(ABS(K34)&lt;=0.01,IF(ABS(I34)&gt;0.01,"СОШЛОСЬ ПОСЛЕ КОРР.","СОШЛОСЬ"),IF(ABS(I34)&gt;0.01,"ЧАСТИЧНО","НЕОПРЕДЕЛЕНО")))</x:f>
      </x:c>
      <x:c r="M34" s="154" t="str">
        <x:f>IF(COUNTA(F34:G34)=0,"",IF(ABS(K34)&lt;=0.01,"","UNRES-"&amp;SUBSTITUTE($B$4,"-","")&amp;"-"&amp;$D$4&amp;"-"&amp;B34))</x:f>
      </x:c>
    </x:row>
    <x:row r="35">
      <x:c r="A35" s="154" t="str">
        <x:f>"OPIU-"&amp;SUBSTITUTE($B$4,"-","")&amp;"-"&amp;$D$4&amp;"-"&amp;B35&amp;"-001-"&amp;$F$4</x:f>
        <x:v>OPIU-202501-[КОДОРГ]-R029-001-v01</x:v>
      </x:c>
      <x:c r="B35" s="154" t="str">
        <x:v>R029</x:v>
      </x:c>
      <x:c r="C35" s="154" t="str">
        <x:v>СТАТЬЯ</x:v>
      </x:c>
      <x:c r="D35" s="154" t="str">
        <x:v>      Связь</x:v>
      </x:c>
      <x:c r="E35" s="154" t="str">
        <x:v>      Связь</x:v>
      </x:c>
      <x:c r="F35" s="274"/>
      <x:c r="G35" s="278"/>
      <x:c r="H35" s="282" t="str">
        <x:f>IF(COUNTA(F35:G35)=0,"",N(F35)-N(G35))</x:f>
      </x:c>
      <x:c r="I35" s="286" t="str">
        <x:f>IF(COUNTA(F35:G35)=0,"",SUMIFS('04_Влияние_ОПИУ'!$F$2:$F$2000,'04_Влияние_ОПИУ'!$B$2:$B$2000,$B$4,'04_Влияние_ОПИУ'!$C$2:$C$2000,B35,'04_Влияние_ОПИУ'!$G$2:$G$2000,"Да"))</x:f>
      </x:c>
      <x:c r="J35" s="290" t="str">
        <x:f>IF(COUNTA(F35:G35)=0,"",N(G35)+N(I35))</x:f>
      </x:c>
      <x:c r="K35" s="292" t="str">
        <x:f>IF(COUNTA(F35:G35)=0,"",N(F35)-N(J35))</x:f>
      </x:c>
      <x:c r="L35" s="294" t="str">
        <x:f>IF(COUNTA(F35:G35)=0,"",IF(ABS(K35)&lt;=0.01,IF(ABS(I35)&gt;0.01,"СОШЛОСЬ ПОСЛЕ КОРР.","СОШЛОСЬ"),IF(ABS(I35)&gt;0.01,"ЧАСТИЧНО","НЕОПРЕДЕЛЕНО")))</x:f>
      </x:c>
      <x:c r="M35" s="154" t="str">
        <x:f>IF(COUNTA(F35:G35)=0,"",IF(ABS(K35)&lt;=0.01,"","UNRES-"&amp;SUBSTITUTE($B$4,"-","")&amp;"-"&amp;$D$4&amp;"-"&amp;B35))</x:f>
      </x:c>
    </x:row>
    <x:row r="36">
      <x:c r="A36" s="154" t="str">
        <x:f>"OPIU-"&amp;SUBSTITUTE($B$4,"-","")&amp;"-"&amp;$D$4&amp;"-"&amp;B36&amp;"-001-"&amp;$F$4</x:f>
        <x:v>OPIU-202501-[КОДОРГ]-R030-001-v01</x:v>
      </x:c>
      <x:c r="B36" s="154" t="str">
        <x:v>R030</x:v>
      </x:c>
      <x:c r="C36" s="154" t="str">
        <x:v>ДЕТАЛЬ</x:v>
      </x:c>
      <x:c r="D36" s="154" t="str">
        <x:v>        Интернет</x:v>
      </x:c>
      <x:c r="E36" s="154" t="str">
        <x:v>        Интернет</x:v>
      </x:c>
      <x:c r="F36" s="274"/>
      <x:c r="G36" s="278"/>
      <x:c r="H36" s="282" t="str">
        <x:f>IF(COUNTA(F36:G36)=0,"",N(F36)-N(G36))</x:f>
      </x:c>
      <x:c r="I36" s="286" t="str">
        <x:f>IF(COUNTA(F36:G36)=0,"",SUMIFS('04_Влияние_ОПИУ'!$F$2:$F$2000,'04_Влияние_ОПИУ'!$B$2:$B$2000,$B$4,'04_Влияние_ОПИУ'!$C$2:$C$2000,B36,'04_Влияние_ОПИУ'!$G$2:$G$2000,"Да"))</x:f>
      </x:c>
      <x:c r="J36" s="290" t="str">
        <x:f>IF(COUNTA(F36:G36)=0,"",N(G36)+N(I36))</x:f>
      </x:c>
      <x:c r="K36" s="292" t="str">
        <x:f>IF(COUNTA(F36:G36)=0,"",N(F36)-N(J36))</x:f>
      </x:c>
      <x:c r="L36" s="294" t="str">
        <x:f>IF(COUNTA(F36:G36)=0,"",IF(ABS(K36)&lt;=0.01,IF(ABS(I36)&gt;0.01,"СОШЛОСЬ ПОСЛЕ КОРР.","СОШЛОСЬ"),IF(ABS(I36)&gt;0.01,"ЧАСТИЧНО","НЕОПРЕДЕЛЕНО")))</x:f>
      </x:c>
      <x:c r="M36" s="154" t="str">
        <x:f>IF(COUNTA(F36:G36)=0,"",IF(ABS(K36)&lt;=0.01,"","UNRES-"&amp;SUBSTITUTE($B$4,"-","")&amp;"-"&amp;$D$4&amp;"-"&amp;B36))</x:f>
      </x:c>
    </x:row>
    <x:row r="37">
      <x:c r="A37" s="154" t="str">
        <x:f>"OPIU-"&amp;SUBSTITUTE($B$4,"-","")&amp;"-"&amp;$D$4&amp;"-"&amp;B37&amp;"-001-"&amp;$F$4</x:f>
        <x:v>OPIU-202501-[КОДОРГ]-R031-001-v01</x:v>
      </x:c>
      <x:c r="B37" s="154" t="str">
        <x:v>R031</x:v>
      </x:c>
      <x:c r="C37" s="154" t="str">
        <x:v>ДЕТАЛЬ</x:v>
      </x:c>
      <x:c r="D37" s="154" t="str">
        <x:v>        Корпоративная связь</x:v>
      </x:c>
      <x:c r="E37" s="154" t="str">
        <x:v>        Корпоративная связь</x:v>
      </x:c>
      <x:c r="F37" s="274"/>
      <x:c r="G37" s="278"/>
      <x:c r="H37" s="282" t="str">
        <x:f>IF(COUNTA(F37:G37)=0,"",N(F37)-N(G37))</x:f>
      </x:c>
      <x:c r="I37" s="286" t="str">
        <x:f>IF(COUNTA(F37:G37)=0,"",SUMIFS('04_Влияние_ОПИУ'!$F$2:$F$2000,'04_Влияние_ОПИУ'!$B$2:$B$2000,$B$4,'04_Влияние_ОПИУ'!$C$2:$C$2000,B37,'04_Влияние_ОПИУ'!$G$2:$G$2000,"Да"))</x:f>
      </x:c>
      <x:c r="J37" s="290" t="str">
        <x:f>IF(COUNTA(F37:G37)=0,"",N(G37)+N(I37))</x:f>
      </x:c>
      <x:c r="K37" s="292" t="str">
        <x:f>IF(COUNTA(F37:G37)=0,"",N(F37)-N(J37))</x:f>
      </x:c>
      <x:c r="L37" s="294" t="str">
        <x:f>IF(COUNTA(F37:G37)=0,"",IF(ABS(K37)&lt;=0.01,IF(ABS(I37)&gt;0.01,"СОШЛОСЬ ПОСЛЕ КОРР.","СОШЛОСЬ"),IF(ABS(I37)&gt;0.01,"ЧАСТИЧНО","НЕОПРЕДЕЛЕНО")))</x:f>
      </x:c>
      <x:c r="M37" s="154" t="str">
        <x:f>IF(COUNTA(F37:G37)=0,"",IF(ABS(K37)&lt;=0.01,"","UNRES-"&amp;SUBSTITUTE($B$4,"-","")&amp;"-"&amp;$D$4&amp;"-"&amp;B37))</x:f>
      </x:c>
    </x:row>
    <x:row r="38">
      <x:c r="A38" s="154" t="str">
        <x:f>"OPIU-"&amp;SUBSTITUTE($B$4,"-","")&amp;"-"&amp;$D$4&amp;"-"&amp;B38&amp;"-001-"&amp;$F$4</x:f>
        <x:v>OPIU-202501-[КОДОРГ]-R032-001-v01</x:v>
      </x:c>
      <x:c r="B38" s="154" t="str">
        <x:v>R032</x:v>
      </x:c>
      <x:c r="C38" s="154" t="str">
        <x:v>ДЕТАЛЬ</x:v>
      </x:c>
      <x:c r="D38" s="154" t="str">
        <x:v>        Офисный телефон</x:v>
      </x:c>
      <x:c r="E38" s="154" t="str">
        <x:v>        Офисный телефон</x:v>
      </x:c>
      <x:c r="F38" s="274"/>
      <x:c r="G38" s="278"/>
      <x:c r="H38" s="282" t="str">
        <x:f>IF(COUNTA(F38:G38)=0,"",N(F38)-N(G38))</x:f>
      </x:c>
      <x:c r="I38" s="286" t="str">
        <x:f>IF(COUNTA(F38:G38)=0,"",SUMIFS('04_Влияние_ОПИУ'!$F$2:$F$2000,'04_Влияние_ОПИУ'!$B$2:$B$2000,$B$4,'04_Влияние_ОПИУ'!$C$2:$C$2000,B38,'04_Влияние_ОПИУ'!$G$2:$G$2000,"Да"))</x:f>
      </x:c>
      <x:c r="J38" s="290" t="str">
        <x:f>IF(COUNTA(F38:G38)=0,"",N(G38)+N(I38))</x:f>
      </x:c>
      <x:c r="K38" s="292" t="str">
        <x:f>IF(COUNTA(F38:G38)=0,"",N(F38)-N(J38))</x:f>
      </x:c>
      <x:c r="L38" s="294" t="str">
        <x:f>IF(COUNTA(F38:G38)=0,"",IF(ABS(K38)&lt;=0.01,IF(ABS(I38)&gt;0.01,"СОШЛОСЬ ПОСЛЕ КОРР.","СОШЛОСЬ"),IF(ABS(I38)&gt;0.01,"ЧАСТИЧНО","НЕОПРЕДЕЛЕНО")))</x:f>
      </x:c>
      <x:c r="M38" s="154" t="str">
        <x:f>IF(COUNTA(F38:G38)=0,"",IF(ABS(K38)&lt;=0.01,"","UNRES-"&amp;SUBSTITUTE($B$4,"-","")&amp;"-"&amp;$D$4&amp;"-"&amp;B38))</x:f>
      </x:c>
    </x:row>
    <x:row r="39">
      <x:c r="A39" s="154" t="str">
        <x:f>"OPIU-"&amp;SUBSTITUTE($B$4,"-","")&amp;"-"&amp;$D$4&amp;"-"&amp;B39&amp;"-001-"&amp;$F$4</x:f>
        <x:v>OPIU-202501-[КОДОРГ]-R033-001-v01</x:v>
      </x:c>
      <x:c r="B39" s="154" t="str">
        <x:v>R033</x:v>
      </x:c>
      <x:c r="C39" s="154" t="str">
        <x:v>СТАТЬЯ</x:v>
      </x:c>
      <x:c r="D39" s="154" t="str">
        <x:v>      ФЗП и компенсационные выплаты</x:v>
      </x:c>
      <x:c r="E39" s="154" t="str">
        <x:v>      ФЗП и компенсационные выплаты</x:v>
      </x:c>
      <x:c r="F39" s="274"/>
      <x:c r="G39" s="278"/>
      <x:c r="H39" s="282" t="str">
        <x:f>IF(COUNTA(F39:G39)=0,"",N(F39)-N(G39))</x:f>
      </x:c>
      <x:c r="I39" s="286" t="str">
        <x:f>IF(COUNTA(F39:G39)=0,"",SUMIFS('04_Влияние_ОПИУ'!$F$2:$F$2000,'04_Влияние_ОПИУ'!$B$2:$B$2000,$B$4,'04_Влияние_ОПИУ'!$C$2:$C$2000,B39,'04_Влияние_ОПИУ'!$G$2:$G$2000,"Да"))</x:f>
      </x:c>
      <x:c r="J39" s="290" t="str">
        <x:f>IF(COUNTA(F39:G39)=0,"",N(G39)+N(I39))</x:f>
      </x:c>
      <x:c r="K39" s="292" t="str">
        <x:f>IF(COUNTA(F39:G39)=0,"",N(F39)-N(J39))</x:f>
      </x:c>
      <x:c r="L39" s="294" t="str">
        <x:f>IF(COUNTA(F39:G39)=0,"",IF(ABS(K39)&lt;=0.01,IF(ABS(I39)&gt;0.01,"СОШЛОСЬ ПОСЛЕ КОРР.","СОШЛОСЬ"),IF(ABS(I39)&gt;0.01,"ЧАСТИЧНО","НЕОПРЕДЕЛЕНО")))</x:f>
      </x:c>
      <x:c r="M39" s="154" t="str">
        <x:f>IF(COUNTA(F39:G39)=0,"",IF(ABS(K39)&lt;=0.01,"","UNRES-"&amp;SUBSTITUTE($B$4,"-","")&amp;"-"&amp;$D$4&amp;"-"&amp;B39))</x:f>
      </x:c>
    </x:row>
    <x:row r="40">
      <x:c r="A40" s="154" t="str">
        <x:f>"OPIU-"&amp;SUBSTITUTE($B$4,"-","")&amp;"-"&amp;$D$4&amp;"-"&amp;B40&amp;"-001-"&amp;$F$4</x:f>
        <x:v>OPIU-202501-[КОДОРГ]-R034-001-v01</x:v>
      </x:c>
      <x:c r="B40" s="154" t="str">
        <x:v>R034</x:v>
      </x:c>
      <x:c r="C40" s="154" t="str">
        <x:v>ДЕТАЛЬ</x:v>
      </x:c>
      <x:c r="D40" s="154" t="str">
        <x:v>        Компенсации</x:v>
      </x:c>
      <x:c r="E40" s="154" t="str">
        <x:v>        Компенсации</x:v>
      </x:c>
      <x:c r="F40" s="274"/>
      <x:c r="G40" s="278"/>
      <x:c r="H40" s="282" t="str">
        <x:f>IF(COUNTA(F40:G40)=0,"",N(F40)-N(G40))</x:f>
      </x:c>
      <x:c r="I40" s="286" t="str">
        <x:f>IF(COUNTA(F40:G40)=0,"",SUMIFS('04_Влияние_ОПИУ'!$F$2:$F$2000,'04_Влияние_ОПИУ'!$B$2:$B$2000,$B$4,'04_Влияние_ОПИУ'!$C$2:$C$2000,B40,'04_Влияние_ОПИУ'!$G$2:$G$2000,"Да"))</x:f>
      </x:c>
      <x:c r="J40" s="290" t="str">
        <x:f>IF(COUNTA(F40:G40)=0,"",N(G40)+N(I40))</x:f>
      </x:c>
      <x:c r="K40" s="292" t="str">
        <x:f>IF(COUNTA(F40:G40)=0,"",N(F40)-N(J40))</x:f>
      </x:c>
      <x:c r="L40" s="294" t="str">
        <x:f>IF(COUNTA(F40:G40)=0,"",IF(ABS(K40)&lt;=0.01,IF(ABS(I40)&gt;0.01,"СОШЛОСЬ ПОСЛЕ КОРР.","СОШЛОСЬ"),IF(ABS(I40)&gt;0.01,"ЧАСТИЧНО","НЕОПРЕДЕЛЕНО")))</x:f>
      </x:c>
      <x:c r="M40" s="154" t="str">
        <x:f>IF(COUNTA(F40:G40)=0,"",IF(ABS(K40)&lt;=0.01,"","UNRES-"&amp;SUBSTITUTE($B$4,"-","")&amp;"-"&amp;$D$4&amp;"-"&amp;B40))</x:f>
      </x:c>
    </x:row>
    <x:row r="41">
      <x:c r="A41" s="154" t="str">
        <x:f>"OPIU-"&amp;SUBSTITUTE($B$4,"-","")&amp;"-"&amp;$D$4&amp;"-"&amp;B41&amp;"-001-"&amp;$F$4</x:f>
        <x:v>OPIU-202501-[КОДОРГ]-R035-001-v01</x:v>
      </x:c>
      <x:c r="B41" s="154" t="str">
        <x:v>R035</x:v>
      </x:c>
      <x:c r="C41" s="154" t="str">
        <x:v>ДЕТАЛЬ</x:v>
      </x:c>
      <x:c r="D41" s="154" t="str">
        <x:v>        НДФЛ</x:v>
      </x:c>
      <x:c r="E41" s="154" t="str">
        <x:v>        НДФЛ</x:v>
      </x:c>
      <x:c r="F41" s="274"/>
      <x:c r="G41" s="278"/>
      <x:c r="H41" s="282" t="str">
        <x:f>IF(COUNTA(F41:G41)=0,"",N(F41)-N(G41))</x:f>
      </x:c>
      <x:c r="I41" s="286" t="str">
        <x:f>IF(COUNTA(F41:G41)=0,"",SUMIFS('04_Влияние_ОПИУ'!$F$2:$F$2000,'04_Влияние_ОПИУ'!$B$2:$B$2000,$B$4,'04_Влияние_ОПИУ'!$C$2:$C$2000,B41,'04_Влияние_ОПИУ'!$G$2:$G$2000,"Да"))</x:f>
      </x:c>
      <x:c r="J41" s="290" t="str">
        <x:f>IF(COUNTA(F41:G41)=0,"",N(G41)+N(I41))</x:f>
      </x:c>
      <x:c r="K41" s="292" t="str">
        <x:f>IF(COUNTA(F41:G41)=0,"",N(F41)-N(J41))</x:f>
      </x:c>
      <x:c r="L41" s="294" t="str">
        <x:f>IF(COUNTA(F41:G41)=0,"",IF(ABS(K41)&lt;=0.01,IF(ABS(I41)&gt;0.01,"СОШЛОСЬ ПОСЛЕ КОРР.","СОШЛОСЬ"),IF(ABS(I41)&gt;0.01,"ЧАСТИЧНО","НЕОПРЕДЕЛЕНО")))</x:f>
      </x:c>
      <x:c r="M41" s="154" t="str">
        <x:f>IF(COUNTA(F41:G41)=0,"",IF(ABS(K41)&lt;=0.01,"","UNRES-"&amp;SUBSTITUTE($B$4,"-","")&amp;"-"&amp;$D$4&amp;"-"&amp;B41))</x:f>
      </x:c>
    </x:row>
    <x:row r="42">
      <x:c r="A42" s="154" t="str">
        <x:f>"OPIU-"&amp;SUBSTITUTE($B$4,"-","")&amp;"-"&amp;$D$4&amp;"-"&amp;B42&amp;"-001-"&amp;$F$4</x:f>
        <x:v>OPIU-202501-[КОДОРГ]-R036-001-v01</x:v>
      </x:c>
      <x:c r="B42" s="154" t="str">
        <x:v>R036</x:v>
      </x:c>
      <x:c r="C42" s="154" t="str">
        <x:v>ДЕТАЛЬ</x:v>
      </x:c>
      <x:c r="D42" s="154" t="str">
        <x:v>        ФЗП</x:v>
      </x:c>
      <x:c r="E42" s="154" t="str">
        <x:v>        &lt;пустое значение&gt;</x:v>
      </x:c>
      <x:c r="F42" s="274"/>
      <x:c r="G42" s="278"/>
      <x:c r="H42" s="282" t="str">
        <x:f>IF(COUNTA(F42:G42)=0,"",N(F42)-N(G42))</x:f>
      </x:c>
      <x:c r="I42" s="286" t="str">
        <x:f>IF(COUNTA(F42:G42)=0,"",SUMIFS('04_Влияние_ОПИУ'!$F$2:$F$2000,'04_Влияние_ОПИУ'!$B$2:$B$2000,$B$4,'04_Влияние_ОПИУ'!$C$2:$C$2000,B42,'04_Влияние_ОПИУ'!$G$2:$G$2000,"Да"))</x:f>
      </x:c>
      <x:c r="J42" s="290" t="str">
        <x:f>IF(COUNTA(F42:G42)=0,"",N(G42)+N(I42))</x:f>
      </x:c>
      <x:c r="K42" s="292" t="str">
        <x:f>IF(COUNTA(F42:G42)=0,"",N(F42)-N(J42))</x:f>
      </x:c>
      <x:c r="L42" s="294" t="str">
        <x:f>IF(COUNTA(F42:G42)=0,"",IF(ABS(K42)&lt;=0.01,IF(ABS(I42)&gt;0.01,"СОШЛОСЬ ПОСЛЕ КОРР.","СОШЛОСЬ"),IF(ABS(I42)&gt;0.01,"ЧАСТИЧНО","НЕОПРЕДЕЛЕНО")))</x:f>
      </x:c>
      <x:c r="M42" s="154" t="str">
        <x:f>IF(COUNTA(F42:G42)=0,"",IF(ABS(K42)&lt;=0.01,"","UNRES-"&amp;SUBSTITUTE($B$4,"-","")&amp;"-"&amp;$D$4&amp;"-"&amp;B42))</x:f>
      </x:c>
    </x:row>
    <x:row r="43">
      <x:c r="A43" s="154" t="str">
        <x:f>"OPIU-"&amp;SUBSTITUTE($B$4,"-","")&amp;"-"&amp;$D$4&amp;"-"&amp;B43&amp;"-001-"&amp;$F$4</x:f>
        <x:v>OPIU-202501-[КОДОРГ]-R037-001-v01</x:v>
      </x:c>
      <x:c r="B43" s="154" t="str">
        <x:v>R037</x:v>
      </x:c>
      <x:c r="C43" s="154" t="str">
        <x:v>СТАТЬЯ</x:v>
      </x:c>
      <x:c r="D43" s="154" t="str">
        <x:v>      Финансовые расходы</x:v>
      </x:c>
      <x:c r="E43" s="154" t="str">
        <x:v>      Финансовые расходы</x:v>
      </x:c>
      <x:c r="F43" s="274"/>
      <x:c r="G43" s="278"/>
      <x:c r="H43" s="282" t="str">
        <x:f>IF(COUNTA(F43:G43)=0,"",N(F43)-N(G43))</x:f>
      </x:c>
      <x:c r="I43" s="286" t="str">
        <x:f>IF(COUNTA(F43:G43)=0,"",SUMIFS('04_Влияние_ОПИУ'!$F$2:$F$2000,'04_Влияние_ОПИУ'!$B$2:$B$2000,$B$4,'04_Влияние_ОПИУ'!$C$2:$C$2000,B43,'04_Влияние_ОПИУ'!$G$2:$G$2000,"Да"))</x:f>
      </x:c>
      <x:c r="J43" s="290" t="str">
        <x:f>IF(COUNTA(F43:G43)=0,"",N(G43)+N(I43))</x:f>
      </x:c>
      <x:c r="K43" s="292" t="str">
        <x:f>IF(COUNTA(F43:G43)=0,"",N(F43)-N(J43))</x:f>
      </x:c>
      <x:c r="L43" s="294" t="str">
        <x:f>IF(COUNTA(F43:G43)=0,"",IF(ABS(K43)&lt;=0.01,IF(ABS(I43)&gt;0.01,"СОШЛОСЬ ПОСЛЕ КОРР.","СОШЛОСЬ"),IF(ABS(I43)&gt;0.01,"ЧАСТИЧНО","НЕОПРЕДЕЛЕНО")))</x:f>
      </x:c>
      <x:c r="M43" s="154" t="str">
        <x:f>IF(COUNTA(F43:G43)=0,"",IF(ABS(K43)&lt;=0.01,"","UNRES-"&amp;SUBSTITUTE($B$4,"-","")&amp;"-"&amp;$D$4&amp;"-"&amp;B43))</x:f>
      </x:c>
    </x:row>
    <x:row r="44">
      <x:c r="A44" s="154" t="str">
        <x:f>"OPIU-"&amp;SUBSTITUTE($B$4,"-","")&amp;"-"&amp;$D$4&amp;"-"&amp;B44&amp;"-001-"&amp;$F$4</x:f>
        <x:v>OPIU-202501-[КОДОРГ]-R038-001-v01</x:v>
      </x:c>
      <x:c r="B44" s="154" t="str">
        <x:v>R038</x:v>
      </x:c>
      <x:c r="C44" s="154" t="str">
        <x:v>ДЕТАЛЬ</x:v>
      </x:c>
      <x:c r="D44" s="154" t="str">
        <x:v>        Обслуживание р/сч</x:v>
      </x:c>
      <x:c r="E44" s="154" t="str">
        <x:v>        Обслуживание р/сч</x:v>
      </x:c>
      <x:c r="F44" s="274"/>
      <x:c r="G44" s="278"/>
      <x:c r="H44" s="282" t="str">
        <x:f>IF(COUNTA(F44:G44)=0,"",N(F44)-N(G44))</x:f>
      </x:c>
      <x:c r="I44" s="286" t="str">
        <x:f>IF(COUNTA(F44:G44)=0,"",SUMIFS('04_Влияние_ОПИУ'!$F$2:$F$2000,'04_Влияние_ОПИУ'!$B$2:$B$2000,$B$4,'04_Влияние_ОПИУ'!$C$2:$C$2000,B44,'04_Влияние_ОПИУ'!$G$2:$G$2000,"Да"))</x:f>
      </x:c>
      <x:c r="J44" s="290" t="str">
        <x:f>IF(COUNTA(F44:G44)=0,"",N(G44)+N(I44))</x:f>
      </x:c>
      <x:c r="K44" s="292" t="str">
        <x:f>IF(COUNTA(F44:G44)=0,"",N(F44)-N(J44))</x:f>
      </x:c>
      <x:c r="L44" s="294" t="str">
        <x:f>IF(COUNTA(F44:G44)=0,"",IF(ABS(K44)&lt;=0.01,IF(ABS(I44)&gt;0.01,"СОШЛОСЬ ПОСЛЕ КОРР.","СОШЛОСЬ"),IF(ABS(I44)&gt;0.01,"ЧАСТИЧНО","НЕОПРЕДЕЛЕНО")))</x:f>
      </x:c>
      <x:c r="M44" s="154" t="str">
        <x:f>IF(COUNTA(F44:G44)=0,"",IF(ABS(K44)&lt;=0.01,"","UNRES-"&amp;SUBSTITUTE($B$4,"-","")&amp;"-"&amp;$D$4&amp;"-"&amp;B44))</x:f>
      </x:c>
    </x:row>
    <x:row r="45">
      <x:c r="A45" s="154" t="str">
        <x:f>"OPIU-"&amp;SUBSTITUTE($B$4,"-","")&amp;"-"&amp;$D$4&amp;"-"&amp;B45&amp;"-001-"&amp;$F$4</x:f>
        <x:v>OPIU-202501-[КОДОРГ]-R039-001-v01</x:v>
      </x:c>
      <x:c r="B45" s="154" t="str">
        <x:v>R039</x:v>
      </x:c>
      <x:c r="C45" s="154" t="str">
        <x:v>СТАТЬЯ</x:v>
      </x:c>
      <x:c r="D45" s="154" t="str">
        <x:v>      Хозяйственные расходы</x:v>
      </x:c>
      <x:c r="E45" s="154" t="str">
        <x:v>      Хозяйственные расходы</x:v>
      </x:c>
      <x:c r="F45" s="274"/>
      <x:c r="G45" s="278"/>
      <x:c r="H45" s="282" t="str">
        <x:f>IF(COUNTA(F45:G45)=0,"",N(F45)-N(G45))</x:f>
      </x:c>
      <x:c r="I45" s="286" t="str">
        <x:f>IF(COUNTA(F45:G45)=0,"",SUMIFS('04_Влияние_ОПИУ'!$F$2:$F$2000,'04_Влияние_ОПИУ'!$B$2:$B$2000,$B$4,'04_Влияние_ОПИУ'!$C$2:$C$2000,B45,'04_Влияние_ОПИУ'!$G$2:$G$2000,"Да"))</x:f>
      </x:c>
      <x:c r="J45" s="290" t="str">
        <x:f>IF(COUNTA(F45:G45)=0,"",N(G45)+N(I45))</x:f>
      </x:c>
      <x:c r="K45" s="292" t="str">
        <x:f>IF(COUNTA(F45:G45)=0,"",N(F45)-N(J45))</x:f>
      </x:c>
      <x:c r="L45" s="294" t="str">
        <x:f>IF(COUNTA(F45:G45)=0,"",IF(ABS(K45)&lt;=0.01,IF(ABS(I45)&gt;0.01,"СОШЛОСЬ ПОСЛЕ КОРР.","СОШЛОСЬ"),IF(ABS(I45)&gt;0.01,"ЧАСТИЧНО","НЕОПРЕДЕЛЕНО")))</x:f>
      </x:c>
      <x:c r="M45" s="154" t="str">
        <x:f>IF(COUNTA(F45:G45)=0,"",IF(ABS(K45)&lt;=0.01,"","UNRES-"&amp;SUBSTITUTE($B$4,"-","")&amp;"-"&amp;$D$4&amp;"-"&amp;B45))</x:f>
      </x:c>
    </x:row>
    <x:row r="46">
      <x:c r="A46" s="154" t="str">
        <x:f>"OPIU-"&amp;SUBSTITUTE($B$4,"-","")&amp;"-"&amp;$D$4&amp;"-"&amp;B46&amp;"-001-"&amp;$F$4</x:f>
        <x:v>OPIU-202501-[КОДОРГ]-R040-001-v01</x:v>
      </x:c>
      <x:c r="B46" s="154" t="str">
        <x:v>R040</x:v>
      </x:c>
      <x:c r="C46" s="154" t="str">
        <x:v>ДЕТАЛЬ</x:v>
      </x:c>
      <x:c r="D46" s="154" t="str">
        <x:v>        Хоз нужды и прочие (вода, продукты и т.д.)</x:v>
      </x:c>
      <x:c r="E46" s="154" t="str">
        <x:v>        Хоз нужды и прочие (вода, продукты и т.д.)</x:v>
      </x:c>
      <x:c r="F46" s="274"/>
      <x:c r="G46" s="278"/>
      <x:c r="H46" s="282" t="str">
        <x:f>IF(COUNTA(F46:G46)=0,"",N(F46)-N(G46))</x:f>
      </x:c>
      <x:c r="I46" s="286" t="str">
        <x:f>IF(COUNTA(F46:G46)=0,"",SUMIFS('04_Влияние_ОПИУ'!$F$2:$F$2000,'04_Влияние_ОПИУ'!$B$2:$B$2000,$B$4,'04_Влияние_ОПИУ'!$C$2:$C$2000,B46,'04_Влияние_ОПИУ'!$G$2:$G$2000,"Да"))</x:f>
      </x:c>
      <x:c r="J46" s="290" t="str">
        <x:f>IF(COUNTA(F46:G46)=0,"",N(G46)+N(I46))</x:f>
      </x:c>
      <x:c r="K46" s="292" t="str">
        <x:f>IF(COUNTA(F46:G46)=0,"",N(F46)-N(J46))</x:f>
      </x:c>
      <x:c r="L46" s="294" t="str">
        <x:f>IF(COUNTA(F46:G46)=0,"",IF(ABS(K46)&lt;=0.01,IF(ABS(I46)&gt;0.01,"СОШЛОСЬ ПОСЛЕ КОРР.","СОШЛОСЬ"),IF(ABS(I46)&gt;0.01,"ЧАСТИЧНО","НЕОПРЕДЕЛЕНО")))</x:f>
      </x:c>
      <x:c r="M46" s="154" t="str">
        <x:f>IF(COUNTA(F46:G46)=0,"",IF(ABS(K46)&lt;=0.01,"","UNRES-"&amp;SUBSTITUTE($B$4,"-","")&amp;"-"&amp;$D$4&amp;"-"&amp;B46))</x:f>
      </x:c>
    </x:row>
    <x:row r="47">
      <x:c r="A47" s="154" t="str">
        <x:f>"OPIU-"&amp;SUBSTITUTE($B$4,"-","")&amp;"-"&amp;$D$4&amp;"-"&amp;B47&amp;"-001-"&amp;$F$4</x:f>
        <x:v>OPIU-202501-[КОДОРГ]-R041-001-v01</x:v>
      </x:c>
      <x:c r="B47" s="154" t="str">
        <x:v>R041</x:v>
      </x:c>
      <x:c r="C47" s="154" t="str">
        <x:v>ИТОГ</x:v>
      </x:c>
      <x:c r="D47" s="154" t="str">
        <x:v>EBITDA</x:v>
      </x:c>
      <x:c r="E47" s="154" t="str">
        <x:v>EBITDA</x:v>
      </x:c>
      <x:c r="F47" s="274"/>
      <x:c r="G47" s="278"/>
      <x:c r="H47" s="282" t="str">
        <x:f>IF(COUNTA(F47:G47)=0,"",N(F47)-N(G47))</x:f>
      </x:c>
      <x:c r="I47" s="286" t="str">
        <x:f>IF(COUNTA(F47:G47)=0,"",SUMIFS('04_Влияние_ОПИУ'!$F$2:$F$2000,'04_Влияние_ОПИУ'!$B$2:$B$2000,$B$4,'04_Влияние_ОПИУ'!$C$2:$C$2000,B47,'04_Влияние_ОПИУ'!$G$2:$G$2000,"Да"))</x:f>
      </x:c>
      <x:c r="J47" s="290" t="str">
        <x:f>IF(COUNTA(F47:G47)=0,"",N(G47)+N(I47))</x:f>
      </x:c>
      <x:c r="K47" s="292" t="str">
        <x:f>IF(COUNTA(F47:G47)=0,"",N(F47)-N(J47))</x:f>
      </x:c>
      <x:c r="L47" s="294" t="str">
        <x:f>IF(COUNTA(F47:G47)=0,"",IF(ABS(K47)&lt;=0.01,IF(ABS(I47)&gt;0.01,"СОШЛОСЬ ПОСЛЕ КОРР.","СОШЛОСЬ"),IF(ABS(I47)&gt;0.01,"ЧАСТИЧНО","НЕОПРЕДЕЛЕНО")))</x:f>
      </x:c>
      <x:c r="M47" s="154" t="str">
        <x:f>IF(COUNTA(F47:G47)=0,"",IF(ABS(K47)&lt;=0.01,"","UNRES-"&amp;SUBSTITUTE($B$4,"-","")&amp;"-"&amp;$D$4&amp;"-"&amp;B47))</x:f>
      </x:c>
    </x:row>
    <x:row r="48">
      <x:c r="A48" s="154" t="str">
        <x:f>"OPIU-"&amp;SUBSTITUTE($B$4,"-","")&amp;"-"&amp;$D$4&amp;"-"&amp;B48&amp;"-001-"&amp;$F$4</x:f>
        <x:v>OPIU-202501-[КОДОРГ]-R042-001-v01</x:v>
      </x:c>
      <x:c r="B48" s="154" t="str">
        <x:v>R042</x:v>
      </x:c>
      <x:c r="C48" s="154" t="str">
        <x:v>ИТОГ</x:v>
      </x:c>
      <x:c r="D48" s="154" t="str">
        <x:v>Амортизация</x:v>
      </x:c>
      <x:c r="E48" s="154" t="str">
        <x:v>Амортизация</x:v>
      </x:c>
      <x:c r="F48" s="274"/>
      <x:c r="G48" s="278"/>
      <x:c r="H48" s="282" t="str">
        <x:f>IF(COUNTA(F48:G48)=0,"",N(F48)-N(G48))</x:f>
      </x:c>
      <x:c r="I48" s="286" t="str">
        <x:f>IF(COUNTA(F48:G48)=0,"",SUMIFS('04_Влияние_ОПИУ'!$F$2:$F$2000,'04_Влияние_ОПИУ'!$B$2:$B$2000,$B$4,'04_Влияние_ОПИУ'!$C$2:$C$2000,B48,'04_Влияние_ОПИУ'!$G$2:$G$2000,"Да"))</x:f>
      </x:c>
      <x:c r="J48" s="290" t="str">
        <x:f>IF(COUNTA(F48:G48)=0,"",N(G48)+N(I48))</x:f>
      </x:c>
      <x:c r="K48" s="292" t="str">
        <x:f>IF(COUNTA(F48:G48)=0,"",N(F48)-N(J48))</x:f>
      </x:c>
      <x:c r="L48" s="294" t="str">
        <x:f>IF(COUNTA(F48:G48)=0,"",IF(ABS(K48)&lt;=0.01,IF(ABS(I48)&gt;0.01,"СОШЛОСЬ ПОСЛЕ КОРР.","СОШЛОСЬ"),IF(ABS(I48)&gt;0.01,"ЧАСТИЧНО","НЕОПРЕДЕЛЕНО")))</x:f>
      </x:c>
      <x:c r="M48" s="154" t="str">
        <x:f>IF(COUNTA(F48:G48)=0,"",IF(ABS(K48)&lt;=0.01,"","UNRES-"&amp;SUBSTITUTE($B$4,"-","")&amp;"-"&amp;$D$4&amp;"-"&amp;B48))</x:f>
      </x:c>
    </x:row>
    <x:row r="49">
      <x:c r="A49" s="154" t="str">
        <x:f>"OPIU-"&amp;SUBSTITUTE($B$4,"-","")&amp;"-"&amp;$D$4&amp;"-"&amp;B49&amp;"-001-"&amp;$F$4</x:f>
        <x:v>OPIU-202501-[КОДОРГ]-R043-001-v01</x:v>
      </x:c>
      <x:c r="B49" s="154" t="str">
        <x:v>R043</x:v>
      </x:c>
      <x:c r="C49" s="154" t="str">
        <x:v>ИТОГ</x:v>
      </x:c>
      <x:c r="D49" s="154" t="str">
        <x:v>Налоги с доходов текущего периода</x:v>
      </x:c>
      <x:c r="E49" s="154" t="str">
        <x:v>Налоги кроме зарплатных</x:v>
      </x:c>
      <x:c r="F49" s="274"/>
      <x:c r="G49" s="278"/>
      <x:c r="H49" s="282" t="str">
        <x:f>IF(COUNTA(F49:G49)=0,"",N(F49)-N(G49))</x:f>
      </x:c>
      <x:c r="I49" s="286" t="str">
        <x:f>IF(COUNTA(F49:G49)=0,"",SUMIFS('04_Влияние_ОПИУ'!$F$2:$F$2000,'04_Влияние_ОПИУ'!$B$2:$B$2000,$B$4,'04_Влияние_ОПИУ'!$C$2:$C$2000,B49,'04_Влияние_ОПИУ'!$G$2:$G$2000,"Да"))</x:f>
      </x:c>
      <x:c r="J49" s="290" t="str">
        <x:f>IF(COUNTA(F49:G49)=0,"",N(G49)+N(I49))</x:f>
      </x:c>
      <x:c r="K49" s="292" t="str">
        <x:f>IF(COUNTA(F49:G49)=0,"",N(F49)-N(J49))</x:f>
      </x:c>
      <x:c r="L49" s="294" t="str">
        <x:f>IF(COUNTA(F49:G49)=0,"",IF(ABS(K49)&lt;=0.01,IF(ABS(I49)&gt;0.01,"СОШЛОСЬ ПОСЛЕ КОРР.","СОШЛОСЬ"),IF(ABS(I49)&gt;0.01,"ЧАСТИЧНО","НЕОПРЕДЕЛЕНО")))</x:f>
      </x:c>
      <x:c r="M49" s="154" t="str">
        <x:f>IF(COUNTA(F49:G49)=0,"",IF(ABS(K49)&lt;=0.01,"","UNRES-"&amp;SUBSTITUTE($B$4,"-","")&amp;"-"&amp;$D$4&amp;"-"&amp;B49))</x:f>
      </x:c>
    </x:row>
    <x:row r="50">
      <x:c r="A50" s="154" t="str">
        <x:f>"OPIU-"&amp;SUBSTITUTE($B$4,"-","")&amp;"-"&amp;$D$4&amp;"-"&amp;B50&amp;"-001-"&amp;$F$4</x:f>
        <x:v>OPIU-202501-[КОДОРГ]-R044-001-v01</x:v>
      </x:c>
      <x:c r="B50" s="154" t="str">
        <x:v>R044</x:v>
      </x:c>
      <x:c r="C50" s="154" t="str">
        <x:v>ИТОГ</x:v>
      </x:c>
      <x:c r="D50" s="154" t="str">
        <x:v>Операционная прибыль</x:v>
      </x:c>
      <x:c r="E50" s="154" t="str">
        <x:v>Операционная прибыль</x:v>
      </x:c>
      <x:c r="F50" s="274"/>
      <x:c r="G50" s="278"/>
      <x:c r="H50" s="282" t="str">
        <x:f>IF(COUNTA(F50:G50)=0,"",N(F50)-N(G50))</x:f>
      </x:c>
      <x:c r="I50" s="286" t="str">
        <x:f>IF(COUNTA(F50:G50)=0,"",SUMIFS('04_Влияние_ОПИУ'!$F$2:$F$2000,'04_Влияние_ОПИУ'!$B$2:$B$2000,$B$4,'04_Влияние_ОПИУ'!$C$2:$C$2000,B50,'04_Влияние_ОПИУ'!$G$2:$G$2000,"Да"))</x:f>
      </x:c>
      <x:c r="J50" s="290" t="str">
        <x:f>IF(COUNTA(F50:G50)=0,"",N(G50)+N(I50))</x:f>
      </x:c>
      <x:c r="K50" s="292" t="str">
        <x:f>IF(COUNTA(F50:G50)=0,"",N(F50)-N(J50))</x:f>
      </x:c>
      <x:c r="L50" s="294" t="str">
        <x:f>IF(COUNTA(F50:G50)=0,"",IF(ABS(K50)&lt;=0.01,IF(ABS(I50)&gt;0.01,"СОШЛОСЬ ПОСЛЕ КОРР.","СОШЛОСЬ"),IF(ABS(I50)&gt;0.01,"ЧАСТИЧНО","НЕОПРЕДЕЛЕНО")))</x:f>
      </x:c>
      <x:c r="M50" s="154" t="str">
        <x:f>IF(COUNTA(F50:G50)=0,"",IF(ABS(K50)&lt;=0.01,"","UNRES-"&amp;SUBSTITUTE($B$4,"-","")&amp;"-"&amp;$D$4&amp;"-"&amp;B50))</x:f>
      </x:c>
    </x:row>
    <x:row r="51">
      <x:c r="A51" s="154" t="str">
        <x:f>"OPIU-"&amp;SUBSTITUTE($B$4,"-","")&amp;"-"&amp;$D$4&amp;"-"&amp;B51&amp;"-001-"&amp;$F$4</x:f>
        <x:v>OPIU-202501-[КОДОРГ]-R045-001-v01</x:v>
      </x:c>
      <x:c r="B51" s="154" t="str">
        <x:v>R045</x:v>
      </x:c>
      <x:c r="C51" s="154" t="str">
        <x:v>ИТОГ</x:v>
      </x:c>
      <x:c r="D51" s="154" t="str">
        <x:v>Итоги по финансовой деятельности</x:v>
      </x:c>
      <x:c r="E51" s="154" t="str">
        <x:v>Результат по финансовой деятельности</x:v>
      </x:c>
      <x:c r="F51" s="274"/>
      <x:c r="G51" s="278"/>
      <x:c r="H51" s="282" t="str">
        <x:f>IF(COUNTA(F51:G51)=0,"",N(F51)-N(G51))</x:f>
      </x:c>
      <x:c r="I51" s="286" t="str">
        <x:f>IF(COUNTA(F51:G51)=0,"",SUMIFS('04_Влияние_ОПИУ'!$F$2:$F$2000,'04_Влияние_ОПИУ'!$B$2:$B$2000,$B$4,'04_Влияние_ОПИУ'!$C$2:$C$2000,B51,'04_Влияние_ОПИУ'!$G$2:$G$2000,"Да"))</x:f>
      </x:c>
      <x:c r="J51" s="290" t="str">
        <x:f>IF(COUNTA(F51:G51)=0,"",N(G51)+N(I51))</x:f>
      </x:c>
      <x:c r="K51" s="292" t="str">
        <x:f>IF(COUNTA(F51:G51)=0,"",N(F51)-N(J51))</x:f>
      </x:c>
      <x:c r="L51" s="294" t="str">
        <x:f>IF(COUNTA(F51:G51)=0,"",IF(ABS(K51)&lt;=0.01,IF(ABS(I51)&gt;0.01,"СОШЛОСЬ ПОСЛЕ КОРР.","СОШЛОСЬ"),IF(ABS(I51)&gt;0.01,"ЧАСТИЧНО","НЕОПРЕДЕЛЕНО")))</x:f>
      </x:c>
      <x:c r="M51" s="154" t="str">
        <x:f>IF(COUNTA(F51:G51)=0,"",IF(ABS(K51)&lt;=0.01,"","UNRES-"&amp;SUBSTITUTE($B$4,"-","")&amp;"-"&amp;$D$4&amp;"-"&amp;B51))</x:f>
      </x:c>
    </x:row>
    <x:row r="52">
      <x:c r="A52" s="154" t="str">
        <x:f>"OPIU-"&amp;SUBSTITUTE($B$4,"-","")&amp;"-"&amp;$D$4&amp;"-"&amp;B52&amp;"-001-"&amp;$F$4</x:f>
        <x:v>OPIU-202501-[КОДОРГ]-R046-001-v01</x:v>
      </x:c>
      <x:c r="B52" s="154" t="str">
        <x:v>R046</x:v>
      </x:c>
      <x:c r="C52" s="154" t="str">
        <x:v>БЛОК</x:v>
      </x:c>
      <x:c r="D52" s="154" t="str">
        <x:v>  Доходы по финансовой деятельности</x:v>
      </x:c>
      <x:c r="E52" s="154" t="str">
        <x:v>  Доход по финансовой деятельности</x:v>
      </x:c>
      <x:c r="F52" s="274"/>
      <x:c r="G52" s="278"/>
      <x:c r="H52" s="282" t="str">
        <x:f>IF(COUNTA(F52:G52)=0,"",N(F52)-N(G52))</x:f>
      </x:c>
      <x:c r="I52" s="286" t="str">
        <x:f>IF(COUNTA(F52:G52)=0,"",SUMIFS('04_Влияние_ОПИУ'!$F$2:$F$2000,'04_Влияние_ОПИУ'!$B$2:$B$2000,$B$4,'04_Влияние_ОПИУ'!$C$2:$C$2000,B52,'04_Влияние_ОПИУ'!$G$2:$G$2000,"Да"))</x:f>
      </x:c>
      <x:c r="J52" s="290" t="str">
        <x:f>IF(COUNTA(F52:G52)=0,"",N(G52)+N(I52))</x:f>
      </x:c>
      <x:c r="K52" s="292" t="str">
        <x:f>IF(COUNTA(F52:G52)=0,"",N(F52)-N(J52))</x:f>
      </x:c>
      <x:c r="L52" s="294" t="str">
        <x:f>IF(COUNTA(F52:G52)=0,"",IF(ABS(K52)&lt;=0.01,IF(ABS(I52)&gt;0.01,"СОШЛОСЬ ПОСЛЕ КОРР.","СОШЛОСЬ"),IF(ABS(I52)&gt;0.01,"ЧАСТИЧНО","НЕОПРЕДЕЛЕНО")))</x:f>
      </x:c>
      <x:c r="M52" s="154" t="str">
        <x:f>IF(COUNTA(F52:G52)=0,"",IF(ABS(K52)&lt;=0.01,"","UNRES-"&amp;SUBSTITUTE($B$4,"-","")&amp;"-"&amp;$D$4&amp;"-"&amp;B52))</x:f>
      </x:c>
    </x:row>
    <x:row r="53">
      <x:c r="A53" s="154" t="str">
        <x:f>"OPIU-"&amp;SUBSTITUTE($B$4,"-","")&amp;"-"&amp;$D$4&amp;"-"&amp;B53&amp;"-001-"&amp;$F$4</x:f>
        <x:v>OPIU-202501-[КОДОРГ]-R047-001-v01</x:v>
      </x:c>
      <x:c r="B53" s="154" t="str">
        <x:v>R047</x:v>
      </x:c>
      <x:c r="C53" s="154" t="str">
        <x:v>СТАТЬЯ</x:v>
      </x:c>
      <x:c r="D53" s="154" t="str">
        <x:v>      % по депозитам</x:v>
      </x:c>
      <x:c r="E53" s="154"/>
      <x:c r="F53" s="274"/>
      <x:c r="G53" s="278"/>
      <x:c r="H53" s="282" t="str">
        <x:f>IF(COUNTA(F53:G53)=0,"",N(F53)-N(G53))</x:f>
      </x:c>
      <x:c r="I53" s="286" t="str">
        <x:f>IF(COUNTA(F53:G53)=0,"",SUMIFS('04_Влияние_ОПИУ'!$F$2:$F$2000,'04_Влияние_ОПИУ'!$B$2:$B$2000,$B$4,'04_Влияние_ОПИУ'!$C$2:$C$2000,B53,'04_Влияние_ОПИУ'!$G$2:$G$2000,"Да"))</x:f>
      </x:c>
      <x:c r="J53" s="290" t="str">
        <x:f>IF(COUNTA(F53:G53)=0,"",N(G53)+N(I53))</x:f>
      </x:c>
      <x:c r="K53" s="292" t="str">
        <x:f>IF(COUNTA(F53:G53)=0,"",N(F53)-N(J53))</x:f>
      </x:c>
      <x:c r="L53" s="294" t="str">
        <x:f>IF(COUNTA(F53:G53)=0,"",IF(ABS(K53)&lt;=0.01,IF(ABS(I53)&gt;0.01,"СОШЛОСЬ ПОСЛЕ КОРР.","СОШЛОСЬ"),IF(ABS(I53)&gt;0.01,"ЧАСТИЧНО","НЕОПРЕДЕЛЕНО")))</x:f>
      </x:c>
      <x:c r="M53" s="154" t="str">
        <x:f>IF(COUNTA(F53:G53)=0,"",IF(ABS(K53)&lt;=0.01,"","UNRES-"&amp;SUBSTITUTE($B$4,"-","")&amp;"-"&amp;$D$4&amp;"-"&amp;B53))</x:f>
      </x:c>
    </x:row>
    <x:row r="54">
      <x:c r="A54" s="154" t="str">
        <x:f>"OPIU-"&amp;SUBSTITUTE($B$4,"-","")&amp;"-"&amp;$D$4&amp;"-"&amp;B54&amp;"-001-"&amp;$F$4</x:f>
        <x:v>OPIU-202501-[КОДОРГ]-R048-001-v01</x:v>
      </x:c>
      <x:c r="B54" s="154" t="str">
        <x:v>R048</x:v>
      </x:c>
      <x:c r="C54" s="154" t="str">
        <x:v>СТАТЬЯ</x:v>
      </x:c>
      <x:c r="D54" s="154" t="str">
        <x:v>      % по кредитам сотрудников</x:v>
      </x:c>
      <x:c r="E54" s="154" t="str">
        <x:v>      % по кредитам сотрудников</x:v>
      </x:c>
      <x:c r="F54" s="274"/>
      <x:c r="G54" s="278"/>
      <x:c r="H54" s="282" t="str">
        <x:f>IF(COUNTA(F54:G54)=0,"",N(F54)-N(G54))</x:f>
      </x:c>
      <x:c r="I54" s="286" t="str">
        <x:f>IF(COUNTA(F54:G54)=0,"",SUMIFS('04_Влияние_ОПИУ'!$F$2:$F$2000,'04_Влияние_ОПИУ'!$B$2:$B$2000,$B$4,'04_Влияние_ОПИУ'!$C$2:$C$2000,B54,'04_Влияние_ОПИУ'!$G$2:$G$2000,"Да"))</x:f>
      </x:c>
      <x:c r="J54" s="290" t="str">
        <x:f>IF(COUNTA(F54:G54)=0,"",N(G54)+N(I54))</x:f>
      </x:c>
      <x:c r="K54" s="292" t="str">
        <x:f>IF(COUNTA(F54:G54)=0,"",N(F54)-N(J54))</x:f>
      </x:c>
      <x:c r="L54" s="294" t="str">
        <x:f>IF(COUNTA(F54:G54)=0,"",IF(ABS(K54)&lt;=0.01,IF(ABS(I54)&gt;0.01,"СОШЛОСЬ ПОСЛЕ КОРР.","СОШЛОСЬ"),IF(ABS(I54)&gt;0.01,"ЧАСТИЧНО","НЕОПРЕДЕЛЕНО")))</x:f>
      </x:c>
      <x:c r="M54" s="154" t="str">
        <x:f>IF(COUNTA(F54:G54)=0,"",IF(ABS(K54)&lt;=0.01,"","UNRES-"&amp;SUBSTITUTE($B$4,"-","")&amp;"-"&amp;$D$4&amp;"-"&amp;B54))</x:f>
      </x:c>
    </x:row>
    <x:row r="55">
      <x:c r="A55" s="154" t="str">
        <x:f>"OPIU-"&amp;SUBSTITUTE($B$4,"-","")&amp;"-"&amp;$D$4&amp;"-"&amp;B55&amp;"-001-"&amp;$F$4</x:f>
        <x:v>OPIU-202501-[КОДОРГ]-R049-001-v01</x:v>
      </x:c>
      <x:c r="B55" s="154" t="str">
        <x:v>R049</x:v>
      </x:c>
      <x:c r="C55" s="154" t="str">
        <x:v>БЛОК</x:v>
      </x:c>
      <x:c r="D55" s="154" t="str">
        <x:v>  Расходы по финансовой деятельности</x:v>
      </x:c>
      <x:c r="E55" s="154"/>
      <x:c r="F55" s="274"/>
      <x:c r="G55" s="278"/>
      <x:c r="H55" s="282" t="str">
        <x:f>IF(COUNTA(F55:G55)=0,"",N(F55)-N(G55))</x:f>
      </x:c>
      <x:c r="I55" s="286" t="str">
        <x:f>IF(COUNTA(F55:G55)=0,"",SUMIFS('04_Влияние_ОПИУ'!$F$2:$F$2000,'04_Влияние_ОПИУ'!$B$2:$B$2000,$B$4,'04_Влияние_ОПИУ'!$C$2:$C$2000,B55,'04_Влияние_ОПИУ'!$G$2:$G$2000,"Да"))</x:f>
      </x:c>
      <x:c r="J55" s="290" t="str">
        <x:f>IF(COUNTA(F55:G55)=0,"",N(G55)+N(I55))</x:f>
      </x:c>
      <x:c r="K55" s="292" t="str">
        <x:f>IF(COUNTA(F55:G55)=0,"",N(F55)-N(J55))</x:f>
      </x:c>
      <x:c r="L55" s="294" t="str">
        <x:f>IF(COUNTA(F55:G55)=0,"",IF(ABS(K55)&lt;=0.01,IF(ABS(I55)&gt;0.01,"СОШЛОСЬ ПОСЛЕ КОРР.","СОШЛОСЬ"),IF(ABS(I55)&gt;0.01,"ЧАСТИЧНО","НЕОПРЕДЕЛЕНО")))</x:f>
      </x:c>
      <x:c r="M55" s="154" t="str">
        <x:f>IF(COUNTA(F55:G55)=0,"",IF(ABS(K55)&lt;=0.01,"","UNRES-"&amp;SUBSTITUTE($B$4,"-","")&amp;"-"&amp;$D$4&amp;"-"&amp;B55))</x:f>
      </x:c>
    </x:row>
    <x:row r="56">
      <x:c r="A56" s="154" t="str">
        <x:f>"OPIU-"&amp;SUBSTITUTE($B$4,"-","")&amp;"-"&amp;$D$4&amp;"-"&amp;B56&amp;"-001-"&amp;$F$4</x:f>
        <x:v>OPIU-202501-[КОДОРГ]-R050-001-v01</x:v>
      </x:c>
      <x:c r="B56" s="154" t="str">
        <x:v>R050</x:v>
      </x:c>
      <x:c r="C56" s="154" t="str">
        <x:v>ПОДБЛОК</x:v>
      </x:c>
      <x:c r="D56" s="154" t="str">
        <x:v>    Административные расходы</x:v>
      </x:c>
      <x:c r="E56" s="154"/>
      <x:c r="F56" s="274"/>
      <x:c r="G56" s="278"/>
      <x:c r="H56" s="282" t="str">
        <x:f>IF(COUNTA(F56:G56)=0,"",N(F56)-N(G56))</x:f>
      </x:c>
      <x:c r="I56" s="286" t="str">
        <x:f>IF(COUNTA(F56:G56)=0,"",SUMIFS('04_Влияние_ОПИУ'!$F$2:$F$2000,'04_Влияние_ОПИУ'!$B$2:$B$2000,$B$4,'04_Влияние_ОПИУ'!$C$2:$C$2000,B56,'04_Влияние_ОПИУ'!$G$2:$G$2000,"Да"))</x:f>
      </x:c>
      <x:c r="J56" s="290" t="str">
        <x:f>IF(COUNTA(F56:G56)=0,"",N(G56)+N(I56))</x:f>
      </x:c>
      <x:c r="K56" s="292" t="str">
        <x:f>IF(COUNTA(F56:G56)=0,"",N(F56)-N(J56))</x:f>
      </x:c>
      <x:c r="L56" s="294" t="str">
        <x:f>IF(COUNTA(F56:G56)=0,"",IF(ABS(K56)&lt;=0.01,IF(ABS(I56)&gt;0.01,"СОШЛОСЬ ПОСЛЕ КОРР.","СОШЛОСЬ"),IF(ABS(I56)&gt;0.01,"ЧАСТИЧНО","НЕОПРЕДЕЛЕНО")))</x:f>
      </x:c>
      <x:c r="M56" s="154" t="str">
        <x:f>IF(COUNTA(F56:G56)=0,"",IF(ABS(K56)&lt;=0.01,"","UNRES-"&amp;SUBSTITUTE($B$4,"-","")&amp;"-"&amp;$D$4&amp;"-"&amp;B56))</x:f>
      </x:c>
    </x:row>
    <x:row r="57">
      <x:c r="A57" s="154" t="str">
        <x:f>"OPIU-"&amp;SUBSTITUTE($B$4,"-","")&amp;"-"&amp;$D$4&amp;"-"&amp;B57&amp;"-001-"&amp;$F$4</x:f>
        <x:v>OPIU-202501-[КОДОРГ]-R051-001-v01</x:v>
      </x:c>
      <x:c r="B57" s="154" t="str">
        <x:v>R051</x:v>
      </x:c>
      <x:c r="C57" s="154" t="str">
        <x:v>СТАТЬЯ</x:v>
      </x:c>
      <x:c r="D57" s="154" t="str">
        <x:v>      Финансовые расходы</x:v>
      </x:c>
      <x:c r="E57" s="154"/>
      <x:c r="F57" s="274"/>
      <x:c r="G57" s="278"/>
      <x:c r="H57" s="282" t="str">
        <x:f>IF(COUNTA(F57:G57)=0,"",N(F57)-N(G57))</x:f>
      </x:c>
      <x:c r="I57" s="286" t="str">
        <x:f>IF(COUNTA(F57:G57)=0,"",SUMIFS('04_Влияние_ОПИУ'!$F$2:$F$2000,'04_Влияние_ОПИУ'!$B$2:$B$2000,$B$4,'04_Влияние_ОПИУ'!$C$2:$C$2000,B57,'04_Влияние_ОПИУ'!$G$2:$G$2000,"Да"))</x:f>
      </x:c>
      <x:c r="J57" s="290" t="str">
        <x:f>IF(COUNTA(F57:G57)=0,"",N(G57)+N(I57))</x:f>
      </x:c>
      <x:c r="K57" s="292" t="str">
        <x:f>IF(COUNTA(F57:G57)=0,"",N(F57)-N(J57))</x:f>
      </x:c>
      <x:c r="L57" s="294" t="str">
        <x:f>IF(COUNTA(F57:G57)=0,"",IF(ABS(K57)&lt;=0.01,IF(ABS(I57)&gt;0.01,"СОШЛОСЬ ПОСЛЕ КОРР.","СОШЛОСЬ"),IF(ABS(I57)&gt;0.01,"ЧАСТИЧНО","НЕОПРЕДЕЛЕНО")))</x:f>
      </x:c>
      <x:c r="M57" s="154" t="str">
        <x:f>IF(COUNTA(F57:G57)=0,"",IF(ABS(K57)&lt;=0.01,"","UNRES-"&amp;SUBSTITUTE($B$4,"-","")&amp;"-"&amp;$D$4&amp;"-"&amp;B57))</x:f>
      </x:c>
    </x:row>
    <x:row r="58">
      <x:c r="A58" s="154" t="str">
        <x:f>"OPIU-"&amp;SUBSTITUTE($B$4,"-","")&amp;"-"&amp;$D$4&amp;"-"&amp;B58&amp;"-001-"&amp;$F$4</x:f>
        <x:v>OPIU-202501-[КОДОРГ]-R052-001-v01</x:v>
      </x:c>
      <x:c r="B58" s="154" t="str">
        <x:v>R052</x:v>
      </x:c>
      <x:c r="C58" s="154" t="str">
        <x:v>ДЕТАЛЬ</x:v>
      </x:c>
      <x:c r="D58" s="154" t="str">
        <x:v>        Расходы по получению кредитов (госпошлины и пр.)</x:v>
      </x:c>
      <x:c r="E58" s="154"/>
      <x:c r="F58" s="274"/>
      <x:c r="G58" s="278"/>
      <x:c r="H58" s="282" t="str">
        <x:f>IF(COUNTA(F58:G58)=0,"",N(F58)-N(G58))</x:f>
      </x:c>
      <x:c r="I58" s="286" t="str">
        <x:f>IF(COUNTA(F58:G58)=0,"",SUMIFS('04_Влияние_ОПИУ'!$F$2:$F$2000,'04_Влияние_ОПИУ'!$B$2:$B$2000,$B$4,'04_Влияние_ОПИУ'!$C$2:$C$2000,B58,'04_Влияние_ОПИУ'!$G$2:$G$2000,"Да"))</x:f>
      </x:c>
      <x:c r="J58" s="290" t="str">
        <x:f>IF(COUNTA(F58:G58)=0,"",N(G58)+N(I58))</x:f>
      </x:c>
      <x:c r="K58" s="292" t="str">
        <x:f>IF(COUNTA(F58:G58)=0,"",N(F58)-N(J58))</x:f>
      </x:c>
      <x:c r="L58" s="294" t="str">
        <x:f>IF(COUNTA(F58:G58)=0,"",IF(ABS(K58)&lt;=0.01,IF(ABS(I58)&gt;0.01,"СОШЛОСЬ ПОСЛЕ КОРР.","СОШЛОСЬ"),IF(ABS(I58)&gt;0.01,"ЧАСТИЧНО","НЕОПРЕДЕЛЕНО")))</x:f>
      </x:c>
      <x:c r="M58" s="154" t="str">
        <x:f>IF(COUNTA(F58:G58)=0,"",IF(ABS(K58)&lt;=0.01,"","UNRES-"&amp;SUBSTITUTE($B$4,"-","")&amp;"-"&amp;$D$4&amp;"-"&amp;B58))</x:f>
      </x:c>
    </x:row>
    <x:row r="59">
      <x:c r="A59" s="154" t="str">
        <x:f>"OPIU-"&amp;SUBSTITUTE($B$4,"-","")&amp;"-"&amp;$D$4&amp;"-"&amp;B59&amp;"-001-"&amp;$F$4</x:f>
        <x:v>OPIU-202501-[КОДОРГ]-R053-001-v01</x:v>
      </x:c>
      <x:c r="B59" s="154" t="str">
        <x:v>R053</x:v>
      </x:c>
      <x:c r="C59" s="154" t="str">
        <x:v>ПОДБЛОК</x:v>
      </x:c>
      <x:c r="D59" s="154" t="str">
        <x:v>    Расходы по финансовой деятельности</x:v>
      </x:c>
      <x:c r="E59" s="154" t="str">
        <x:v>    Расходы по финансовой деятельности</x:v>
      </x:c>
      <x:c r="F59" s="274"/>
      <x:c r="G59" s="278"/>
      <x:c r="H59" s="282" t="str">
        <x:f>IF(COUNTA(F59:G59)=0,"",N(F59)-N(G59))</x:f>
      </x:c>
      <x:c r="I59" s="286" t="str">
        <x:f>IF(COUNTA(F59:G59)=0,"",SUMIFS('04_Влияние_ОПИУ'!$F$2:$F$2000,'04_Влияние_ОПИУ'!$B$2:$B$2000,$B$4,'04_Влияние_ОПИУ'!$C$2:$C$2000,B59,'04_Влияние_ОПИУ'!$G$2:$G$2000,"Да"))</x:f>
      </x:c>
      <x:c r="J59" s="290" t="str">
        <x:f>IF(COUNTA(F59:G59)=0,"",N(G59)+N(I59))</x:f>
      </x:c>
      <x:c r="K59" s="292" t="str">
        <x:f>IF(COUNTA(F59:G59)=0,"",N(F59)-N(J59))</x:f>
      </x:c>
      <x:c r="L59" s="294" t="str">
        <x:f>IF(COUNTA(F59:G59)=0,"",IF(ABS(K59)&lt;=0.01,IF(ABS(I59)&gt;0.01,"СОШЛОСЬ ПОСЛЕ КОРР.","СОШЛОСЬ"),IF(ABS(I59)&gt;0.01,"ЧАСТИЧНО","НЕОПРЕДЕЛЕНО")))</x:f>
      </x:c>
      <x:c r="M59" s="154" t="str">
        <x:f>IF(COUNTA(F59:G59)=0,"",IF(ABS(K59)&lt;=0.01,"","UNRES-"&amp;SUBSTITUTE($B$4,"-","")&amp;"-"&amp;$D$4&amp;"-"&amp;B59))</x:f>
      </x:c>
    </x:row>
    <x:row r="60">
      <x:c r="A60" s="154" t="str">
        <x:f>"OPIU-"&amp;SUBSTITUTE($B$4,"-","")&amp;"-"&amp;$D$4&amp;"-"&amp;B60&amp;"-001-"&amp;$F$4</x:f>
        <x:v>OPIU-202501-[КОДОРГ]-R054-001-v01</x:v>
      </x:c>
      <x:c r="B60" s="154" t="str">
        <x:v>R054</x:v>
      </x:c>
      <x:c r="C60" s="154" t="str">
        <x:v>СТАТЬЯ</x:v>
      </x:c>
      <x:c r="D60" s="154" t="str">
        <x:v>      Обслуживание кредитного портфеля</x:v>
      </x:c>
      <x:c r="E60" s="154" t="str">
        <x:v>      Обслуживание кредитного портфеля</x:v>
      </x:c>
      <x:c r="F60" s="274"/>
      <x:c r="G60" s="278"/>
      <x:c r="H60" s="282" t="str">
        <x:f>IF(COUNTA(F60:G60)=0,"",N(F60)-N(G60))</x:f>
      </x:c>
      <x:c r="I60" s="286" t="str">
        <x:f>IF(COUNTA(F60:G60)=0,"",SUMIFS('04_Влияние_ОПИУ'!$F$2:$F$2000,'04_Влияние_ОПИУ'!$B$2:$B$2000,$B$4,'04_Влияние_ОПИУ'!$C$2:$C$2000,B60,'04_Влияние_ОПИУ'!$G$2:$G$2000,"Да"))</x:f>
      </x:c>
      <x:c r="J60" s="290" t="str">
        <x:f>IF(COUNTA(F60:G60)=0,"",N(G60)+N(I60))</x:f>
      </x:c>
      <x:c r="K60" s="292" t="str">
        <x:f>IF(COUNTA(F60:G60)=0,"",N(F60)-N(J60))</x:f>
      </x:c>
      <x:c r="L60" s="294" t="str">
        <x:f>IF(COUNTA(F60:G60)=0,"",IF(ABS(K60)&lt;=0.01,IF(ABS(I60)&gt;0.01,"СОШЛОСЬ ПОСЛЕ КОРР.","СОШЛОСЬ"),IF(ABS(I60)&gt;0.01,"ЧАСТИЧНО","НЕОПРЕДЕЛЕНО")))</x:f>
      </x:c>
      <x:c r="M60" s="154" t="str">
        <x:f>IF(COUNTA(F60:G60)=0,"",IF(ABS(K60)&lt;=0.01,"","UNRES-"&amp;SUBSTITUTE($B$4,"-","")&amp;"-"&amp;$D$4&amp;"-"&amp;B60))</x:f>
      </x:c>
    </x:row>
    <x:row r="61">
      <x:c r="A61" s="154" t="str">
        <x:f>"OPIU-"&amp;SUBSTITUTE($B$4,"-","")&amp;"-"&amp;$D$4&amp;"-"&amp;B61&amp;"-001-"&amp;$F$4</x:f>
        <x:v>OPIU-202501-[КОДОРГ]-R055-001-v01</x:v>
      </x:c>
      <x:c r="B61" s="154" t="str">
        <x:v>R055</x:v>
      </x:c>
      <x:c r="C61" s="154" t="str">
        <x:v>ИТОГ</x:v>
      </x:c>
      <x:c r="D61" s="154" t="str">
        <x:v>Итоги по внереализационной деятельности</x:v>
      </x:c>
      <x:c r="E61" s="154" t="str">
        <x:v>Результат по инвестиционной и внереализационной деятельности</x:v>
      </x:c>
      <x:c r="F61" s="274"/>
      <x:c r="G61" s="278"/>
      <x:c r="H61" s="282" t="str">
        <x:f>IF(COUNTA(F61:G61)=0,"",N(F61)-N(G61))</x:f>
      </x:c>
      <x:c r="I61" s="286" t="str">
        <x:f>IF(COUNTA(F61:G61)=0,"",SUMIFS('04_Влияние_ОПИУ'!$F$2:$F$2000,'04_Влияние_ОПИУ'!$B$2:$B$2000,$B$4,'04_Влияние_ОПИУ'!$C$2:$C$2000,B61,'04_Влияние_ОПИУ'!$G$2:$G$2000,"Да"))</x:f>
      </x:c>
      <x:c r="J61" s="290" t="str">
        <x:f>IF(COUNTA(F61:G61)=0,"",N(G61)+N(I61))</x:f>
      </x:c>
      <x:c r="K61" s="292" t="str">
        <x:f>IF(COUNTA(F61:G61)=0,"",N(F61)-N(J61))</x:f>
      </x:c>
      <x:c r="L61" s="294" t="str">
        <x:f>IF(COUNTA(F61:G61)=0,"",IF(ABS(K61)&lt;=0.01,IF(ABS(I61)&gt;0.01,"СОШЛОСЬ ПОСЛЕ КОРР.","СОШЛОСЬ"),IF(ABS(I61)&gt;0.01,"ЧАСТИЧНО","НЕОПРЕДЕЛЕНО")))</x:f>
      </x:c>
      <x:c r="M61" s="154" t="str">
        <x:f>IF(COUNTA(F61:G61)=0,"",IF(ABS(K61)&lt;=0.01,"","UNRES-"&amp;SUBSTITUTE($B$4,"-","")&amp;"-"&amp;$D$4&amp;"-"&amp;B61))</x:f>
      </x:c>
    </x:row>
    <x:row r="62">
      <x:c r="A62" s="154" t="str">
        <x:f>"OPIU-"&amp;SUBSTITUTE($B$4,"-","")&amp;"-"&amp;$D$4&amp;"-"&amp;B62&amp;"-001-"&amp;$F$4</x:f>
        <x:v>OPIU-202501-[КОДОРГ]-R056-001-v01</x:v>
      </x:c>
      <x:c r="B62" s="154" t="str">
        <x:v>R056</x:v>
      </x:c>
      <x:c r="C62" s="154" t="str">
        <x:v>БЛОК</x:v>
      </x:c>
      <x:c r="D62" s="154" t="str">
        <x:v>  Внутрихолдинговые проценты</x:v>
      </x:c>
      <x:c r="E62" s="154"/>
      <x:c r="F62" s="274"/>
      <x:c r="G62" s="278"/>
      <x:c r="H62" s="282" t="str">
        <x:f>IF(COUNTA(F62:G62)=0,"",N(F62)-N(G62))</x:f>
      </x:c>
      <x:c r="I62" s="286" t="str">
        <x:f>IF(COUNTA(F62:G62)=0,"",SUMIFS('04_Влияние_ОПИУ'!$F$2:$F$2000,'04_Влияние_ОПИУ'!$B$2:$B$2000,$B$4,'04_Влияние_ОПИУ'!$C$2:$C$2000,B62,'04_Влияние_ОПИУ'!$G$2:$G$2000,"Да"))</x:f>
      </x:c>
      <x:c r="J62" s="290" t="str">
        <x:f>IF(COUNTA(F62:G62)=0,"",N(G62)+N(I62))</x:f>
      </x:c>
      <x:c r="K62" s="292" t="str">
        <x:f>IF(COUNTA(F62:G62)=0,"",N(F62)-N(J62))</x:f>
      </x:c>
      <x:c r="L62" s="294" t="str">
        <x:f>IF(COUNTA(F62:G62)=0,"",IF(ABS(K62)&lt;=0.01,IF(ABS(I62)&gt;0.01,"СОШЛОСЬ ПОСЛЕ КОРР.","СОШЛОСЬ"),IF(ABS(I62)&gt;0.01,"ЧАСТИЧНО","НЕОПРЕДЕЛЕНО")))</x:f>
      </x:c>
      <x:c r="M62" s="154" t="str">
        <x:f>IF(COUNTA(F62:G62)=0,"",IF(ABS(K62)&lt;=0.01,"","UNRES-"&amp;SUBSTITUTE($B$4,"-","")&amp;"-"&amp;$D$4&amp;"-"&amp;B62))</x:f>
      </x:c>
    </x:row>
    <x:row r="63">
      <x:c r="A63" s="154" t="str">
        <x:f>"OPIU-"&amp;SUBSTITUTE($B$4,"-","")&amp;"-"&amp;$D$4&amp;"-"&amp;B63&amp;"-001-"&amp;$F$4</x:f>
        <x:v>OPIU-202501-[КОДОРГ]-R057-001-v01</x:v>
      </x:c>
      <x:c r="B63" s="154" t="str">
        <x:v>R057</x:v>
      </x:c>
      <x:c r="C63" s="154" t="str">
        <x:v>БЛОК</x:v>
      </x:c>
      <x:c r="D63" s="154" t="str">
        <x:v>  Прочие внереализационные доходы</x:v>
      </x:c>
      <x:c r="E63" s="154" t="str">
        <x:v>  Доходы по инвестиционной и внереализационной деятелньости</x:v>
      </x:c>
      <x:c r="F63" s="274"/>
      <x:c r="G63" s="278"/>
      <x:c r="H63" s="282" t="str">
        <x:f>IF(COUNTA(F63:G63)=0,"",N(F63)-N(G63))</x:f>
      </x:c>
      <x:c r="I63" s="286" t="str">
        <x:f>IF(COUNTA(F63:G63)=0,"",SUMIFS('04_Влияние_ОПИУ'!$F$2:$F$2000,'04_Влияние_ОПИУ'!$B$2:$B$2000,$B$4,'04_Влияние_ОПИУ'!$C$2:$C$2000,B63,'04_Влияние_ОПИУ'!$G$2:$G$2000,"Да"))</x:f>
      </x:c>
      <x:c r="J63" s="290" t="str">
        <x:f>IF(COUNTA(F63:G63)=0,"",N(G63)+N(I63))</x:f>
      </x:c>
      <x:c r="K63" s="292" t="str">
        <x:f>IF(COUNTA(F63:G63)=0,"",N(F63)-N(J63))</x:f>
      </x:c>
      <x:c r="L63" s="294" t="str">
        <x:f>IF(COUNTA(F63:G63)=0,"",IF(ABS(K63)&lt;=0.01,IF(ABS(I63)&gt;0.01,"СОШЛОСЬ ПОСЛЕ КОРР.","СОШЛОСЬ"),IF(ABS(I63)&gt;0.01,"ЧАСТИЧНО","НЕОПРЕДЕЛЕНО")))</x:f>
      </x:c>
      <x:c r="M63" s="154" t="str">
        <x:f>IF(COUNTA(F63:G63)=0,"",IF(ABS(K63)&lt;=0.01,"","UNRES-"&amp;SUBSTITUTE($B$4,"-","")&amp;"-"&amp;$D$4&amp;"-"&amp;B63))</x:f>
      </x:c>
    </x:row>
    <x:row r="64">
      <x:c r="A64" s="154" t="str">
        <x:f>"OPIU-"&amp;SUBSTITUTE($B$4,"-","")&amp;"-"&amp;$D$4&amp;"-"&amp;B64&amp;"-001-"&amp;$F$4</x:f>
        <x:v>OPIU-202501-[КОДОРГ]-R058-001-v01</x:v>
      </x:c>
      <x:c r="B64" s="154" t="str">
        <x:v>R058</x:v>
      </x:c>
      <x:c r="C64" s="154" t="str">
        <x:v>БЛОК</x:v>
      </x:c>
      <x:c r="D64" s="154" t="str">
        <x:v>  Прочие внереализационные расходы</x:v>
      </x:c>
      <x:c r="E64" s="154" t="str">
        <x:v>  Расходы по инвестиционной и внереализационной деятельности</x:v>
      </x:c>
      <x:c r="F64" s="274"/>
      <x:c r="G64" s="278"/>
      <x:c r="H64" s="282" t="str">
        <x:f>IF(COUNTA(F64:G64)=0,"",N(F64)-N(G64))</x:f>
      </x:c>
      <x:c r="I64" s="286" t="str">
        <x:f>IF(COUNTA(F64:G64)=0,"",SUMIFS('04_Влияние_ОПИУ'!$F$2:$F$2000,'04_Влияние_ОПИУ'!$B$2:$B$2000,$B$4,'04_Влияние_ОПИУ'!$C$2:$C$2000,B64,'04_Влияние_ОПИУ'!$G$2:$G$2000,"Да"))</x:f>
      </x:c>
      <x:c r="J64" s="290" t="str">
        <x:f>IF(COUNTA(F64:G64)=0,"",N(G64)+N(I64))</x:f>
      </x:c>
      <x:c r="K64" s="292" t="str">
        <x:f>IF(COUNTA(F64:G64)=0,"",N(F64)-N(J64))</x:f>
      </x:c>
      <x:c r="L64" s="294" t="str">
        <x:f>IF(COUNTA(F64:G64)=0,"",IF(ABS(K64)&lt;=0.01,IF(ABS(I64)&gt;0.01,"СОШЛОСЬ ПОСЛЕ КОРР.","СОШЛОСЬ"),IF(ABS(I64)&gt;0.01,"ЧАСТИЧНО","НЕОПРЕДЕЛЕНО")))</x:f>
      </x:c>
      <x:c r="M64" s="154" t="str">
        <x:f>IF(COUNTA(F64:G64)=0,"",IF(ABS(K64)&lt;=0.01,"","UNRES-"&amp;SUBSTITUTE($B$4,"-","")&amp;"-"&amp;$D$4&amp;"-"&amp;B64))</x:f>
      </x:c>
    </x:row>
    <x:row r="65">
      <x:c r="A65" s="154" t="str">
        <x:f>"OPIU-"&amp;SUBSTITUTE($B$4,"-","")&amp;"-"&amp;$D$4&amp;"-"&amp;B65&amp;"-001-"&amp;$F$4</x:f>
        <x:v>OPIU-202501-[КОДОРГ]-R059-001-v01</x:v>
      </x:c>
      <x:c r="B65" s="154" t="str">
        <x:v>R059</x:v>
      </x:c>
      <x:c r="C65" s="154" t="str">
        <x:v>БЛОК</x:v>
      </x:c>
      <x:c r="D65" s="154" t="str">
        <x:v>  Убытки прошлых периодов</x:v>
      </x:c>
      <x:c r="E65" s="154" t="str">
        <x:v>  Чистая прибыль</x:v>
      </x:c>
      <x:c r="F65" s="274"/>
      <x:c r="G65" s="278"/>
      <x:c r="H65" s="282" t="str">
        <x:f>IF(COUNTA(F65:G65)=0,"",N(F65)-N(G65))</x:f>
      </x:c>
      <x:c r="I65" s="286" t="str">
        <x:f>IF(COUNTA(F65:G65)=0,"",SUMIFS('04_Влияние_ОПИУ'!$F$2:$F$2000,'04_Влияние_ОПИУ'!$B$2:$B$2000,$B$4,'04_Влияние_ОПИУ'!$C$2:$C$2000,B65,'04_Влияние_ОПИУ'!$G$2:$G$2000,"Да"))</x:f>
      </x:c>
      <x:c r="J65" s="290" t="str">
        <x:f>IF(COUNTA(F65:G65)=0,"",N(G65)+N(I65))</x:f>
      </x:c>
      <x:c r="K65" s="292" t="str">
        <x:f>IF(COUNTA(F65:G65)=0,"",N(F65)-N(J65))</x:f>
      </x:c>
      <x:c r="L65" s="294" t="str">
        <x:f>IF(COUNTA(F65:G65)=0,"",IF(ABS(K65)&lt;=0.01,IF(ABS(I65)&gt;0.01,"СОШЛОСЬ ПОСЛЕ КОРР.","СОШЛОСЬ"),IF(ABS(I65)&gt;0.01,"ЧАСТИЧНО","НЕОПРЕДЕЛЕНО")))</x:f>
      </x:c>
      <x:c r="M65" s="154" t="str">
        <x:f>IF(COUNTA(F65:G65)=0,"",IF(ABS(K65)&lt;=0.01,"","UNRES-"&amp;SUBSTITUTE($B$4,"-","")&amp;"-"&amp;$D$4&amp;"-"&amp;B65))</x:f>
      </x:c>
    </x:row>
    <x:row r="66">
      <x:c r="A66" s="154" t="str">
        <x:f>"OPIU-"&amp;SUBSTITUTE($B$4,"-","")&amp;"-"&amp;$D$4&amp;"-"&amp;B66&amp;"-001-"&amp;$F$4</x:f>
        <x:v>OPIU-202501-[КОДОРГ]-R060-001-v01</x:v>
      </x:c>
      <x:c r="B66" s="154" t="str">
        <x:v>R060</x:v>
      </x:c>
      <x:c r="C66" s="154" t="str">
        <x:v>ИТОГ</x:v>
      </x:c>
      <x:c r="D66" s="154" t="str">
        <x:v>Чистая прибыль</x:v>
      </x:c>
      <x:c r="E66" s="154" t="str">
        <x:v>Дивиденды</x:v>
      </x:c>
      <x:c r="F66" s="274"/>
      <x:c r="G66" s="278"/>
      <x:c r="H66" s="282" t="str">
        <x:f>IF(COUNTA(F66:G66)=0,"",N(F66)-N(G66))</x:f>
      </x:c>
      <x:c r="I66" s="286" t="str">
        <x:f>IF(COUNTA(F66:G66)=0,"",SUMIFS('04_Влияние_ОПИУ'!$F$2:$F$2000,'04_Влияние_ОПИУ'!$B$2:$B$2000,$B$4,'04_Влияние_ОПИУ'!$C$2:$C$2000,B66,'04_Влияние_ОПИУ'!$G$2:$G$2000,"Да"))</x:f>
      </x:c>
      <x:c r="J66" s="290" t="str">
        <x:f>IF(COUNTA(F66:G66)=0,"",N(G66)+N(I66))</x:f>
      </x:c>
      <x:c r="K66" s="292" t="str">
        <x:f>IF(COUNTA(F66:G66)=0,"",N(F66)-N(J66))</x:f>
      </x:c>
      <x:c r="L66" s="294" t="str">
        <x:f>IF(COUNTA(F66:G66)=0,"",IF(ABS(K66)&lt;=0.01,IF(ABS(I66)&gt;0.01,"СОШЛОСЬ ПОСЛЕ КОРР.","СОШЛОСЬ"),IF(ABS(I66)&gt;0.01,"ЧАСТИЧНО","НЕОПРЕДЕЛЕНО")))</x:f>
      </x:c>
      <x:c r="M66" s="154" t="str">
        <x:f>IF(COUNTA(F66:G66)=0,"",IF(ABS(K66)&lt;=0.01,"","UNRES-"&amp;SUBSTITUTE($B$4,"-","")&amp;"-"&amp;$D$4&amp;"-"&amp;B66))</x:f>
      </x:c>
    </x:row>
    <x:row r="67">
      <x:c r="A67" s="154" t="str">
        <x:f>"OPIU-"&amp;SUBSTITUTE($B$4,"-","")&amp;"-"&amp;$D$4&amp;"-"&amp;B67&amp;"-001-"&amp;$F$4</x:f>
        <x:v>OPIU-202501-[КОДОРГ]-R061-001-v01</x:v>
      </x:c>
      <x:c r="B67" s="154" t="str">
        <x:v>R061</x:v>
      </x:c>
      <x:c r="C67" s="154" t="str">
        <x:v>ИТОГ</x:v>
      </x:c>
      <x:c r="D67" s="154" t="str">
        <x:v>Внутрихолдинговые дивиденды</x:v>
      </x:c>
      <x:c r="E67" s="154" t="str">
        <x:v>_Статьи ОПиУ 2025</x:v>
      </x:c>
      <x:c r="F67" s="274"/>
      <x:c r="G67" s="278"/>
      <x:c r="H67" s="282" t="str">
        <x:f>IF(COUNTA(F67:G67)=0,"",N(F67)-N(G67))</x:f>
      </x:c>
      <x:c r="I67" s="286" t="str">
        <x:f>IF(COUNTA(F67:G67)=0,"",SUMIFS('04_Влияние_ОПИУ'!$F$2:$F$2000,'04_Влияние_ОПИУ'!$B$2:$B$2000,$B$4,'04_Влияние_ОПИУ'!$C$2:$C$2000,B67,'04_Влияние_ОПИУ'!$G$2:$G$2000,"Да"))</x:f>
      </x:c>
      <x:c r="J67" s="290" t="str">
        <x:f>IF(COUNTA(F67:G67)=0,"",N(G67)+N(I67))</x:f>
      </x:c>
      <x:c r="K67" s="292" t="str">
        <x:f>IF(COUNTA(F67:G67)=0,"",N(F67)-N(J67))</x:f>
      </x:c>
      <x:c r="L67" s="294" t="str">
        <x:f>IF(COUNTA(F67:G67)=0,"",IF(ABS(K67)&lt;=0.01,IF(ABS(I67)&gt;0.01,"СОШЛОСЬ ПОСЛЕ КОРР.","СОШЛОСЬ"),IF(ABS(I67)&gt;0.01,"ЧАСТИЧНО","НЕОПРЕДЕЛЕНО")))</x:f>
      </x:c>
      <x:c r="M67" s="154" t="str">
        <x:f>IF(COUNTA(F67:G67)=0,"",IF(ABS(K67)&lt;=0.01,"","UNRES-"&amp;SUBSTITUTE($B$4,"-","")&amp;"-"&amp;$D$4&amp;"-"&amp;B67))</x:f>
      </x:c>
    </x:row>
    <x:row r="68">
      <x:c r="A68" s="154" t="str">
        <x:f>"OPIU-"&amp;SUBSTITUTE($B$4,"-","")&amp;"-"&amp;$D$4&amp;"-"&amp;B68&amp;"-001-"&amp;$F$4</x:f>
        <x:v>OPIU-202501-[КОДОРГ]-R062-001-v01</x:v>
      </x:c>
      <x:c r="B68" s="154" t="str">
        <x:v>R062</x:v>
      </x:c>
      <x:c r="C68" s="154" t="str">
        <x:v>ИТОГ</x:v>
      </x:c>
      <x:c r="D68" s="154" t="str">
        <x:v>Дивиденды начисленные</x:v>
      </x:c>
      <x:c r="E68" s="154" t="str">
        <x:v>Дивиденды начисленные</x:v>
      </x:c>
      <x:c r="F68" s="274"/>
      <x:c r="G68" s="278"/>
      <x:c r="H68" s="282" t="str">
        <x:f>IF(COUNTA(F68:G68)=0,"",N(F68)-N(G68))</x:f>
      </x:c>
      <x:c r="I68" s="286" t="str">
        <x:f>IF(COUNTA(F68:G68)=0,"",SUMIFS('04_Влияние_ОПИУ'!$F$2:$F$2000,'04_Влияние_ОПИУ'!$B$2:$B$2000,$B$4,'04_Влияние_ОПИУ'!$C$2:$C$2000,B68,'04_Влияние_ОПИУ'!$G$2:$G$2000,"Да"))</x:f>
      </x:c>
      <x:c r="J68" s="290" t="str">
        <x:f>IF(COUNTA(F68:G68)=0,"",N(G68)+N(I68))</x:f>
      </x:c>
      <x:c r="K68" s="292" t="str">
        <x:f>IF(COUNTA(F68:G68)=0,"",N(F68)-N(J68))</x:f>
      </x:c>
      <x:c r="L68" s="294" t="str">
        <x:f>IF(COUNTA(F68:G68)=0,"",IF(ABS(K68)&lt;=0.01,IF(ABS(I68)&gt;0.01,"СОШЛОСЬ ПОСЛЕ КОРР.","СОШЛОСЬ"),IF(ABS(I68)&gt;0.01,"ЧАСТИЧНО","НЕОПРЕДЕЛЕНО")))</x:f>
      </x:c>
      <x:c r="M68" s="154" t="str">
        <x:f>IF(COUNTA(F68:G68)=0,"",IF(ABS(K68)&lt;=0.01,"","UNRES-"&amp;SUBSTITUTE($B$4,"-","")&amp;"-"&amp;$D$4&amp;"-"&amp;B68))</x:f>
      </x:c>
    </x:row>
    <x:row r="69">
      <x:c r="A69" s="154" t="str">
        <x:f>"OPIU-"&amp;SUBSTITUTE($B$4,"-","")&amp;"-"&amp;$D$4&amp;"-"&amp;B69&amp;"-001-"&amp;$F$4</x:f>
        <x:v>OPIU-202501-[КОДОРГ]-R063-001-v01</x:v>
      </x:c>
      <x:c r="B69" s="154" t="str">
        <x:v>R063</x:v>
      </x:c>
      <x:c r="C69" s="154" t="str">
        <x:v>БЛОК</x:v>
      </x:c>
      <x:c r="D69" s="154" t="str">
        <x:v>  Дивиденды учредителям</x:v>
      </x:c>
      <x:c r="E69" s="154" t="str">
        <x:v>  Дивиденды учредителям</x:v>
      </x:c>
      <x:c r="F69" s="274"/>
      <x:c r="G69" s="278"/>
      <x:c r="H69" s="282" t="str">
        <x:f>IF(COUNTA(F69:G69)=0,"",N(F69)-N(G69))</x:f>
      </x:c>
      <x:c r="I69" s="286" t="str">
        <x:f>IF(COUNTA(F69:G69)=0,"",SUMIFS('04_Влияние_ОПИУ'!$F$2:$F$2000,'04_Влияние_ОПИУ'!$B$2:$B$2000,$B$4,'04_Влияние_ОПИУ'!$C$2:$C$2000,B69,'04_Влияние_ОПИУ'!$G$2:$G$2000,"Да"))</x:f>
      </x:c>
      <x:c r="J69" s="290" t="str">
        <x:f>IF(COUNTA(F69:G69)=0,"",N(G69)+N(I69))</x:f>
      </x:c>
      <x:c r="K69" s="292" t="str">
        <x:f>IF(COUNTA(F69:G69)=0,"",N(F69)-N(J69))</x:f>
      </x:c>
      <x:c r="L69" s="294" t="str">
        <x:f>IF(COUNTA(F69:G69)=0,"",IF(ABS(K69)&lt;=0.01,IF(ABS(I69)&gt;0.01,"СОШЛОСЬ ПОСЛЕ КОРР.","СОШЛОСЬ"),IF(ABS(I69)&gt;0.01,"ЧАСТИЧНО","НЕОПРЕДЕЛЕНО")))</x:f>
      </x:c>
      <x:c r="M69" s="154" t="str">
        <x:f>IF(COUNTA(F69:G69)=0,"",IF(ABS(K69)&lt;=0.01,"","UNRES-"&amp;SUBSTITUTE($B$4,"-","")&amp;"-"&amp;$D$4&amp;"-"&amp;B69))</x:f>
      </x:c>
    </x:row>
    <x:row r="70">
      <x:c r="A70" s="154" t="str">
        <x:f>"OPIU-"&amp;SUBSTITUTE($B$4,"-","")&amp;"-"&amp;$D$4&amp;"-"&amp;B70&amp;"-001-"&amp;$F$4</x:f>
        <x:v>OPIU-202501-[КОДОРГ]-R064-001-v01</x:v>
      </x:c>
      <x:c r="B70" s="154" t="str">
        <x:v>R064</x:v>
      </x:c>
      <x:c r="C70" s="154" t="str">
        <x:v>БЛОК</x:v>
      </x:c>
      <x:c r="D70" s="154" t="str">
        <x:v>  НДФЛ с дивидендов</x:v>
      </x:c>
      <x:c r="E70" s="154" t="str">
        <x:v>  НДФЛ с дивидендов</x:v>
      </x:c>
      <x:c r="F70" s="274"/>
      <x:c r="G70" s="278"/>
      <x:c r="H70" s="282" t="str">
        <x:f>IF(COUNTA(F70:G70)=0,"",N(F70)-N(G70))</x:f>
      </x:c>
      <x:c r="I70" s="286" t="str">
        <x:f>IF(COUNTA(F70:G70)=0,"",SUMIFS('04_Влияние_ОПИУ'!$F$2:$F$2000,'04_Влияние_ОПИУ'!$B$2:$B$2000,$B$4,'04_Влияние_ОПИУ'!$C$2:$C$2000,B70,'04_Влияние_ОПИУ'!$G$2:$G$2000,"Да"))</x:f>
      </x:c>
      <x:c r="J70" s="290" t="str">
        <x:f>IF(COUNTA(F70:G70)=0,"",N(G70)+N(I70))</x:f>
      </x:c>
      <x:c r="K70" s="292" t="str">
        <x:f>IF(COUNTA(F70:G70)=0,"",N(F70)-N(J70))</x:f>
      </x:c>
      <x:c r="L70" s="294" t="str">
        <x:f>IF(COUNTA(F70:G70)=0,"",IF(ABS(K70)&lt;=0.01,IF(ABS(I70)&gt;0.01,"СОШЛОСЬ ПОСЛЕ КОРР.","СОШЛОСЬ"),IF(ABS(I70)&gt;0.01,"ЧАСТИЧНО","НЕОПРЕДЕЛЕНО")))</x:f>
      </x:c>
      <x:c r="M70" s="154" t="str">
        <x:f>IF(COUNTA(F70:G70)=0,"",IF(ABS(K70)&lt;=0.01,"","UNRES-"&amp;SUBSTITUTE($B$4,"-","")&amp;"-"&amp;$D$4&amp;"-"&amp;B70))</x:f>
      </x:c>
    </x:row>
    <x:row r="71">
      <x:c r="A71" s="154" t="str">
        <x:f>"OPIU-"&amp;SUBSTITUTE($B$4,"-","")&amp;"-"&amp;$D$4&amp;"-"&amp;B71&amp;"-001-"&amp;$F$4</x:f>
        <x:v>OPIU-202501-[КОДОРГ]-R065-001-v01</x:v>
      </x:c>
      <x:c r="B71" s="154" t="str">
        <x:v>R065</x:v>
      </x:c>
      <x:c r="C71" s="154" t="str">
        <x:v>ИТОГ</x:v>
      </x:c>
      <x:c r="D71" s="154" t="str">
        <x:v>Нераспределенная прибыль (9 Управляющая)</x:v>
      </x:c>
      <x:c r="E71" s="154" t="str">
        <x:v>Нераспределенная прибыль</x:v>
      </x:c>
      <x:c r="F71" s="274"/>
      <x:c r="G71" s="278"/>
      <x:c r="H71" s="282" t="str">
        <x:f>IF(COUNTA(F71:G71)=0,"",N(F71)-N(G71))</x:f>
      </x:c>
      <x:c r="I71" s="286" t="str">
        <x:f>IF(COUNTA(F71:G71)=0,"",SUMIFS('04_Влияние_ОПИУ'!$F$2:$F$2000,'04_Влияние_ОПИУ'!$B$2:$B$2000,$B$4,'04_Влияние_ОПИУ'!$C$2:$C$2000,B71,'04_Влияние_ОПИУ'!$G$2:$G$2000,"Да"))</x:f>
      </x:c>
      <x:c r="J71" s="290" t="str">
        <x:f>IF(COUNTA(F71:G71)=0,"",N(G71)+N(I71))</x:f>
      </x:c>
      <x:c r="K71" s="292" t="str">
        <x:f>IF(COUNTA(F71:G71)=0,"",N(F71)-N(J71))</x:f>
      </x:c>
      <x:c r="L71" s="294" t="str">
        <x:f>IF(COUNTA(F71:G71)=0,"",IF(ABS(K71)&lt;=0.01,IF(ABS(I71)&gt;0.01,"СОШЛОСЬ ПОСЛЕ КОРР.","СОШЛОСЬ"),IF(ABS(I71)&gt;0.01,"ЧАСТИЧНО","НЕОПРЕДЕЛЕНО")))</x:f>
      </x:c>
      <x:c r="M71" s="154" t="str">
        <x:f>IF(COUNTA(F71:G71)=0,"",IF(ABS(K71)&lt;=0.01,"","UNRES-"&amp;SUBSTITUTE($B$4,"-","")&amp;"-"&amp;$D$4&amp;"-"&amp;B71))</x:f>
      </x:c>
    </x:row>
  </x:sheetData>
  <x:mergeCells>
    <x:mergeCell ref="A1:M1"/>
    <x:mergeCell ref="A2:M2"/>
    <x:mergeCell ref="A3:M3"/>
  </x:mergeCells>
  <x:conditionalFormatting sqref="K7:K71">
    <x:cfRule type="expression" dxfId="48" priority="1">
      <x:formula>ABS(K7)&lt;=0.01</x:formula>
    </x:cfRule>
    <x:cfRule type="expression" dxfId="49" priority="2">
      <x:formula>ABS(K7)&gt;0.01</x:formula>
    </x:cfRule>
  </x:conditionalFormatting>
  <x:conditionalFormatting sqref="L7:L71">
    <x:cfRule type="expression" dxfId="50" priority="3">
      <x:formula>LEFT(L7,7)="СОШЛОСЬ"</x:formula>
    </x:cfRule>
    <x:cfRule type="expression" dxfId="51" priority="4">
      <x:formula>OR(L7="НЕОПРЕДЕЛЕНО",L7="ЧАСТИЧНО")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12" hidden="0" customWidth="1"/>
    <x:col min="4" max="4" width="26" hidden="0" customWidth="1"/>
    <x:col min="5" max="5" width="16" hidden="0" customWidth="1"/>
    <x:col min="6" max="6" width="12" hidden="0" customWidth="1"/>
    <x:col min="7" max="7" width="22" hidden="0" customWidth="1"/>
    <x:col min="8" max="8" width="22" hidden="0" customWidth="1"/>
    <x:col min="9" max="9" width="14" hidden="0" customWidth="1"/>
    <x:col min="10" max="10" width="18" hidden="0" customWidth="1"/>
    <x:col min="11" max="11" width="10" hidden="0" customWidth="1"/>
    <x:col min="12" max="12" width="10" hidden="0" customWidth="1"/>
    <x:col min="13" max="13" width="16" hidden="0" customWidth="1"/>
    <x:col min="14" max="14" width="28" hidden="0" customWidth="1"/>
    <x:col min="15" max="15" width="22" hidden="0" customWidth="1"/>
    <x:col min="16" max="16" width="22" hidden="0" customWidth="1"/>
    <x:col min="17" max="17" width="22" hidden="0" customWidth="1"/>
    <x:col min="18" max="18" width="28" hidden="0" customWidth="1"/>
    <x:col min="19" max="19" width="14" hidden="0" customWidth="1"/>
    <x:col min="20" max="20" width="22" hidden="0" customWidth="1"/>
    <x:col min="21" max="21" width="46" hidden="0" customWidth="1"/>
    <x:col min="22" max="22" width="16" hidden="0" customWidth="1"/>
    <x:col min="23" max="23" width="16" hidden="0" customWidth="1"/>
    <x:col min="24" max="24" width="58" hidden="0" customWidth="1"/>
  </x:cols>
  <x:sheetData>
    <x:row r="1">
      <x:c r="A1" s="38" t="str">
        <x:v>Стабильный_ID</x:v>
      </x:c>
      <x:c r="B1" s="38" t="str">
        <x:v>Парный_ID</x:v>
      </x:c>
      <x:c r="C1" s="38" t="str">
        <x:v>Период</x:v>
      </x:c>
      <x:c r="D1" s="38" t="str">
        <x:v>Организация ERP</x:v>
      </x:c>
      <x:c r="E1" s="38" t="str">
        <x:v>Код организации</x:v>
      </x:c>
      <x:c r="F1" s="38" t="str">
        <x:v>Версия</x:v>
      </x:c>
      <x:c r="G1" s="38" t="str">
        <x:v>calculation_mode</x:v>
      </x:c>
      <x:c r="H1" s="38" t="str">
        <x:v>Сценарий ERP</x:v>
      </x:c>
      <x:c r="I1" s="38" t="str">
        <x:v>Дата документа</x:v>
      </x:c>
      <x:c r="J1" s="38" t="str">
        <x:v>Тип действия</x:v>
      </x:c>
      <x:c r="K1" s="38" t="str">
        <x:v>Дт</x:v>
      </x:c>
      <x:c r="L1" s="38" t="str">
        <x:v>Кт</x:v>
      </x:c>
      <x:c r="M1" s="38" t="str">
        <x:v>Сумма проводки</x:v>
      </x:c>
      <x:c r="N1" s="38" t="str">
        <x:v>Статья ERP</x:v>
      </x:c>
      <x:c r="O1" s="38" t="str">
        <x:v>ЦФО</x:v>
      </x:c>
      <x:c r="P1" s="38" t="str">
        <x:v>Контрагент</x:v>
      </x:c>
      <x:c r="Q1" s="38" t="str">
        <x:v>Договор</x:v>
      </x:c>
      <x:c r="R1" s="38" t="str">
        <x:v>Прочая аналитика</x:v>
      </x:c>
      <x:c r="S1" s="38" t="str">
        <x:v>Код строки ОПИУ</x:v>
      </x:c>
      <x:c r="T1" s="38" t="str">
        <x:v>Влияние на строку ОПИУ</x:v>
      </x:c>
      <x:c r="U1" s="38" t="str">
        <x:v>Источник решения</x:v>
      </x:c>
      <x:c r="V1" s="38" t="str">
        <x:v>Статус</x:v>
      </x:c>
      <x:c r="W1" s="38" t="str">
        <x:v>ready_to_upload</x:v>
      </x:c>
      <x:c r="X1" s="38" t="str">
        <x:v>Предупреждение</x:v>
      </x:c>
    </x:row>
    <x:row r="2">
      <x:c r="A2" s="164" t="str"/>
      <x:c r="B2" s="164" t="str"/>
      <x:c r="C2" s="164" t="str"/>
      <x:c r="D2" s="164" t="str"/>
      <x:c r="E2" s="164" t="str"/>
      <x:c r="F2" s="164" t="str"/>
      <x:c r="G2" s="164" t="str"/>
      <x:c r="H2" s="164" t="str"/>
      <x:c r="I2" s="164" t="str"/>
      <x:c r="J2" s="164" t="str"/>
      <x:c r="K2" s="164" t="str"/>
      <x:c r="L2" s="164" t="str"/>
      <x:c r="M2" s="292" t="str"/>
      <x:c r="N2" s="164" t="str"/>
      <x:c r="O2" s="164" t="str"/>
      <x:c r="P2" s="164" t="str"/>
      <x:c r="Q2" s="164" t="str"/>
      <x:c r="R2" s="164" t="str"/>
      <x:c r="S2" s="164" t="str"/>
      <x:c r="T2" s="292" t="str"/>
      <x:c r="U2" s="164" t="str"/>
      <x:c r="V2" s="164" t="str">
        <x:v>ЧЕРНОВИК</x:v>
      </x:c>
      <x:c r="W2" s="164" t="str">
        <x:v>FALSE</x:v>
      </x:c>
      <x:c r="X2" s="164" t="str"/>
    </x:row>
    <x:row r="3">
      <x:c r="A3" s="164"/>
      <x:c r="B3" s="164"/>
      <x:c r="C3" s="164"/>
      <x:c r="D3" s="164"/>
      <x:c r="E3" s="164"/>
      <x:c r="F3" s="164"/>
      <x:c r="G3" s="164"/>
      <x:c r="H3" s="164"/>
      <x:c r="I3" s="164"/>
      <x:c r="J3" s="164"/>
      <x:c r="K3" s="164"/>
      <x:c r="L3" s="164"/>
      <x:c r="M3" s="292"/>
      <x:c r="N3" s="164"/>
      <x:c r="O3" s="164"/>
      <x:c r="P3" s="164"/>
      <x:c r="Q3" s="164"/>
      <x:c r="R3" s="164"/>
      <x:c r="S3" s="164"/>
      <x:c r="T3" s="292"/>
      <x:c r="U3" s="164"/>
      <x:c r="V3" s="164"/>
      <x:c r="W3" s="164"/>
      <x:c r="X3" s="164"/>
    </x:row>
    <x:row r="4">
      <x:c r="A4" s="164"/>
      <x:c r="B4" s="164"/>
      <x:c r="C4" s="164"/>
      <x:c r="D4" s="164"/>
      <x:c r="E4" s="164"/>
      <x:c r="F4" s="164"/>
      <x:c r="G4" s="164"/>
      <x:c r="H4" s="164"/>
      <x:c r="I4" s="164"/>
      <x:c r="J4" s="164"/>
      <x:c r="K4" s="164"/>
      <x:c r="L4" s="164"/>
      <x:c r="M4" s="292"/>
      <x:c r="N4" s="164"/>
      <x:c r="O4" s="164"/>
      <x:c r="P4" s="164"/>
      <x:c r="Q4" s="164"/>
      <x:c r="R4" s="164"/>
      <x:c r="S4" s="164"/>
      <x:c r="T4" s="292"/>
      <x:c r="U4" s="164"/>
      <x:c r="V4" s="164"/>
      <x:c r="W4" s="164"/>
      <x:c r="X4" s="164"/>
    </x:row>
    <x:row r="5">
      <x:c r="A5" s="164"/>
      <x:c r="B5" s="164"/>
      <x:c r="C5" s="164"/>
      <x:c r="D5" s="164"/>
      <x:c r="E5" s="164"/>
      <x:c r="F5" s="164"/>
      <x:c r="G5" s="164"/>
      <x:c r="H5" s="164"/>
      <x:c r="I5" s="164"/>
      <x:c r="J5" s="164"/>
      <x:c r="K5" s="164"/>
      <x:c r="L5" s="164"/>
      <x:c r="M5" s="292"/>
      <x:c r="N5" s="164"/>
      <x:c r="O5" s="164"/>
      <x:c r="P5" s="164"/>
      <x:c r="Q5" s="164"/>
      <x:c r="R5" s="164"/>
      <x:c r="S5" s="164"/>
      <x:c r="T5" s="292"/>
      <x:c r="U5" s="164"/>
      <x:c r="V5" s="164"/>
      <x:c r="W5" s="164"/>
      <x:c r="X5" s="164"/>
    </x:row>
    <x:row r="6">
      <x:c r="A6" s="164"/>
      <x:c r="B6" s="164"/>
      <x:c r="C6" s="164"/>
      <x:c r="D6" s="164"/>
      <x:c r="E6" s="164"/>
      <x:c r="F6" s="164"/>
      <x:c r="G6" s="164"/>
      <x:c r="H6" s="164"/>
      <x:c r="I6" s="164"/>
      <x:c r="J6" s="164"/>
      <x:c r="K6" s="164"/>
      <x:c r="L6" s="164"/>
      <x:c r="M6" s="292"/>
      <x:c r="N6" s="164"/>
      <x:c r="O6" s="164"/>
      <x:c r="P6" s="164"/>
      <x:c r="Q6" s="164"/>
      <x:c r="R6" s="164"/>
      <x:c r="S6" s="164"/>
      <x:c r="T6" s="292"/>
      <x:c r="U6" s="164"/>
      <x:c r="V6" s="164"/>
      <x:c r="W6" s="164"/>
      <x:c r="X6" s="164"/>
    </x:row>
    <x:row r="7">
      <x:c r="A7" s="164"/>
      <x:c r="B7" s="164"/>
      <x:c r="C7" s="164"/>
      <x:c r="D7" s="164"/>
      <x:c r="E7" s="164"/>
      <x:c r="F7" s="164"/>
      <x:c r="G7" s="164"/>
      <x:c r="H7" s="164"/>
      <x:c r="I7" s="164"/>
      <x:c r="J7" s="164"/>
      <x:c r="K7" s="164"/>
      <x:c r="L7" s="164"/>
      <x:c r="M7" s="292"/>
      <x:c r="N7" s="164"/>
      <x:c r="O7" s="164"/>
      <x:c r="P7" s="164"/>
      <x:c r="Q7" s="164"/>
      <x:c r="R7" s="164"/>
      <x:c r="S7" s="164"/>
      <x:c r="T7" s="292"/>
      <x:c r="U7" s="164"/>
      <x:c r="V7" s="164"/>
      <x:c r="W7" s="164"/>
      <x:c r="X7" s="164"/>
    </x:row>
    <x:row r="8">
      <x:c r="A8" s="164"/>
      <x:c r="B8" s="164"/>
      <x:c r="C8" s="164"/>
      <x:c r="D8" s="164"/>
      <x:c r="E8" s="164"/>
      <x:c r="F8" s="164"/>
      <x:c r="G8" s="164"/>
      <x:c r="H8" s="164"/>
      <x:c r="I8" s="164"/>
      <x:c r="J8" s="164"/>
      <x:c r="K8" s="164"/>
      <x:c r="L8" s="164"/>
      <x:c r="M8" s="292"/>
      <x:c r="N8" s="164"/>
      <x:c r="O8" s="164"/>
      <x:c r="P8" s="164"/>
      <x:c r="Q8" s="164"/>
      <x:c r="R8" s="164"/>
      <x:c r="S8" s="164"/>
      <x:c r="T8" s="292"/>
      <x:c r="U8" s="164"/>
      <x:c r="V8" s="164"/>
      <x:c r="W8" s="164"/>
      <x:c r="X8" s="164"/>
    </x:row>
    <x:row r="9">
      <x:c r="A9" s="164"/>
      <x:c r="B9" s="164"/>
      <x:c r="C9" s="164"/>
      <x:c r="D9" s="164"/>
      <x:c r="E9" s="164"/>
      <x:c r="F9" s="164"/>
      <x:c r="G9" s="164"/>
      <x:c r="H9" s="164"/>
      <x:c r="I9" s="164"/>
      <x:c r="J9" s="164"/>
      <x:c r="K9" s="164"/>
      <x:c r="L9" s="164"/>
      <x:c r="M9" s="292"/>
      <x:c r="N9" s="164"/>
      <x:c r="O9" s="164"/>
      <x:c r="P9" s="164"/>
      <x:c r="Q9" s="164"/>
      <x:c r="R9" s="164"/>
      <x:c r="S9" s="164"/>
      <x:c r="T9" s="292"/>
      <x:c r="U9" s="164"/>
      <x:c r="V9" s="164"/>
      <x:c r="W9" s="164"/>
      <x:c r="X9" s="164"/>
    </x:row>
    <x:row r="10">
      <x:c r="A10" s="164"/>
      <x:c r="B10" s="164"/>
      <x:c r="C10" s="164"/>
      <x:c r="D10" s="164"/>
      <x:c r="E10" s="164"/>
      <x:c r="F10" s="164"/>
      <x:c r="G10" s="164"/>
      <x:c r="H10" s="164"/>
      <x:c r="I10" s="164"/>
      <x:c r="J10" s="164"/>
      <x:c r="K10" s="164"/>
      <x:c r="L10" s="164"/>
      <x:c r="M10" s="292"/>
      <x:c r="N10" s="164"/>
      <x:c r="O10" s="164"/>
      <x:c r="P10" s="164"/>
      <x:c r="Q10" s="164"/>
      <x:c r="R10" s="164"/>
      <x:c r="S10" s="164"/>
      <x:c r="T10" s="292"/>
      <x:c r="U10" s="164"/>
      <x:c r="V10" s="164"/>
      <x:c r="W10" s="164"/>
      <x:c r="X10" s="164"/>
    </x:row>
    <x:row r="11">
      <x:c r="A11" s="164"/>
      <x:c r="B11" s="164"/>
      <x:c r="C11" s="164"/>
      <x:c r="D11" s="164"/>
      <x:c r="E11" s="164"/>
      <x:c r="F11" s="164"/>
      <x:c r="G11" s="164"/>
      <x:c r="H11" s="164"/>
      <x:c r="I11" s="164"/>
      <x:c r="J11" s="164"/>
      <x:c r="K11" s="164"/>
      <x:c r="L11" s="164"/>
      <x:c r="M11" s="292"/>
      <x:c r="N11" s="164"/>
      <x:c r="O11" s="164"/>
      <x:c r="P11" s="164"/>
      <x:c r="Q11" s="164"/>
      <x:c r="R11" s="164"/>
      <x:c r="S11" s="164"/>
      <x:c r="T11" s="292"/>
      <x:c r="U11" s="164"/>
      <x:c r="V11" s="164"/>
      <x:c r="W11" s="164"/>
      <x:c r="X11" s="164"/>
    </x:row>
    <x:row r="12">
      <x:c r="A12" s="164"/>
      <x:c r="B12" s="164"/>
      <x:c r="C12" s="164"/>
      <x:c r="D12" s="164"/>
      <x:c r="E12" s="164"/>
      <x:c r="F12" s="164"/>
      <x:c r="G12" s="164"/>
      <x:c r="H12" s="164"/>
      <x:c r="I12" s="164"/>
      <x:c r="J12" s="164"/>
      <x:c r="K12" s="164"/>
      <x:c r="L12" s="164"/>
      <x:c r="M12" s="292"/>
      <x:c r="N12" s="164"/>
      <x:c r="O12" s="164"/>
      <x:c r="P12" s="164"/>
      <x:c r="Q12" s="164"/>
      <x:c r="R12" s="164"/>
      <x:c r="S12" s="164"/>
      <x:c r="T12" s="292"/>
      <x:c r="U12" s="164"/>
      <x:c r="V12" s="164"/>
      <x:c r="W12" s="164"/>
      <x:c r="X12" s="164"/>
    </x:row>
    <x:row r="13">
      <x:c r="A13" s="164"/>
      <x:c r="B13" s="164"/>
      <x:c r="C13" s="164"/>
      <x:c r="D13" s="164"/>
      <x:c r="E13" s="164"/>
      <x:c r="F13" s="164"/>
      <x:c r="G13" s="164"/>
      <x:c r="H13" s="164"/>
      <x:c r="I13" s="164"/>
      <x:c r="J13" s="164"/>
      <x:c r="K13" s="164"/>
      <x:c r="L13" s="164"/>
      <x:c r="M13" s="292"/>
      <x:c r="N13" s="164"/>
      <x:c r="O13" s="164"/>
      <x:c r="P13" s="164"/>
      <x:c r="Q13" s="164"/>
      <x:c r="R13" s="164"/>
      <x:c r="S13" s="164"/>
      <x:c r="T13" s="292"/>
      <x:c r="U13" s="164"/>
      <x:c r="V13" s="164"/>
      <x:c r="W13" s="164"/>
      <x:c r="X13" s="164"/>
    </x:row>
    <x:row r="14">
      <x:c r="A14" s="164"/>
      <x:c r="B14" s="164"/>
      <x:c r="C14" s="164"/>
      <x:c r="D14" s="164"/>
      <x:c r="E14" s="164"/>
      <x:c r="F14" s="164"/>
      <x:c r="G14" s="164"/>
      <x:c r="H14" s="164"/>
      <x:c r="I14" s="164"/>
      <x:c r="J14" s="164"/>
      <x:c r="K14" s="164"/>
      <x:c r="L14" s="164"/>
      <x:c r="M14" s="292"/>
      <x:c r="N14" s="164"/>
      <x:c r="O14" s="164"/>
      <x:c r="P14" s="164"/>
      <x:c r="Q14" s="164"/>
      <x:c r="R14" s="164"/>
      <x:c r="S14" s="164"/>
      <x:c r="T14" s="292"/>
      <x:c r="U14" s="164"/>
      <x:c r="V14" s="164"/>
      <x:c r="W14" s="164"/>
      <x:c r="X14" s="164"/>
    </x:row>
    <x:row r="15">
      <x:c r="A15" s="164"/>
      <x:c r="B15" s="164"/>
      <x:c r="C15" s="164"/>
      <x:c r="D15" s="164"/>
      <x:c r="E15" s="164"/>
      <x:c r="F15" s="164"/>
      <x:c r="G15" s="164"/>
      <x:c r="H15" s="164"/>
      <x:c r="I15" s="164"/>
      <x:c r="J15" s="164"/>
      <x:c r="K15" s="164"/>
      <x:c r="L15" s="164"/>
      <x:c r="M15" s="292"/>
      <x:c r="N15" s="164"/>
      <x:c r="O15" s="164"/>
      <x:c r="P15" s="164"/>
      <x:c r="Q15" s="164"/>
      <x:c r="R15" s="164"/>
      <x:c r="S15" s="164"/>
      <x:c r="T15" s="292"/>
      <x:c r="U15" s="164"/>
      <x:c r="V15" s="164"/>
      <x:c r="W15" s="164"/>
      <x:c r="X15" s="164"/>
    </x:row>
    <x:row r="16">
      <x:c r="A16" s="164"/>
      <x:c r="B16" s="164"/>
      <x:c r="C16" s="164"/>
      <x:c r="D16" s="164"/>
      <x:c r="E16" s="164"/>
      <x:c r="F16" s="164"/>
      <x:c r="G16" s="164"/>
      <x:c r="H16" s="164"/>
      <x:c r="I16" s="164"/>
      <x:c r="J16" s="164"/>
      <x:c r="K16" s="164"/>
      <x:c r="L16" s="164"/>
      <x:c r="M16" s="292"/>
      <x:c r="N16" s="164"/>
      <x:c r="O16" s="164"/>
      <x:c r="P16" s="164"/>
      <x:c r="Q16" s="164"/>
      <x:c r="R16" s="164"/>
      <x:c r="S16" s="164"/>
      <x:c r="T16" s="292"/>
      <x:c r="U16" s="164"/>
      <x:c r="V16" s="164"/>
      <x:c r="W16" s="164"/>
      <x:c r="X16" s="164"/>
    </x:row>
    <x:row r="17">
      <x:c r="A17" s="164"/>
      <x:c r="B17" s="164"/>
      <x:c r="C17" s="164"/>
      <x:c r="D17" s="164"/>
      <x:c r="E17" s="164"/>
      <x:c r="F17" s="164"/>
      <x:c r="G17" s="164"/>
      <x:c r="H17" s="164"/>
      <x:c r="I17" s="164"/>
      <x:c r="J17" s="164"/>
      <x:c r="K17" s="164"/>
      <x:c r="L17" s="164"/>
      <x:c r="M17" s="292"/>
      <x:c r="N17" s="164"/>
      <x:c r="O17" s="164"/>
      <x:c r="P17" s="164"/>
      <x:c r="Q17" s="164"/>
      <x:c r="R17" s="164"/>
      <x:c r="S17" s="164"/>
      <x:c r="T17" s="292"/>
      <x:c r="U17" s="164"/>
      <x:c r="V17" s="164"/>
      <x:c r="W17" s="164"/>
      <x:c r="X17" s="164"/>
    </x:row>
    <x:row r="18">
      <x:c r="A18" s="164"/>
      <x:c r="B18" s="164"/>
      <x:c r="C18" s="164"/>
      <x:c r="D18" s="164"/>
      <x:c r="E18" s="164"/>
      <x:c r="F18" s="164"/>
      <x:c r="G18" s="164"/>
      <x:c r="H18" s="164"/>
      <x:c r="I18" s="164"/>
      <x:c r="J18" s="164"/>
      <x:c r="K18" s="164"/>
      <x:c r="L18" s="164"/>
      <x:c r="M18" s="292"/>
      <x:c r="N18" s="164"/>
      <x:c r="O18" s="164"/>
      <x:c r="P18" s="164"/>
      <x:c r="Q18" s="164"/>
      <x:c r="R18" s="164"/>
      <x:c r="S18" s="164"/>
      <x:c r="T18" s="292"/>
      <x:c r="U18" s="164"/>
      <x:c r="V18" s="164"/>
      <x:c r="W18" s="164"/>
      <x:c r="X18" s="164"/>
    </x:row>
    <x:row r="19">
      <x:c r="A19" s="164"/>
      <x:c r="B19" s="164"/>
      <x:c r="C19" s="164"/>
      <x:c r="D19" s="164"/>
      <x:c r="E19" s="164"/>
      <x:c r="F19" s="164"/>
      <x:c r="G19" s="164"/>
      <x:c r="H19" s="164"/>
      <x:c r="I19" s="164"/>
      <x:c r="J19" s="164"/>
      <x:c r="K19" s="164"/>
      <x:c r="L19" s="164"/>
      <x:c r="M19" s="292"/>
      <x:c r="N19" s="164"/>
      <x:c r="O19" s="164"/>
      <x:c r="P19" s="164"/>
      <x:c r="Q19" s="164"/>
      <x:c r="R19" s="164"/>
      <x:c r="S19" s="164"/>
      <x:c r="T19" s="292"/>
      <x:c r="U19" s="164"/>
      <x:c r="V19" s="164"/>
      <x:c r="W19" s="164"/>
      <x:c r="X19" s="164"/>
    </x:row>
    <x:row r="20">
      <x:c r="A20" s="164"/>
      <x:c r="B20" s="164"/>
      <x:c r="C20" s="164"/>
      <x:c r="D20" s="164"/>
      <x:c r="E20" s="164"/>
      <x:c r="F20" s="164"/>
      <x:c r="G20" s="164"/>
      <x:c r="H20" s="164"/>
      <x:c r="I20" s="164"/>
      <x:c r="J20" s="164"/>
      <x:c r="K20" s="164"/>
      <x:c r="L20" s="164"/>
      <x:c r="M20" s="292"/>
      <x:c r="N20" s="164"/>
      <x:c r="O20" s="164"/>
      <x:c r="P20" s="164"/>
      <x:c r="Q20" s="164"/>
      <x:c r="R20" s="164"/>
      <x:c r="S20" s="164"/>
      <x:c r="T20" s="292"/>
      <x:c r="U20" s="164"/>
      <x:c r="V20" s="164"/>
      <x:c r="W20" s="164"/>
      <x:c r="X20" s="164"/>
    </x:row>
    <x:row r="21">
      <x:c r="A21" s="164"/>
      <x:c r="B21" s="164"/>
      <x:c r="C21" s="164"/>
      <x:c r="D21" s="164"/>
      <x:c r="E21" s="164"/>
      <x:c r="F21" s="164"/>
      <x:c r="G21" s="164"/>
      <x:c r="H21" s="164"/>
      <x:c r="I21" s="164"/>
      <x:c r="J21" s="164"/>
      <x:c r="K21" s="164"/>
      <x:c r="L21" s="164"/>
      <x:c r="M21" s="292"/>
      <x:c r="N21" s="164"/>
      <x:c r="O21" s="164"/>
      <x:c r="P21" s="164"/>
      <x:c r="Q21" s="164"/>
      <x:c r="R21" s="164"/>
      <x:c r="S21" s="164"/>
      <x:c r="T21" s="292"/>
      <x:c r="U21" s="164"/>
      <x:c r="V21" s="164"/>
      <x:c r="W21" s="164"/>
      <x:c r="X21" s="164"/>
    </x:row>
    <x:row r="22">
      <x:c r="A22" s="164"/>
      <x:c r="B22" s="164"/>
      <x:c r="C22" s="164"/>
      <x:c r="D22" s="164"/>
      <x:c r="E22" s="164"/>
      <x:c r="F22" s="164"/>
      <x:c r="G22" s="164"/>
      <x:c r="H22" s="164"/>
      <x:c r="I22" s="164"/>
      <x:c r="J22" s="164"/>
      <x:c r="K22" s="164"/>
      <x:c r="L22" s="164"/>
      <x:c r="M22" s="292"/>
      <x:c r="N22" s="164"/>
      <x:c r="O22" s="164"/>
      <x:c r="P22" s="164"/>
      <x:c r="Q22" s="164"/>
      <x:c r="R22" s="164"/>
      <x:c r="S22" s="164"/>
      <x:c r="T22" s="292"/>
      <x:c r="U22" s="164"/>
      <x:c r="V22" s="164"/>
      <x:c r="W22" s="164"/>
      <x:c r="X22" s="164"/>
    </x:row>
    <x:row r="23">
      <x:c r="A23" s="164"/>
      <x:c r="B23" s="164"/>
      <x:c r="C23" s="164"/>
      <x:c r="D23" s="164"/>
      <x:c r="E23" s="164"/>
      <x:c r="F23" s="164"/>
      <x:c r="G23" s="164"/>
      <x:c r="H23" s="164"/>
      <x:c r="I23" s="164"/>
      <x:c r="J23" s="164"/>
      <x:c r="K23" s="164"/>
      <x:c r="L23" s="164"/>
      <x:c r="M23" s="292"/>
      <x:c r="N23" s="164"/>
      <x:c r="O23" s="164"/>
      <x:c r="P23" s="164"/>
      <x:c r="Q23" s="164"/>
      <x:c r="R23" s="164"/>
      <x:c r="S23" s="164"/>
      <x:c r="T23" s="292"/>
      <x:c r="U23" s="164"/>
      <x:c r="V23" s="164"/>
      <x:c r="W23" s="164"/>
      <x:c r="X23" s="164"/>
    </x:row>
    <x:row r="24">
      <x:c r="A24" s="164"/>
      <x:c r="B24" s="164"/>
      <x:c r="C24" s="164"/>
      <x:c r="D24" s="164"/>
      <x:c r="E24" s="164"/>
      <x:c r="F24" s="164"/>
      <x:c r="G24" s="164"/>
      <x:c r="H24" s="164"/>
      <x:c r="I24" s="164"/>
      <x:c r="J24" s="164"/>
      <x:c r="K24" s="164"/>
      <x:c r="L24" s="164"/>
      <x:c r="M24" s="292"/>
      <x:c r="N24" s="164"/>
      <x:c r="O24" s="164"/>
      <x:c r="P24" s="164"/>
      <x:c r="Q24" s="164"/>
      <x:c r="R24" s="164"/>
      <x:c r="S24" s="164"/>
      <x:c r="T24" s="292"/>
      <x:c r="U24" s="164"/>
      <x:c r="V24" s="164"/>
      <x:c r="W24" s="164"/>
      <x:c r="X24" s="164"/>
    </x:row>
    <x:row r="25">
      <x:c r="A25" s="164"/>
      <x:c r="B25" s="164"/>
      <x:c r="C25" s="164"/>
      <x:c r="D25" s="164"/>
      <x:c r="E25" s="164"/>
      <x:c r="F25" s="164"/>
      <x:c r="G25" s="164"/>
      <x:c r="H25" s="164"/>
      <x:c r="I25" s="164"/>
      <x:c r="J25" s="164"/>
      <x:c r="K25" s="164"/>
      <x:c r="L25" s="164"/>
      <x:c r="M25" s="292"/>
      <x:c r="N25" s="164"/>
      <x:c r="O25" s="164"/>
      <x:c r="P25" s="164"/>
      <x:c r="Q25" s="164"/>
      <x:c r="R25" s="164"/>
      <x:c r="S25" s="164"/>
      <x:c r="T25" s="292"/>
      <x:c r="U25" s="164"/>
      <x:c r="V25" s="164"/>
      <x:c r="W25" s="164"/>
      <x:c r="X25" s="164"/>
    </x:row>
    <x:row r="26">
      <x:c r="A26" s="164"/>
      <x:c r="B26" s="164"/>
      <x:c r="C26" s="164"/>
      <x:c r="D26" s="164"/>
      <x:c r="E26" s="164"/>
      <x:c r="F26" s="164"/>
      <x:c r="G26" s="164"/>
      <x:c r="H26" s="164"/>
      <x:c r="I26" s="164"/>
      <x:c r="J26" s="164"/>
      <x:c r="K26" s="164"/>
      <x:c r="L26" s="164"/>
      <x:c r="M26" s="292"/>
      <x:c r="N26" s="164"/>
      <x:c r="O26" s="164"/>
      <x:c r="P26" s="164"/>
      <x:c r="Q26" s="164"/>
      <x:c r="R26" s="164"/>
      <x:c r="S26" s="164"/>
      <x:c r="T26" s="292"/>
      <x:c r="U26" s="164"/>
      <x:c r="V26" s="164"/>
      <x:c r="W26" s="164"/>
      <x:c r="X26" s="164"/>
    </x:row>
    <x:row r="27">
      <x:c r="A27" s="164"/>
      <x:c r="B27" s="164"/>
      <x:c r="C27" s="164"/>
      <x:c r="D27" s="164"/>
      <x:c r="E27" s="164"/>
      <x:c r="F27" s="164"/>
      <x:c r="G27" s="164"/>
      <x:c r="H27" s="164"/>
      <x:c r="I27" s="164"/>
      <x:c r="J27" s="164"/>
      <x:c r="K27" s="164"/>
      <x:c r="L27" s="164"/>
      <x:c r="M27" s="292"/>
      <x:c r="N27" s="164"/>
      <x:c r="O27" s="164"/>
      <x:c r="P27" s="164"/>
      <x:c r="Q27" s="164"/>
      <x:c r="R27" s="164"/>
      <x:c r="S27" s="164"/>
      <x:c r="T27" s="292"/>
      <x:c r="U27" s="164"/>
      <x:c r="V27" s="164"/>
      <x:c r="W27" s="164"/>
      <x:c r="X27" s="164"/>
    </x:row>
    <x:row r="28">
      <x:c r="A28" s="164"/>
      <x:c r="B28" s="164"/>
      <x:c r="C28" s="164"/>
      <x:c r="D28" s="164"/>
      <x:c r="E28" s="164"/>
      <x:c r="F28" s="164"/>
      <x:c r="G28" s="164"/>
      <x:c r="H28" s="164"/>
      <x:c r="I28" s="164"/>
      <x:c r="J28" s="164"/>
      <x:c r="K28" s="164"/>
      <x:c r="L28" s="164"/>
      <x:c r="M28" s="292"/>
      <x:c r="N28" s="164"/>
      <x:c r="O28" s="164"/>
      <x:c r="P28" s="164"/>
      <x:c r="Q28" s="164"/>
      <x:c r="R28" s="164"/>
      <x:c r="S28" s="164"/>
      <x:c r="T28" s="292"/>
      <x:c r="U28" s="164"/>
      <x:c r="V28" s="164"/>
      <x:c r="W28" s="164"/>
      <x:c r="X28" s="164"/>
    </x:row>
    <x:row r="29">
      <x:c r="A29" s="164"/>
      <x:c r="B29" s="164"/>
      <x:c r="C29" s="164"/>
      <x:c r="D29" s="164"/>
      <x:c r="E29" s="164"/>
      <x:c r="F29" s="164"/>
      <x:c r="G29" s="164"/>
      <x:c r="H29" s="164"/>
      <x:c r="I29" s="164"/>
      <x:c r="J29" s="164"/>
      <x:c r="K29" s="164"/>
      <x:c r="L29" s="164"/>
      <x:c r="M29" s="292"/>
      <x:c r="N29" s="164"/>
      <x:c r="O29" s="164"/>
      <x:c r="P29" s="164"/>
      <x:c r="Q29" s="164"/>
      <x:c r="R29" s="164"/>
      <x:c r="S29" s="164"/>
      <x:c r="T29" s="292"/>
      <x:c r="U29" s="164"/>
      <x:c r="V29" s="164"/>
      <x:c r="W29" s="164"/>
      <x:c r="X29" s="164"/>
    </x:row>
    <x:row r="30">
      <x:c r="A30" s="164"/>
      <x:c r="B30" s="164"/>
      <x:c r="C30" s="164"/>
      <x:c r="D30" s="164"/>
      <x:c r="E30" s="164"/>
      <x:c r="F30" s="164"/>
      <x:c r="G30" s="164"/>
      <x:c r="H30" s="164"/>
      <x:c r="I30" s="164"/>
      <x:c r="J30" s="164"/>
      <x:c r="K30" s="164"/>
      <x:c r="L30" s="164"/>
      <x:c r="M30" s="292"/>
      <x:c r="N30" s="164"/>
      <x:c r="O30" s="164"/>
      <x:c r="P30" s="164"/>
      <x:c r="Q30" s="164"/>
      <x:c r="R30" s="164"/>
      <x:c r="S30" s="164"/>
      <x:c r="T30" s="292"/>
      <x:c r="U30" s="164"/>
      <x:c r="V30" s="164"/>
      <x:c r="W30" s="164"/>
      <x:c r="X30" s="164"/>
    </x:row>
    <x:row r="31">
      <x:c r="A31" s="164"/>
      <x:c r="B31" s="164"/>
      <x:c r="C31" s="164"/>
      <x:c r="D31" s="164"/>
      <x:c r="E31" s="164"/>
      <x:c r="F31" s="164"/>
      <x:c r="G31" s="164"/>
      <x:c r="H31" s="164"/>
      <x:c r="I31" s="164"/>
      <x:c r="J31" s="164"/>
      <x:c r="K31" s="164"/>
      <x:c r="L31" s="164"/>
      <x:c r="M31" s="292"/>
      <x:c r="N31" s="164"/>
      <x:c r="O31" s="164"/>
      <x:c r="P31" s="164"/>
      <x:c r="Q31" s="164"/>
      <x:c r="R31" s="164"/>
      <x:c r="S31" s="164"/>
      <x:c r="T31" s="292"/>
      <x:c r="U31" s="164"/>
      <x:c r="V31" s="164"/>
      <x:c r="W31" s="164"/>
      <x:c r="X31" s="164"/>
    </x:row>
    <x:row r="32">
      <x:c r="A32" s="164"/>
      <x:c r="B32" s="164"/>
      <x:c r="C32" s="164"/>
      <x:c r="D32" s="164"/>
      <x:c r="E32" s="164"/>
      <x:c r="F32" s="164"/>
      <x:c r="G32" s="164"/>
      <x:c r="H32" s="164"/>
      <x:c r="I32" s="164"/>
      <x:c r="J32" s="164"/>
      <x:c r="K32" s="164"/>
      <x:c r="L32" s="164"/>
      <x:c r="M32" s="292"/>
      <x:c r="N32" s="164"/>
      <x:c r="O32" s="164"/>
      <x:c r="P32" s="164"/>
      <x:c r="Q32" s="164"/>
      <x:c r="R32" s="164"/>
      <x:c r="S32" s="164"/>
      <x:c r="T32" s="292"/>
      <x:c r="U32" s="164"/>
      <x:c r="V32" s="164"/>
      <x:c r="W32" s="164"/>
      <x:c r="X32" s="164"/>
    </x:row>
    <x:row r="33">
      <x:c r="A33" s="164"/>
      <x:c r="B33" s="164"/>
      <x:c r="C33" s="164"/>
      <x:c r="D33" s="164"/>
      <x:c r="E33" s="164"/>
      <x:c r="F33" s="164"/>
      <x:c r="G33" s="164"/>
      <x:c r="H33" s="164"/>
      <x:c r="I33" s="164"/>
      <x:c r="J33" s="164"/>
      <x:c r="K33" s="164"/>
      <x:c r="L33" s="164"/>
      <x:c r="M33" s="292"/>
      <x:c r="N33" s="164"/>
      <x:c r="O33" s="164"/>
      <x:c r="P33" s="164"/>
      <x:c r="Q33" s="164"/>
      <x:c r="R33" s="164"/>
      <x:c r="S33" s="164"/>
      <x:c r="T33" s="292"/>
      <x:c r="U33" s="164"/>
      <x:c r="V33" s="164"/>
      <x:c r="W33" s="164"/>
      <x:c r="X33" s="164"/>
    </x:row>
    <x:row r="34">
      <x:c r="A34" s="164"/>
      <x:c r="B34" s="164"/>
      <x:c r="C34" s="164"/>
      <x:c r="D34" s="164"/>
      <x:c r="E34" s="164"/>
      <x:c r="F34" s="164"/>
      <x:c r="G34" s="164"/>
      <x:c r="H34" s="164"/>
      <x:c r="I34" s="164"/>
      <x:c r="J34" s="164"/>
      <x:c r="K34" s="164"/>
      <x:c r="L34" s="164"/>
      <x:c r="M34" s="292"/>
      <x:c r="N34" s="164"/>
      <x:c r="O34" s="164"/>
      <x:c r="P34" s="164"/>
      <x:c r="Q34" s="164"/>
      <x:c r="R34" s="164"/>
      <x:c r="S34" s="164"/>
      <x:c r="T34" s="292"/>
      <x:c r="U34" s="164"/>
      <x:c r="V34" s="164"/>
      <x:c r="W34" s="164"/>
      <x:c r="X34" s="164"/>
    </x:row>
    <x:row r="35">
      <x:c r="A35" s="164"/>
      <x:c r="B35" s="164"/>
      <x:c r="C35" s="164"/>
      <x:c r="D35" s="164"/>
      <x:c r="E35" s="164"/>
      <x:c r="F35" s="164"/>
      <x:c r="G35" s="164"/>
      <x:c r="H35" s="164"/>
      <x:c r="I35" s="164"/>
      <x:c r="J35" s="164"/>
      <x:c r="K35" s="164"/>
      <x:c r="L35" s="164"/>
      <x:c r="M35" s="292"/>
      <x:c r="N35" s="164"/>
      <x:c r="O35" s="164"/>
      <x:c r="P35" s="164"/>
      <x:c r="Q35" s="164"/>
      <x:c r="R35" s="164"/>
      <x:c r="S35" s="164"/>
      <x:c r="T35" s="292"/>
      <x:c r="U35" s="164"/>
      <x:c r="V35" s="164"/>
      <x:c r="W35" s="164"/>
      <x:c r="X35" s="164"/>
    </x:row>
    <x:row r="36">
      <x:c r="A36" s="164"/>
      <x:c r="B36" s="164"/>
      <x:c r="C36" s="164"/>
      <x:c r="D36" s="164"/>
      <x:c r="E36" s="164"/>
      <x:c r="F36" s="164"/>
      <x:c r="G36" s="164"/>
      <x:c r="H36" s="164"/>
      <x:c r="I36" s="164"/>
      <x:c r="J36" s="164"/>
      <x:c r="K36" s="164"/>
      <x:c r="L36" s="164"/>
      <x:c r="M36" s="292"/>
      <x:c r="N36" s="164"/>
      <x:c r="O36" s="164"/>
      <x:c r="P36" s="164"/>
      <x:c r="Q36" s="164"/>
      <x:c r="R36" s="164"/>
      <x:c r="S36" s="164"/>
      <x:c r="T36" s="292"/>
      <x:c r="U36" s="164"/>
      <x:c r="V36" s="164"/>
      <x:c r="W36" s="164"/>
      <x:c r="X36" s="164"/>
    </x:row>
    <x:row r="37">
      <x:c r="A37" s="164"/>
      <x:c r="B37" s="164"/>
      <x:c r="C37" s="164"/>
      <x:c r="D37" s="164"/>
      <x:c r="E37" s="164"/>
      <x:c r="F37" s="164"/>
      <x:c r="G37" s="164"/>
      <x:c r="H37" s="164"/>
      <x:c r="I37" s="164"/>
      <x:c r="J37" s="164"/>
      <x:c r="K37" s="164"/>
      <x:c r="L37" s="164"/>
      <x:c r="M37" s="292"/>
      <x:c r="N37" s="164"/>
      <x:c r="O37" s="164"/>
      <x:c r="P37" s="164"/>
      <x:c r="Q37" s="164"/>
      <x:c r="R37" s="164"/>
      <x:c r="S37" s="164"/>
      <x:c r="T37" s="292"/>
      <x:c r="U37" s="164"/>
      <x:c r="V37" s="164"/>
      <x:c r="W37" s="164"/>
      <x:c r="X37" s="164"/>
    </x:row>
    <x:row r="38">
      <x:c r="A38" s="164"/>
      <x:c r="B38" s="164"/>
      <x:c r="C38" s="164"/>
      <x:c r="D38" s="164"/>
      <x:c r="E38" s="164"/>
      <x:c r="F38" s="164"/>
      <x:c r="G38" s="164"/>
      <x:c r="H38" s="164"/>
      <x:c r="I38" s="164"/>
      <x:c r="J38" s="164"/>
      <x:c r="K38" s="164"/>
      <x:c r="L38" s="164"/>
      <x:c r="M38" s="292"/>
      <x:c r="N38" s="164"/>
      <x:c r="O38" s="164"/>
      <x:c r="P38" s="164"/>
      <x:c r="Q38" s="164"/>
      <x:c r="R38" s="164"/>
      <x:c r="S38" s="164"/>
      <x:c r="T38" s="292"/>
      <x:c r="U38" s="164"/>
      <x:c r="V38" s="164"/>
      <x:c r="W38" s="164"/>
      <x:c r="X38" s="164"/>
    </x:row>
    <x:row r="39">
      <x:c r="A39" s="164"/>
      <x:c r="B39" s="164"/>
      <x:c r="C39" s="164"/>
      <x:c r="D39" s="164"/>
      <x:c r="E39" s="164"/>
      <x:c r="F39" s="164"/>
      <x:c r="G39" s="164"/>
      <x:c r="H39" s="164"/>
      <x:c r="I39" s="164"/>
      <x:c r="J39" s="164"/>
      <x:c r="K39" s="164"/>
      <x:c r="L39" s="164"/>
      <x:c r="M39" s="292"/>
      <x:c r="N39" s="164"/>
      <x:c r="O39" s="164"/>
      <x:c r="P39" s="164"/>
      <x:c r="Q39" s="164"/>
      <x:c r="R39" s="164"/>
      <x:c r="S39" s="164"/>
      <x:c r="T39" s="292"/>
      <x:c r="U39" s="164"/>
      <x:c r="V39" s="164"/>
      <x:c r="W39" s="164"/>
      <x:c r="X39" s="164"/>
    </x:row>
    <x:row r="40">
      <x:c r="A40" s="164"/>
      <x:c r="B40" s="164"/>
      <x:c r="C40" s="164"/>
      <x:c r="D40" s="164"/>
      <x:c r="E40" s="164"/>
      <x:c r="F40" s="164"/>
      <x:c r="G40" s="164"/>
      <x:c r="H40" s="164"/>
      <x:c r="I40" s="164"/>
      <x:c r="J40" s="164"/>
      <x:c r="K40" s="164"/>
      <x:c r="L40" s="164"/>
      <x:c r="M40" s="292"/>
      <x:c r="N40" s="164"/>
      <x:c r="O40" s="164"/>
      <x:c r="P40" s="164"/>
      <x:c r="Q40" s="164"/>
      <x:c r="R40" s="164"/>
      <x:c r="S40" s="164"/>
      <x:c r="T40" s="292"/>
      <x:c r="U40" s="164"/>
      <x:c r="V40" s="164"/>
      <x:c r="W40" s="164"/>
      <x:c r="X40" s="164"/>
    </x:row>
    <x:row r="41">
      <x:c r="A41" s="164"/>
      <x:c r="B41" s="164"/>
      <x:c r="C41" s="164"/>
      <x:c r="D41" s="164"/>
      <x:c r="E41" s="164"/>
      <x:c r="F41" s="164"/>
      <x:c r="G41" s="164"/>
      <x:c r="H41" s="164"/>
      <x:c r="I41" s="164"/>
      <x:c r="J41" s="164"/>
      <x:c r="K41" s="164"/>
      <x:c r="L41" s="164"/>
      <x:c r="M41" s="292"/>
      <x:c r="N41" s="164"/>
      <x:c r="O41" s="164"/>
      <x:c r="P41" s="164"/>
      <x:c r="Q41" s="164"/>
      <x:c r="R41" s="164"/>
      <x:c r="S41" s="164"/>
      <x:c r="T41" s="292"/>
      <x:c r="U41" s="164"/>
      <x:c r="V41" s="164"/>
      <x:c r="W41" s="164"/>
      <x:c r="X41" s="164"/>
    </x:row>
    <x:row r="42">
      <x:c r="A42" s="164"/>
      <x:c r="B42" s="164"/>
      <x:c r="C42" s="164"/>
      <x:c r="D42" s="164"/>
      <x:c r="E42" s="164"/>
      <x:c r="F42" s="164"/>
      <x:c r="G42" s="164"/>
      <x:c r="H42" s="164"/>
      <x:c r="I42" s="164"/>
      <x:c r="J42" s="164"/>
      <x:c r="K42" s="164"/>
      <x:c r="L42" s="164"/>
      <x:c r="M42" s="292"/>
      <x:c r="N42" s="164"/>
      <x:c r="O42" s="164"/>
      <x:c r="P42" s="164"/>
      <x:c r="Q42" s="164"/>
      <x:c r="R42" s="164"/>
      <x:c r="S42" s="164"/>
      <x:c r="T42" s="292"/>
      <x:c r="U42" s="164"/>
      <x:c r="V42" s="164"/>
      <x:c r="W42" s="164"/>
      <x:c r="X42" s="164"/>
    </x:row>
    <x:row r="43">
      <x:c r="A43" s="164"/>
      <x:c r="B43" s="164"/>
      <x:c r="C43" s="164"/>
      <x:c r="D43" s="164"/>
      <x:c r="E43" s="164"/>
      <x:c r="F43" s="164"/>
      <x:c r="G43" s="164"/>
      <x:c r="H43" s="164"/>
      <x:c r="I43" s="164"/>
      <x:c r="J43" s="164"/>
      <x:c r="K43" s="164"/>
      <x:c r="L43" s="164"/>
      <x:c r="M43" s="292"/>
      <x:c r="N43" s="164"/>
      <x:c r="O43" s="164"/>
      <x:c r="P43" s="164"/>
      <x:c r="Q43" s="164"/>
      <x:c r="R43" s="164"/>
      <x:c r="S43" s="164"/>
      <x:c r="T43" s="292"/>
      <x:c r="U43" s="164"/>
      <x:c r="V43" s="164"/>
      <x:c r="W43" s="164"/>
      <x:c r="X43" s="164"/>
    </x:row>
    <x:row r="44">
      <x:c r="A44" s="164"/>
      <x:c r="B44" s="164"/>
      <x:c r="C44" s="164"/>
      <x:c r="D44" s="164"/>
      <x:c r="E44" s="164"/>
      <x:c r="F44" s="164"/>
      <x:c r="G44" s="164"/>
      <x:c r="H44" s="164"/>
      <x:c r="I44" s="164"/>
      <x:c r="J44" s="164"/>
      <x:c r="K44" s="164"/>
      <x:c r="L44" s="164"/>
      <x:c r="M44" s="292"/>
      <x:c r="N44" s="164"/>
      <x:c r="O44" s="164"/>
      <x:c r="P44" s="164"/>
      <x:c r="Q44" s="164"/>
      <x:c r="R44" s="164"/>
      <x:c r="S44" s="164"/>
      <x:c r="T44" s="292"/>
      <x:c r="U44" s="164"/>
      <x:c r="V44" s="164"/>
      <x:c r="W44" s="164"/>
      <x:c r="X44" s="164"/>
    </x:row>
    <x:row r="45">
      <x:c r="A45" s="164"/>
      <x:c r="B45" s="164"/>
      <x:c r="C45" s="164"/>
      <x:c r="D45" s="164"/>
      <x:c r="E45" s="164"/>
      <x:c r="F45" s="164"/>
      <x:c r="G45" s="164"/>
      <x:c r="H45" s="164"/>
      <x:c r="I45" s="164"/>
      <x:c r="J45" s="164"/>
      <x:c r="K45" s="164"/>
      <x:c r="L45" s="164"/>
      <x:c r="M45" s="292"/>
      <x:c r="N45" s="164"/>
      <x:c r="O45" s="164"/>
      <x:c r="P45" s="164"/>
      <x:c r="Q45" s="164"/>
      <x:c r="R45" s="164"/>
      <x:c r="S45" s="164"/>
      <x:c r="T45" s="292"/>
      <x:c r="U45" s="164"/>
      <x:c r="V45" s="164"/>
      <x:c r="W45" s="164"/>
      <x:c r="X45" s="164"/>
    </x:row>
    <x:row r="46">
      <x:c r="A46" s="164"/>
      <x:c r="B46" s="164"/>
      <x:c r="C46" s="164"/>
      <x:c r="D46" s="164"/>
      <x:c r="E46" s="164"/>
      <x:c r="F46" s="164"/>
      <x:c r="G46" s="164"/>
      <x:c r="H46" s="164"/>
      <x:c r="I46" s="164"/>
      <x:c r="J46" s="164"/>
      <x:c r="K46" s="164"/>
      <x:c r="L46" s="164"/>
      <x:c r="M46" s="292"/>
      <x:c r="N46" s="164"/>
      <x:c r="O46" s="164"/>
      <x:c r="P46" s="164"/>
      <x:c r="Q46" s="164"/>
      <x:c r="R46" s="164"/>
      <x:c r="S46" s="164"/>
      <x:c r="T46" s="292"/>
      <x:c r="U46" s="164"/>
      <x:c r="V46" s="164"/>
      <x:c r="W46" s="164"/>
      <x:c r="X46" s="164"/>
    </x:row>
    <x:row r="47">
      <x:c r="A47" s="164"/>
      <x:c r="B47" s="164"/>
      <x:c r="C47" s="164"/>
      <x:c r="D47" s="164"/>
      <x:c r="E47" s="164"/>
      <x:c r="F47" s="164"/>
      <x:c r="G47" s="164"/>
      <x:c r="H47" s="164"/>
      <x:c r="I47" s="164"/>
      <x:c r="J47" s="164"/>
      <x:c r="K47" s="164"/>
      <x:c r="L47" s="164"/>
      <x:c r="M47" s="292"/>
      <x:c r="N47" s="164"/>
      <x:c r="O47" s="164"/>
      <x:c r="P47" s="164"/>
      <x:c r="Q47" s="164"/>
      <x:c r="R47" s="164"/>
      <x:c r="S47" s="164"/>
      <x:c r="T47" s="292"/>
      <x:c r="U47" s="164"/>
      <x:c r="V47" s="164"/>
      <x:c r="W47" s="164"/>
      <x:c r="X47" s="164"/>
    </x:row>
    <x:row r="48">
      <x:c r="A48" s="164"/>
      <x:c r="B48" s="164"/>
      <x:c r="C48" s="164"/>
      <x:c r="D48" s="164"/>
      <x:c r="E48" s="164"/>
      <x:c r="F48" s="164"/>
      <x:c r="G48" s="164"/>
      <x:c r="H48" s="164"/>
      <x:c r="I48" s="164"/>
      <x:c r="J48" s="164"/>
      <x:c r="K48" s="164"/>
      <x:c r="L48" s="164"/>
      <x:c r="M48" s="292"/>
      <x:c r="N48" s="164"/>
      <x:c r="O48" s="164"/>
      <x:c r="P48" s="164"/>
      <x:c r="Q48" s="164"/>
      <x:c r="R48" s="164"/>
      <x:c r="S48" s="164"/>
      <x:c r="T48" s="292"/>
      <x:c r="U48" s="164"/>
      <x:c r="V48" s="164"/>
      <x:c r="W48" s="164"/>
      <x:c r="X48" s="164"/>
    </x:row>
    <x:row r="49">
      <x:c r="A49" s="164"/>
      <x:c r="B49" s="164"/>
      <x:c r="C49" s="164"/>
      <x:c r="D49" s="164"/>
      <x:c r="E49" s="164"/>
      <x:c r="F49" s="164"/>
      <x:c r="G49" s="164"/>
      <x:c r="H49" s="164"/>
      <x:c r="I49" s="164"/>
      <x:c r="J49" s="164"/>
      <x:c r="K49" s="164"/>
      <x:c r="L49" s="164"/>
      <x:c r="M49" s="292"/>
      <x:c r="N49" s="164"/>
      <x:c r="O49" s="164"/>
      <x:c r="P49" s="164"/>
      <x:c r="Q49" s="164"/>
      <x:c r="R49" s="164"/>
      <x:c r="S49" s="164"/>
      <x:c r="T49" s="292"/>
      <x:c r="U49" s="164"/>
      <x:c r="V49" s="164"/>
      <x:c r="W49" s="164"/>
      <x:c r="X49" s="164"/>
    </x:row>
    <x:row r="50">
      <x:c r="A50" s="164"/>
      <x:c r="B50" s="164"/>
      <x:c r="C50" s="164"/>
      <x:c r="D50" s="164"/>
      <x:c r="E50" s="164"/>
      <x:c r="F50" s="164"/>
      <x:c r="G50" s="164"/>
      <x:c r="H50" s="164"/>
      <x:c r="I50" s="164"/>
      <x:c r="J50" s="164"/>
      <x:c r="K50" s="164"/>
      <x:c r="L50" s="164"/>
      <x:c r="M50" s="292"/>
      <x:c r="N50" s="164"/>
      <x:c r="O50" s="164"/>
      <x:c r="P50" s="164"/>
      <x:c r="Q50" s="164"/>
      <x:c r="R50" s="164"/>
      <x:c r="S50" s="164"/>
      <x:c r="T50" s="292"/>
      <x:c r="U50" s="164"/>
      <x:c r="V50" s="164"/>
      <x:c r="W50" s="164"/>
      <x:c r="X50" s="164"/>
    </x:row>
    <x:row r="51">
      <x:c r="M51" s="300"/>
      <x:c r="T51" s="300"/>
    </x:row>
    <x:row r="52">
      <x:c r="M52" s="300"/>
      <x:c r="T52" s="300"/>
    </x:row>
    <x:row r="53">
      <x:c r="M53" s="300"/>
      <x:c r="T53" s="300"/>
    </x:row>
    <x:row r="54">
      <x:c r="M54" s="300"/>
      <x:c r="T54" s="300"/>
    </x:row>
    <x:row r="55">
      <x:c r="M55" s="300"/>
      <x:c r="T55" s="300"/>
    </x:row>
    <x:row r="56">
      <x:c r="M56" s="300"/>
      <x:c r="T56" s="300"/>
    </x:row>
    <x:row r="57">
      <x:c r="M57" s="300"/>
      <x:c r="T57" s="300"/>
    </x:row>
    <x:row r="58">
      <x:c r="M58" s="300"/>
      <x:c r="T58" s="300"/>
    </x:row>
    <x:row r="59">
      <x:c r="M59" s="300"/>
      <x:c r="T59" s="300"/>
    </x:row>
    <x:row r="60">
      <x:c r="M60" s="300"/>
      <x:c r="T60" s="300"/>
    </x:row>
    <x:row r="61">
      <x:c r="M61" s="300"/>
      <x:c r="T61" s="300"/>
    </x:row>
    <x:row r="62">
      <x:c r="M62" s="300"/>
      <x:c r="T62" s="300"/>
    </x:row>
    <x:row r="63">
      <x:c r="M63" s="300"/>
      <x:c r="T63" s="300"/>
    </x:row>
    <x:row r="64">
      <x:c r="M64" s="300"/>
      <x:c r="T64" s="300"/>
    </x:row>
    <x:row r="65">
      <x:c r="M65" s="300"/>
      <x:c r="T65" s="300"/>
    </x:row>
    <x:row r="66">
      <x:c r="M66" s="300"/>
      <x:c r="T66" s="300"/>
    </x:row>
    <x:row r="67">
      <x:c r="M67" s="300"/>
      <x:c r="T67" s="300"/>
    </x:row>
    <x:row r="68">
      <x:c r="M68" s="300"/>
      <x:c r="T68" s="300"/>
    </x:row>
    <x:row r="69">
      <x:c r="M69" s="300"/>
      <x:c r="T69" s="300"/>
    </x:row>
    <x:row r="70">
      <x:c r="M70" s="300"/>
      <x:c r="T70" s="300"/>
    </x:row>
    <x:row r="71">
      <x:c r="M71" s="300"/>
      <x:c r="T71" s="300"/>
    </x:row>
    <x:row r="72">
      <x:c r="M72" s="300"/>
      <x:c r="T72" s="300"/>
    </x:row>
    <x:row r="73">
      <x:c r="M73" s="300"/>
      <x:c r="T73" s="300"/>
    </x:row>
    <x:row r="74">
      <x:c r="M74" s="300"/>
      <x:c r="T74" s="300"/>
    </x:row>
    <x:row r="75">
      <x:c r="M75" s="300"/>
      <x:c r="T75" s="300"/>
    </x:row>
    <x:row r="76">
      <x:c r="M76" s="300"/>
      <x:c r="T76" s="300"/>
    </x:row>
    <x:row r="77">
      <x:c r="M77" s="300"/>
      <x:c r="T77" s="300"/>
    </x:row>
    <x:row r="78">
      <x:c r="M78" s="300"/>
      <x:c r="T78" s="300"/>
    </x:row>
    <x:row r="79">
      <x:c r="M79" s="300"/>
      <x:c r="T79" s="300"/>
    </x:row>
    <x:row r="80">
      <x:c r="M80" s="300"/>
      <x:c r="T80" s="300"/>
    </x:row>
    <x:row r="81">
      <x:c r="M81" s="300"/>
      <x:c r="T81" s="300"/>
    </x:row>
    <x:row r="82">
      <x:c r="M82" s="300"/>
      <x:c r="T82" s="300"/>
    </x:row>
    <x:row r="83">
      <x:c r="M83" s="300"/>
      <x:c r="T83" s="300"/>
    </x:row>
    <x:row r="84">
      <x:c r="M84" s="300"/>
      <x:c r="T84" s="300"/>
    </x:row>
    <x:row r="85">
      <x:c r="M85" s="300"/>
      <x:c r="T85" s="300"/>
    </x:row>
    <x:row r="86">
      <x:c r="M86" s="300"/>
      <x:c r="T86" s="300"/>
    </x:row>
    <x:row r="87">
      <x:c r="M87" s="300"/>
      <x:c r="T87" s="300"/>
    </x:row>
    <x:row r="88">
      <x:c r="M88" s="300"/>
      <x:c r="T88" s="300"/>
    </x:row>
    <x:row r="89">
      <x:c r="M89" s="300"/>
      <x:c r="T89" s="300"/>
    </x:row>
    <x:row r="90">
      <x:c r="M90" s="300"/>
      <x:c r="T90" s="300"/>
    </x:row>
    <x:row r="91">
      <x:c r="M91" s="300"/>
      <x:c r="T91" s="300"/>
    </x:row>
    <x:row r="92">
      <x:c r="M92" s="300"/>
      <x:c r="T92" s="300"/>
    </x:row>
    <x:row r="93">
      <x:c r="M93" s="300"/>
      <x:c r="T93" s="300"/>
    </x:row>
    <x:row r="94">
      <x:c r="M94" s="300"/>
      <x:c r="T94" s="300"/>
    </x:row>
    <x:row r="95">
      <x:c r="M95" s="300"/>
      <x:c r="T95" s="300"/>
    </x:row>
    <x:row r="96">
      <x:c r="M96" s="300"/>
      <x:c r="T96" s="300"/>
    </x:row>
    <x:row r="97">
      <x:c r="M97" s="300"/>
      <x:c r="T97" s="300"/>
    </x:row>
    <x:row r="98">
      <x:c r="M98" s="300"/>
      <x:c r="T98" s="300"/>
    </x:row>
    <x:row r="99">
      <x:c r="M99" s="300"/>
      <x:c r="T99" s="300"/>
    </x:row>
    <x:row r="100">
      <x:c r="M100" s="300"/>
      <x:c r="T100" s="300"/>
    </x:row>
    <x:row r="101">
      <x:c r="M101" s="300"/>
      <x:c r="T101" s="300"/>
    </x:row>
    <x:row r="102">
      <x:c r="M102" s="300"/>
      <x:c r="T102" s="300"/>
    </x:row>
    <x:row r="103">
      <x:c r="M103" s="300"/>
      <x:c r="T103" s="300"/>
    </x:row>
    <x:row r="104">
      <x:c r="M104" s="300"/>
      <x:c r="T104" s="300"/>
    </x:row>
    <x:row r="105">
      <x:c r="M105" s="300"/>
      <x:c r="T105" s="300"/>
    </x:row>
    <x:row r="106">
      <x:c r="M106" s="300"/>
      <x:c r="T106" s="300"/>
    </x:row>
    <x:row r="107">
      <x:c r="M107" s="300"/>
      <x:c r="T107" s="300"/>
    </x:row>
    <x:row r="108">
      <x:c r="M108" s="300"/>
      <x:c r="T108" s="300"/>
    </x:row>
    <x:row r="109">
      <x:c r="M109" s="300"/>
      <x:c r="T109" s="300"/>
    </x:row>
    <x:row r="110">
      <x:c r="M110" s="300"/>
      <x:c r="T110" s="300"/>
    </x:row>
    <x:row r="111">
      <x:c r="M111" s="300"/>
      <x:c r="T111" s="300"/>
    </x:row>
    <x:row r="112">
      <x:c r="M112" s="300"/>
      <x:c r="T112" s="300"/>
    </x:row>
    <x:row r="113">
      <x:c r="M113" s="300"/>
      <x:c r="T113" s="300"/>
    </x:row>
    <x:row r="114">
      <x:c r="M114" s="300"/>
      <x:c r="T114" s="300"/>
    </x:row>
    <x:row r="115">
      <x:c r="M115" s="300"/>
      <x:c r="T115" s="300"/>
    </x:row>
    <x:row r="116">
      <x:c r="M116" s="300"/>
      <x:c r="T116" s="300"/>
    </x:row>
    <x:row r="117">
      <x:c r="M117" s="300"/>
      <x:c r="T117" s="300"/>
    </x:row>
    <x:row r="118">
      <x:c r="M118" s="300"/>
      <x:c r="T118" s="300"/>
    </x:row>
    <x:row r="119">
      <x:c r="M119" s="300"/>
      <x:c r="T119" s="300"/>
    </x:row>
    <x:row r="120">
      <x:c r="M120" s="300"/>
      <x:c r="T120" s="300"/>
    </x:row>
    <x:row r="121">
      <x:c r="M121" s="300"/>
      <x:c r="T121" s="300"/>
    </x:row>
    <x:row r="122">
      <x:c r="M122" s="300"/>
      <x:c r="T122" s="300"/>
    </x:row>
    <x:row r="123">
      <x:c r="M123" s="300"/>
      <x:c r="T123" s="300"/>
    </x:row>
    <x:row r="124">
      <x:c r="M124" s="300"/>
      <x:c r="T124" s="300"/>
    </x:row>
    <x:row r="125">
      <x:c r="M125" s="300"/>
      <x:c r="T125" s="300"/>
    </x:row>
    <x:row r="126">
      <x:c r="M126" s="300"/>
      <x:c r="T126" s="300"/>
    </x:row>
    <x:row r="127">
      <x:c r="M127" s="300"/>
      <x:c r="T127" s="300"/>
    </x:row>
    <x:row r="128">
      <x:c r="M128" s="300"/>
      <x:c r="T128" s="300"/>
    </x:row>
    <x:row r="129">
      <x:c r="M129" s="300"/>
      <x:c r="T129" s="300"/>
    </x:row>
    <x:row r="130">
      <x:c r="M130" s="300"/>
      <x:c r="T130" s="300"/>
    </x:row>
    <x:row r="131">
      <x:c r="M131" s="300"/>
      <x:c r="T131" s="300"/>
    </x:row>
    <x:row r="132">
      <x:c r="M132" s="300"/>
      <x:c r="T132" s="300"/>
    </x:row>
    <x:row r="133">
      <x:c r="M133" s="300"/>
      <x:c r="T133" s="300"/>
    </x:row>
    <x:row r="134">
      <x:c r="M134" s="300"/>
      <x:c r="T134" s="300"/>
    </x:row>
    <x:row r="135">
      <x:c r="M135" s="300"/>
      <x:c r="T135" s="300"/>
    </x:row>
    <x:row r="136">
      <x:c r="M136" s="300"/>
      <x:c r="T136" s="300"/>
    </x:row>
    <x:row r="137">
      <x:c r="M137" s="300"/>
      <x:c r="T137" s="300"/>
    </x:row>
    <x:row r="138">
      <x:c r="M138" s="300"/>
      <x:c r="T138" s="300"/>
    </x:row>
    <x:row r="139">
      <x:c r="M139" s="300"/>
      <x:c r="T139" s="300"/>
    </x:row>
    <x:row r="140">
      <x:c r="M140" s="300"/>
      <x:c r="T140" s="300"/>
    </x:row>
    <x:row r="141">
      <x:c r="M141" s="300"/>
      <x:c r="T141" s="300"/>
    </x:row>
    <x:row r="142">
      <x:c r="M142" s="300"/>
      <x:c r="T142" s="300"/>
    </x:row>
    <x:row r="143">
      <x:c r="M143" s="300"/>
      <x:c r="T143" s="300"/>
    </x:row>
    <x:row r="144">
      <x:c r="M144" s="300"/>
      <x:c r="T144" s="300"/>
    </x:row>
    <x:row r="145">
      <x:c r="M145" s="300"/>
      <x:c r="T145" s="300"/>
    </x:row>
    <x:row r="146">
      <x:c r="M146" s="300"/>
      <x:c r="T146" s="300"/>
    </x:row>
    <x:row r="147">
      <x:c r="M147" s="300"/>
      <x:c r="T147" s="300"/>
    </x:row>
    <x:row r="148">
      <x:c r="M148" s="300"/>
      <x:c r="T148" s="300"/>
    </x:row>
    <x:row r="149">
      <x:c r="M149" s="300"/>
      <x:c r="T149" s="300"/>
    </x:row>
    <x:row r="150">
      <x:c r="M150" s="300"/>
      <x:c r="T150" s="300"/>
    </x:row>
    <x:row r="151">
      <x:c r="M151" s="300"/>
      <x:c r="T151" s="300"/>
    </x:row>
    <x:row r="152">
      <x:c r="M152" s="300"/>
      <x:c r="T152" s="300"/>
    </x:row>
    <x:row r="153">
      <x:c r="M153" s="300"/>
      <x:c r="T153" s="300"/>
    </x:row>
    <x:row r="154">
      <x:c r="M154" s="300"/>
      <x:c r="T154" s="300"/>
    </x:row>
    <x:row r="155">
      <x:c r="M155" s="300"/>
      <x:c r="T155" s="300"/>
    </x:row>
    <x:row r="156">
      <x:c r="M156" s="300"/>
      <x:c r="T156" s="300"/>
    </x:row>
    <x:row r="157">
      <x:c r="M157" s="300"/>
      <x:c r="T157" s="300"/>
    </x:row>
    <x:row r="158">
      <x:c r="M158" s="300"/>
      <x:c r="T158" s="300"/>
    </x:row>
    <x:row r="159">
      <x:c r="M159" s="300"/>
      <x:c r="T159" s="300"/>
    </x:row>
    <x:row r="160">
      <x:c r="M160" s="300"/>
      <x:c r="T160" s="300"/>
    </x:row>
    <x:row r="161">
      <x:c r="M161" s="300"/>
      <x:c r="T161" s="300"/>
    </x:row>
    <x:row r="162">
      <x:c r="M162" s="300"/>
      <x:c r="T162" s="300"/>
    </x:row>
    <x:row r="163">
      <x:c r="M163" s="300"/>
      <x:c r="T163" s="300"/>
    </x:row>
    <x:row r="164">
      <x:c r="M164" s="300"/>
      <x:c r="T164" s="300"/>
    </x:row>
    <x:row r="165">
      <x:c r="M165" s="300"/>
      <x:c r="T165" s="300"/>
    </x:row>
    <x:row r="166">
      <x:c r="M166" s="300"/>
      <x:c r="T166" s="300"/>
    </x:row>
    <x:row r="167">
      <x:c r="M167" s="300"/>
      <x:c r="T167" s="300"/>
    </x:row>
    <x:row r="168">
      <x:c r="M168" s="300"/>
      <x:c r="T168" s="300"/>
    </x:row>
    <x:row r="169">
      <x:c r="M169" s="300"/>
      <x:c r="T169" s="300"/>
    </x:row>
    <x:row r="170">
      <x:c r="M170" s="300"/>
      <x:c r="T170" s="300"/>
    </x:row>
    <x:row r="171">
      <x:c r="M171" s="300"/>
      <x:c r="T171" s="300"/>
    </x:row>
    <x:row r="172">
      <x:c r="M172" s="300"/>
      <x:c r="T172" s="300"/>
    </x:row>
    <x:row r="173">
      <x:c r="M173" s="300"/>
      <x:c r="T173" s="300"/>
    </x:row>
    <x:row r="174">
      <x:c r="M174" s="300"/>
      <x:c r="T174" s="300"/>
    </x:row>
    <x:row r="175">
      <x:c r="M175" s="300"/>
      <x:c r="T175" s="300"/>
    </x:row>
    <x:row r="176">
      <x:c r="M176" s="300"/>
      <x:c r="T176" s="300"/>
    </x:row>
    <x:row r="177">
      <x:c r="M177" s="300"/>
      <x:c r="T177" s="300"/>
    </x:row>
    <x:row r="178">
      <x:c r="M178" s="300"/>
      <x:c r="T178" s="300"/>
    </x:row>
    <x:row r="179">
      <x:c r="M179" s="300"/>
      <x:c r="T179" s="300"/>
    </x:row>
    <x:row r="180">
      <x:c r="M180" s="300"/>
      <x:c r="T180" s="300"/>
    </x:row>
    <x:row r="181">
      <x:c r="M181" s="300"/>
      <x:c r="T181" s="300"/>
    </x:row>
    <x:row r="182">
      <x:c r="M182" s="300"/>
      <x:c r="T182" s="300"/>
    </x:row>
    <x:row r="183">
      <x:c r="M183" s="300"/>
      <x:c r="T183" s="300"/>
    </x:row>
    <x:row r="184">
      <x:c r="M184" s="300"/>
      <x:c r="T184" s="300"/>
    </x:row>
    <x:row r="185">
      <x:c r="M185" s="300"/>
      <x:c r="T185" s="300"/>
    </x:row>
    <x:row r="186">
      <x:c r="M186" s="300"/>
      <x:c r="T186" s="300"/>
    </x:row>
    <x:row r="187">
      <x:c r="M187" s="300"/>
      <x:c r="T187" s="300"/>
    </x:row>
    <x:row r="188">
      <x:c r="M188" s="300"/>
      <x:c r="T188" s="300"/>
    </x:row>
    <x:row r="189">
      <x:c r="M189" s="300"/>
      <x:c r="T189" s="300"/>
    </x:row>
    <x:row r="190">
      <x:c r="M190" s="300"/>
      <x:c r="T190" s="300"/>
    </x:row>
    <x:row r="191">
      <x:c r="M191" s="300"/>
      <x:c r="T191" s="300"/>
    </x:row>
    <x:row r="192">
      <x:c r="M192" s="300"/>
      <x:c r="T192" s="300"/>
    </x:row>
    <x:row r="193">
      <x:c r="M193" s="300"/>
      <x:c r="T193" s="300"/>
    </x:row>
    <x:row r="194">
      <x:c r="M194" s="300"/>
      <x:c r="T194" s="300"/>
    </x:row>
    <x:row r="195">
      <x:c r="M195" s="300"/>
      <x:c r="T195" s="300"/>
    </x:row>
    <x:row r="196">
      <x:c r="M196" s="300"/>
      <x:c r="T196" s="300"/>
    </x:row>
    <x:row r="197">
      <x:c r="M197" s="300"/>
      <x:c r="T197" s="300"/>
    </x:row>
    <x:row r="198">
      <x:c r="M198" s="300"/>
      <x:c r="T198" s="300"/>
    </x:row>
    <x:row r="199">
      <x:c r="M199" s="300"/>
      <x:c r="T199" s="300"/>
    </x:row>
    <x:row r="200">
      <x:c r="M200" s="300"/>
      <x:c r="T200" s="300"/>
    </x:row>
    <x:row r="201">
      <x:c r="M201" s="300"/>
      <x:c r="T201" s="300"/>
    </x:row>
    <x:row r="202">
      <x:c r="M202" s="300"/>
      <x:c r="T202" s="300"/>
    </x:row>
    <x:row r="203">
      <x:c r="M203" s="300"/>
      <x:c r="T203" s="300"/>
    </x:row>
    <x:row r="204">
      <x:c r="M204" s="300"/>
      <x:c r="T204" s="300"/>
    </x:row>
    <x:row r="205">
      <x:c r="M205" s="300"/>
      <x:c r="T205" s="300"/>
    </x:row>
    <x:row r="206">
      <x:c r="M206" s="300"/>
      <x:c r="T206" s="300"/>
    </x:row>
    <x:row r="207">
      <x:c r="M207" s="300"/>
      <x:c r="T207" s="300"/>
    </x:row>
    <x:row r="208">
      <x:c r="M208" s="300"/>
      <x:c r="T208" s="300"/>
    </x:row>
    <x:row r="209">
      <x:c r="M209" s="300"/>
      <x:c r="T209" s="300"/>
    </x:row>
    <x:row r="210">
      <x:c r="M210" s="300"/>
      <x:c r="T210" s="300"/>
    </x:row>
    <x:row r="211">
      <x:c r="M211" s="300"/>
      <x:c r="T211" s="300"/>
    </x:row>
    <x:row r="212">
      <x:c r="M212" s="300"/>
      <x:c r="T212" s="300"/>
    </x:row>
    <x:row r="213">
      <x:c r="M213" s="300"/>
      <x:c r="T213" s="300"/>
    </x:row>
    <x:row r="214">
      <x:c r="M214" s="300"/>
      <x:c r="T214" s="300"/>
    </x:row>
    <x:row r="215">
      <x:c r="M215" s="300"/>
      <x:c r="T215" s="300"/>
    </x:row>
    <x:row r="216">
      <x:c r="M216" s="300"/>
      <x:c r="T216" s="300"/>
    </x:row>
    <x:row r="217">
      <x:c r="M217" s="300"/>
      <x:c r="T217" s="300"/>
    </x:row>
    <x:row r="218">
      <x:c r="M218" s="300"/>
      <x:c r="T218" s="300"/>
    </x:row>
    <x:row r="219">
      <x:c r="M219" s="300"/>
      <x:c r="T219" s="300"/>
    </x:row>
    <x:row r="220">
      <x:c r="M220" s="300"/>
      <x:c r="T220" s="300"/>
    </x:row>
    <x:row r="221">
      <x:c r="M221" s="300"/>
      <x:c r="T221" s="300"/>
    </x:row>
    <x:row r="222">
      <x:c r="M222" s="300"/>
      <x:c r="T222" s="300"/>
    </x:row>
    <x:row r="223">
      <x:c r="M223" s="300"/>
      <x:c r="T223" s="300"/>
    </x:row>
    <x:row r="224">
      <x:c r="M224" s="300"/>
      <x:c r="T224" s="300"/>
    </x:row>
    <x:row r="225">
      <x:c r="M225" s="300"/>
      <x:c r="T225" s="300"/>
    </x:row>
    <x:row r="226">
      <x:c r="M226" s="300"/>
      <x:c r="T226" s="300"/>
    </x:row>
    <x:row r="227">
      <x:c r="M227" s="300"/>
      <x:c r="T227" s="300"/>
    </x:row>
    <x:row r="228">
      <x:c r="M228" s="300"/>
      <x:c r="T228" s="300"/>
    </x:row>
    <x:row r="229">
      <x:c r="M229" s="300"/>
      <x:c r="T229" s="300"/>
    </x:row>
    <x:row r="230">
      <x:c r="M230" s="300"/>
      <x:c r="T230" s="300"/>
    </x:row>
    <x:row r="231">
      <x:c r="M231" s="300"/>
      <x:c r="T231" s="300"/>
    </x:row>
    <x:row r="232">
      <x:c r="M232" s="300"/>
      <x:c r="T232" s="300"/>
    </x:row>
    <x:row r="233">
      <x:c r="M233" s="300"/>
      <x:c r="T233" s="300"/>
    </x:row>
    <x:row r="234">
      <x:c r="M234" s="300"/>
      <x:c r="T234" s="300"/>
    </x:row>
    <x:row r="235">
      <x:c r="M235" s="300"/>
      <x:c r="T235" s="300"/>
    </x:row>
    <x:row r="236">
      <x:c r="M236" s="300"/>
      <x:c r="T236" s="300"/>
    </x:row>
    <x:row r="237">
      <x:c r="M237" s="300"/>
      <x:c r="T237" s="300"/>
    </x:row>
    <x:row r="238">
      <x:c r="M238" s="300"/>
      <x:c r="T238" s="300"/>
    </x:row>
    <x:row r="239">
      <x:c r="M239" s="300"/>
      <x:c r="T239" s="300"/>
    </x:row>
    <x:row r="240">
      <x:c r="M240" s="300"/>
      <x:c r="T240" s="300"/>
    </x:row>
    <x:row r="241">
      <x:c r="M241" s="300"/>
      <x:c r="T241" s="300"/>
    </x:row>
    <x:row r="242">
      <x:c r="M242" s="300"/>
      <x:c r="T242" s="300"/>
    </x:row>
    <x:row r="243">
      <x:c r="M243" s="300"/>
      <x:c r="T243" s="300"/>
    </x:row>
    <x:row r="244">
      <x:c r="M244" s="300"/>
      <x:c r="T244" s="300"/>
    </x:row>
    <x:row r="245">
      <x:c r="M245" s="300"/>
      <x:c r="T245" s="300"/>
    </x:row>
    <x:row r="246">
      <x:c r="M246" s="300"/>
      <x:c r="T246" s="300"/>
    </x:row>
    <x:row r="247">
      <x:c r="M247" s="300"/>
      <x:c r="T247" s="300"/>
    </x:row>
    <x:row r="248">
      <x:c r="M248" s="300"/>
      <x:c r="T248" s="300"/>
    </x:row>
    <x:row r="249">
      <x:c r="M249" s="300"/>
      <x:c r="T249" s="300"/>
    </x:row>
    <x:row r="250">
      <x:c r="M250" s="300"/>
      <x:c r="T250" s="300"/>
    </x:row>
    <x:row r="251">
      <x:c r="M251" s="300"/>
      <x:c r="T251" s="300"/>
    </x:row>
    <x:row r="252">
      <x:c r="M252" s="300"/>
      <x:c r="T252" s="300"/>
    </x:row>
    <x:row r="253">
      <x:c r="M253" s="300"/>
      <x:c r="T253" s="300"/>
    </x:row>
    <x:row r="254">
      <x:c r="M254" s="300"/>
      <x:c r="T254" s="300"/>
    </x:row>
    <x:row r="255">
      <x:c r="M255" s="300"/>
      <x:c r="T255" s="300"/>
    </x:row>
    <x:row r="256">
      <x:c r="M256" s="300"/>
      <x:c r="T256" s="300"/>
    </x:row>
    <x:row r="257">
      <x:c r="M257" s="300"/>
      <x:c r="T257" s="300"/>
    </x:row>
    <x:row r="258">
      <x:c r="M258" s="300"/>
      <x:c r="T258" s="300"/>
    </x:row>
    <x:row r="259">
      <x:c r="M259" s="300"/>
      <x:c r="T259" s="300"/>
    </x:row>
    <x:row r="260">
      <x:c r="M260" s="300"/>
      <x:c r="T260" s="300"/>
    </x:row>
    <x:row r="261">
      <x:c r="M261" s="300"/>
      <x:c r="T261" s="300"/>
    </x:row>
    <x:row r="262">
      <x:c r="M262" s="300"/>
      <x:c r="T262" s="300"/>
    </x:row>
    <x:row r="263">
      <x:c r="M263" s="300"/>
      <x:c r="T263" s="300"/>
    </x:row>
    <x:row r="264">
      <x:c r="M264" s="300"/>
      <x:c r="T264" s="300"/>
    </x:row>
    <x:row r="265">
      <x:c r="M265" s="300"/>
      <x:c r="T265" s="300"/>
    </x:row>
    <x:row r="266">
      <x:c r="M266" s="300"/>
      <x:c r="T266" s="300"/>
    </x:row>
    <x:row r="267">
      <x:c r="M267" s="300"/>
      <x:c r="T267" s="300"/>
    </x:row>
    <x:row r="268">
      <x:c r="M268" s="300"/>
      <x:c r="T268" s="300"/>
    </x:row>
    <x:row r="269">
      <x:c r="M269" s="300"/>
      <x:c r="T269" s="300"/>
    </x:row>
    <x:row r="270">
      <x:c r="M270" s="300"/>
      <x:c r="T270" s="300"/>
    </x:row>
    <x:row r="271">
      <x:c r="M271" s="300"/>
      <x:c r="T271" s="300"/>
    </x:row>
    <x:row r="272">
      <x:c r="M272" s="300"/>
      <x:c r="T272" s="300"/>
    </x:row>
    <x:row r="273">
      <x:c r="M273" s="300"/>
      <x:c r="T273" s="300"/>
    </x:row>
    <x:row r="274">
      <x:c r="M274" s="300"/>
      <x:c r="T274" s="300"/>
    </x:row>
    <x:row r="275">
      <x:c r="M275" s="300"/>
      <x:c r="T275" s="300"/>
    </x:row>
    <x:row r="276">
      <x:c r="M276" s="300"/>
      <x:c r="T276" s="300"/>
    </x:row>
    <x:row r="277">
      <x:c r="M277" s="300"/>
      <x:c r="T277" s="300"/>
    </x:row>
    <x:row r="278">
      <x:c r="M278" s="300"/>
      <x:c r="T278" s="300"/>
    </x:row>
    <x:row r="279">
      <x:c r="M279" s="300"/>
      <x:c r="T279" s="300"/>
    </x:row>
    <x:row r="280">
      <x:c r="M280" s="300"/>
      <x:c r="T280" s="300"/>
    </x:row>
    <x:row r="281">
      <x:c r="M281" s="300"/>
      <x:c r="T281" s="300"/>
    </x:row>
    <x:row r="282">
      <x:c r="M282" s="300"/>
      <x:c r="T282" s="300"/>
    </x:row>
    <x:row r="283">
      <x:c r="M283" s="300"/>
      <x:c r="T283" s="300"/>
    </x:row>
    <x:row r="284">
      <x:c r="M284" s="300"/>
      <x:c r="T284" s="300"/>
    </x:row>
    <x:row r="285">
      <x:c r="M285" s="300"/>
      <x:c r="T285" s="300"/>
    </x:row>
    <x:row r="286">
      <x:c r="M286" s="300"/>
      <x:c r="T286" s="300"/>
    </x:row>
    <x:row r="287">
      <x:c r="M287" s="300"/>
      <x:c r="T287" s="300"/>
    </x:row>
    <x:row r="288">
      <x:c r="M288" s="300"/>
      <x:c r="T288" s="300"/>
    </x:row>
    <x:row r="289">
      <x:c r="M289" s="300"/>
      <x:c r="T289" s="300"/>
    </x:row>
    <x:row r="290">
      <x:c r="M290" s="300"/>
      <x:c r="T290" s="300"/>
    </x:row>
    <x:row r="291">
      <x:c r="M291" s="300"/>
      <x:c r="T291" s="300"/>
    </x:row>
    <x:row r="292">
      <x:c r="M292" s="300"/>
      <x:c r="T292" s="300"/>
    </x:row>
    <x:row r="293">
      <x:c r="M293" s="300"/>
      <x:c r="T293" s="300"/>
    </x:row>
    <x:row r="294">
      <x:c r="M294" s="300"/>
      <x:c r="T294" s="300"/>
    </x:row>
    <x:row r="295">
      <x:c r="M295" s="300"/>
      <x:c r="T295" s="300"/>
    </x:row>
    <x:row r="296">
      <x:c r="M296" s="300"/>
      <x:c r="T296" s="300"/>
    </x:row>
    <x:row r="297">
      <x:c r="M297" s="300"/>
      <x:c r="T297" s="300"/>
    </x:row>
    <x:row r="298">
      <x:c r="M298" s="300"/>
      <x:c r="T298" s="300"/>
    </x:row>
    <x:row r="299">
      <x:c r="M299" s="300"/>
      <x:c r="T299" s="300"/>
    </x:row>
    <x:row r="300">
      <x:c r="M300" s="300"/>
      <x:c r="T300" s="300"/>
    </x:row>
    <x:row r="301">
      <x:c r="M301" s="300"/>
      <x:c r="T301" s="300"/>
    </x:row>
    <x:row r="302">
      <x:c r="M302" s="300"/>
      <x:c r="T302" s="300"/>
    </x:row>
    <x:row r="303">
      <x:c r="M303" s="300"/>
      <x:c r="T303" s="300"/>
    </x:row>
    <x:row r="304">
      <x:c r="M304" s="300"/>
      <x:c r="T304" s="300"/>
    </x:row>
    <x:row r="305">
      <x:c r="M305" s="300"/>
      <x:c r="T305" s="300"/>
    </x:row>
    <x:row r="306">
      <x:c r="M306" s="300"/>
      <x:c r="T306" s="300"/>
    </x:row>
    <x:row r="307">
      <x:c r="M307" s="300"/>
      <x:c r="T307" s="300"/>
    </x:row>
    <x:row r="308">
      <x:c r="M308" s="300"/>
      <x:c r="T308" s="300"/>
    </x:row>
    <x:row r="309">
      <x:c r="M309" s="300"/>
      <x:c r="T309" s="300"/>
    </x:row>
    <x:row r="310">
      <x:c r="M310" s="300"/>
      <x:c r="T310" s="300"/>
    </x:row>
    <x:row r="311">
      <x:c r="M311" s="300"/>
      <x:c r="T311" s="300"/>
    </x:row>
    <x:row r="312">
      <x:c r="M312" s="300"/>
      <x:c r="T312" s="300"/>
    </x:row>
    <x:row r="313">
      <x:c r="M313" s="300"/>
      <x:c r="T313" s="300"/>
    </x:row>
    <x:row r="314">
      <x:c r="M314" s="300"/>
      <x:c r="T314" s="300"/>
    </x:row>
    <x:row r="315">
      <x:c r="M315" s="300"/>
      <x:c r="T315" s="300"/>
    </x:row>
    <x:row r="316">
      <x:c r="M316" s="300"/>
      <x:c r="T316" s="300"/>
    </x:row>
    <x:row r="317">
      <x:c r="M317" s="300"/>
      <x:c r="T317" s="300"/>
    </x:row>
    <x:row r="318">
      <x:c r="M318" s="300"/>
      <x:c r="T318" s="300"/>
    </x:row>
    <x:row r="319">
      <x:c r="M319" s="300"/>
      <x:c r="T319" s="300"/>
    </x:row>
    <x:row r="320">
      <x:c r="M320" s="300"/>
      <x:c r="T320" s="300"/>
    </x:row>
    <x:row r="321">
      <x:c r="M321" s="300"/>
      <x:c r="T321" s="300"/>
    </x:row>
    <x:row r="322">
      <x:c r="M322" s="300"/>
      <x:c r="T322" s="300"/>
    </x:row>
    <x:row r="323">
      <x:c r="M323" s="300"/>
      <x:c r="T323" s="300"/>
    </x:row>
    <x:row r="324">
      <x:c r="M324" s="300"/>
      <x:c r="T324" s="300"/>
    </x:row>
    <x:row r="325">
      <x:c r="M325" s="300"/>
      <x:c r="T325" s="300"/>
    </x:row>
    <x:row r="326">
      <x:c r="M326" s="300"/>
      <x:c r="T326" s="300"/>
    </x:row>
    <x:row r="327">
      <x:c r="M327" s="300"/>
      <x:c r="T327" s="300"/>
    </x:row>
    <x:row r="328">
      <x:c r="M328" s="300"/>
      <x:c r="T328" s="300"/>
    </x:row>
    <x:row r="329">
      <x:c r="M329" s="300"/>
      <x:c r="T329" s="300"/>
    </x:row>
    <x:row r="330">
      <x:c r="M330" s="300"/>
      <x:c r="T330" s="300"/>
    </x:row>
    <x:row r="331">
      <x:c r="M331" s="300"/>
      <x:c r="T331" s="300"/>
    </x:row>
    <x:row r="332">
      <x:c r="M332" s="300"/>
      <x:c r="T332" s="300"/>
    </x:row>
    <x:row r="333">
      <x:c r="M333" s="300"/>
      <x:c r="T333" s="300"/>
    </x:row>
    <x:row r="334">
      <x:c r="M334" s="300"/>
      <x:c r="T334" s="300"/>
    </x:row>
    <x:row r="335">
      <x:c r="M335" s="300"/>
      <x:c r="T335" s="300"/>
    </x:row>
    <x:row r="336">
      <x:c r="M336" s="300"/>
      <x:c r="T336" s="300"/>
    </x:row>
    <x:row r="337">
      <x:c r="M337" s="300"/>
      <x:c r="T337" s="300"/>
    </x:row>
    <x:row r="338">
      <x:c r="M338" s="300"/>
      <x:c r="T338" s="300"/>
    </x:row>
    <x:row r="339">
      <x:c r="M339" s="300"/>
      <x:c r="T339" s="300"/>
    </x:row>
    <x:row r="340">
      <x:c r="M340" s="300"/>
      <x:c r="T340" s="300"/>
    </x:row>
    <x:row r="341">
      <x:c r="M341" s="300"/>
      <x:c r="T341" s="300"/>
    </x:row>
    <x:row r="342">
      <x:c r="M342" s="300"/>
      <x:c r="T342" s="300"/>
    </x:row>
    <x:row r="343">
      <x:c r="M343" s="300"/>
      <x:c r="T343" s="300"/>
    </x:row>
    <x:row r="344">
      <x:c r="M344" s="300"/>
      <x:c r="T344" s="300"/>
    </x:row>
    <x:row r="345">
      <x:c r="M345" s="300"/>
      <x:c r="T345" s="300"/>
    </x:row>
    <x:row r="346">
      <x:c r="M346" s="300"/>
      <x:c r="T346" s="300"/>
    </x:row>
    <x:row r="347">
      <x:c r="M347" s="300"/>
      <x:c r="T347" s="300"/>
    </x:row>
    <x:row r="348">
      <x:c r="M348" s="300"/>
      <x:c r="T348" s="300"/>
    </x:row>
    <x:row r="349">
      <x:c r="M349" s="300"/>
      <x:c r="T349" s="300"/>
    </x:row>
    <x:row r="350">
      <x:c r="M350" s="300"/>
      <x:c r="T350" s="300"/>
    </x:row>
    <x:row r="351">
      <x:c r="M351" s="300"/>
      <x:c r="T351" s="300"/>
    </x:row>
    <x:row r="352">
      <x:c r="M352" s="300"/>
      <x:c r="T352" s="300"/>
    </x:row>
    <x:row r="353">
      <x:c r="M353" s="300"/>
      <x:c r="T353" s="300"/>
    </x:row>
    <x:row r="354">
      <x:c r="M354" s="300"/>
      <x:c r="T354" s="300"/>
    </x:row>
    <x:row r="355">
      <x:c r="M355" s="300"/>
      <x:c r="T355" s="300"/>
    </x:row>
    <x:row r="356">
      <x:c r="M356" s="300"/>
      <x:c r="T356" s="300"/>
    </x:row>
    <x:row r="357">
      <x:c r="M357" s="300"/>
      <x:c r="T357" s="300"/>
    </x:row>
    <x:row r="358">
      <x:c r="M358" s="300"/>
      <x:c r="T358" s="300"/>
    </x:row>
    <x:row r="359">
      <x:c r="M359" s="300"/>
      <x:c r="T359" s="300"/>
    </x:row>
    <x:row r="360">
      <x:c r="M360" s="300"/>
      <x:c r="T360" s="300"/>
    </x:row>
    <x:row r="361">
      <x:c r="M361" s="300"/>
      <x:c r="T361" s="300"/>
    </x:row>
    <x:row r="362">
      <x:c r="M362" s="300"/>
      <x:c r="T362" s="300"/>
    </x:row>
    <x:row r="363">
      <x:c r="M363" s="300"/>
      <x:c r="T363" s="300"/>
    </x:row>
    <x:row r="364">
      <x:c r="M364" s="300"/>
      <x:c r="T364" s="300"/>
    </x:row>
    <x:row r="365">
      <x:c r="M365" s="300"/>
      <x:c r="T365" s="300"/>
    </x:row>
    <x:row r="366">
      <x:c r="M366" s="300"/>
      <x:c r="T366" s="300"/>
    </x:row>
    <x:row r="367">
      <x:c r="M367" s="300"/>
      <x:c r="T367" s="300"/>
    </x:row>
    <x:row r="368">
      <x:c r="M368" s="300"/>
      <x:c r="T368" s="300"/>
    </x:row>
    <x:row r="369">
      <x:c r="M369" s="300"/>
      <x:c r="T369" s="300"/>
    </x:row>
    <x:row r="370">
      <x:c r="M370" s="300"/>
      <x:c r="T370" s="300"/>
    </x:row>
    <x:row r="371">
      <x:c r="M371" s="300"/>
      <x:c r="T371" s="300"/>
    </x:row>
    <x:row r="372">
      <x:c r="M372" s="300"/>
      <x:c r="T372" s="300"/>
    </x:row>
    <x:row r="373">
      <x:c r="M373" s="300"/>
      <x:c r="T373" s="300"/>
    </x:row>
    <x:row r="374">
      <x:c r="M374" s="300"/>
      <x:c r="T374" s="300"/>
    </x:row>
    <x:row r="375">
      <x:c r="M375" s="300"/>
      <x:c r="T375" s="300"/>
    </x:row>
    <x:row r="376">
      <x:c r="M376" s="300"/>
      <x:c r="T376" s="300"/>
    </x:row>
    <x:row r="377">
      <x:c r="M377" s="300"/>
      <x:c r="T377" s="300"/>
    </x:row>
    <x:row r="378">
      <x:c r="M378" s="300"/>
      <x:c r="T378" s="300"/>
    </x:row>
    <x:row r="379">
      <x:c r="M379" s="300"/>
      <x:c r="T379" s="300"/>
    </x:row>
    <x:row r="380">
      <x:c r="M380" s="300"/>
      <x:c r="T380" s="300"/>
    </x:row>
    <x:row r="381">
      <x:c r="M381" s="300"/>
      <x:c r="T381" s="300"/>
    </x:row>
    <x:row r="382">
      <x:c r="M382" s="300"/>
      <x:c r="T382" s="300"/>
    </x:row>
    <x:row r="383">
      <x:c r="M383" s="300"/>
      <x:c r="T383" s="300"/>
    </x:row>
    <x:row r="384">
      <x:c r="M384" s="300"/>
      <x:c r="T384" s="300"/>
    </x:row>
    <x:row r="385">
      <x:c r="M385" s="300"/>
      <x:c r="T385" s="300"/>
    </x:row>
    <x:row r="386">
      <x:c r="M386" s="300"/>
      <x:c r="T386" s="300"/>
    </x:row>
    <x:row r="387">
      <x:c r="M387" s="300"/>
      <x:c r="T387" s="300"/>
    </x:row>
    <x:row r="388">
      <x:c r="M388" s="300"/>
      <x:c r="T388" s="300"/>
    </x:row>
    <x:row r="389">
      <x:c r="M389" s="300"/>
      <x:c r="T389" s="300"/>
    </x:row>
    <x:row r="390">
      <x:c r="M390" s="300"/>
      <x:c r="T390" s="300"/>
    </x:row>
    <x:row r="391">
      <x:c r="M391" s="300"/>
      <x:c r="T391" s="300"/>
    </x:row>
    <x:row r="392">
      <x:c r="M392" s="300"/>
      <x:c r="T392" s="300"/>
    </x:row>
    <x:row r="393">
      <x:c r="M393" s="300"/>
      <x:c r="T393" s="300"/>
    </x:row>
    <x:row r="394">
      <x:c r="M394" s="300"/>
      <x:c r="T394" s="300"/>
    </x:row>
    <x:row r="395">
      <x:c r="M395" s="300"/>
      <x:c r="T395" s="300"/>
    </x:row>
    <x:row r="396">
      <x:c r="M396" s="300"/>
      <x:c r="T396" s="300"/>
    </x:row>
    <x:row r="397">
      <x:c r="M397" s="300"/>
      <x:c r="T397" s="300"/>
    </x:row>
    <x:row r="398">
      <x:c r="M398" s="300"/>
      <x:c r="T398" s="300"/>
    </x:row>
    <x:row r="399">
      <x:c r="M399" s="300"/>
      <x:c r="T399" s="300"/>
    </x:row>
    <x:row r="400">
      <x:c r="M400" s="300"/>
      <x:c r="T400" s="300"/>
    </x:row>
    <x:row r="401">
      <x:c r="M401" s="300"/>
      <x:c r="T401" s="300"/>
    </x:row>
    <x:row r="402">
      <x:c r="M402" s="300"/>
      <x:c r="T402" s="300"/>
    </x:row>
    <x:row r="403">
      <x:c r="M403" s="300"/>
      <x:c r="T403" s="300"/>
    </x:row>
    <x:row r="404">
      <x:c r="M404" s="300"/>
      <x:c r="T404" s="300"/>
    </x:row>
    <x:row r="405">
      <x:c r="M405" s="300"/>
      <x:c r="T405" s="300"/>
    </x:row>
    <x:row r="406">
      <x:c r="M406" s="300"/>
      <x:c r="T406" s="300"/>
    </x:row>
    <x:row r="407">
      <x:c r="M407" s="300"/>
      <x:c r="T407" s="300"/>
    </x:row>
    <x:row r="408">
      <x:c r="M408" s="300"/>
      <x:c r="T408" s="300"/>
    </x:row>
    <x:row r="409">
      <x:c r="M409" s="300"/>
      <x:c r="T409" s="300"/>
    </x:row>
    <x:row r="410">
      <x:c r="M410" s="300"/>
      <x:c r="T410" s="300"/>
    </x:row>
    <x:row r="411">
      <x:c r="M411" s="300"/>
      <x:c r="T411" s="300"/>
    </x:row>
    <x:row r="412">
      <x:c r="M412" s="300"/>
      <x:c r="T412" s="300"/>
    </x:row>
    <x:row r="413">
      <x:c r="M413" s="300"/>
      <x:c r="T413" s="300"/>
    </x:row>
    <x:row r="414">
      <x:c r="M414" s="300"/>
      <x:c r="T414" s="300"/>
    </x:row>
    <x:row r="415">
      <x:c r="M415" s="300"/>
      <x:c r="T415" s="300"/>
    </x:row>
    <x:row r="416">
      <x:c r="M416" s="300"/>
      <x:c r="T416" s="300"/>
    </x:row>
    <x:row r="417">
      <x:c r="M417" s="300"/>
      <x:c r="T417" s="300"/>
    </x:row>
    <x:row r="418">
      <x:c r="M418" s="300"/>
      <x:c r="T418" s="300"/>
    </x:row>
    <x:row r="419">
      <x:c r="M419" s="300"/>
      <x:c r="T419" s="300"/>
    </x:row>
    <x:row r="420">
      <x:c r="M420" s="300"/>
      <x:c r="T420" s="300"/>
    </x:row>
    <x:row r="421">
      <x:c r="M421" s="300"/>
      <x:c r="T421" s="300"/>
    </x:row>
    <x:row r="422">
      <x:c r="M422" s="300"/>
      <x:c r="T422" s="300"/>
    </x:row>
    <x:row r="423">
      <x:c r="M423" s="300"/>
      <x:c r="T423" s="300"/>
    </x:row>
    <x:row r="424">
      <x:c r="M424" s="300"/>
      <x:c r="T424" s="300"/>
    </x:row>
    <x:row r="425">
      <x:c r="M425" s="300"/>
      <x:c r="T425" s="300"/>
    </x:row>
    <x:row r="426">
      <x:c r="M426" s="300"/>
      <x:c r="T426" s="300"/>
    </x:row>
    <x:row r="427">
      <x:c r="M427" s="300"/>
      <x:c r="T427" s="300"/>
    </x:row>
    <x:row r="428">
      <x:c r="M428" s="300"/>
      <x:c r="T428" s="300"/>
    </x:row>
    <x:row r="429">
      <x:c r="M429" s="300"/>
      <x:c r="T429" s="300"/>
    </x:row>
    <x:row r="430">
      <x:c r="M430" s="300"/>
      <x:c r="T430" s="300"/>
    </x:row>
    <x:row r="431">
      <x:c r="M431" s="300"/>
      <x:c r="T431" s="300"/>
    </x:row>
    <x:row r="432">
      <x:c r="M432" s="300"/>
      <x:c r="T432" s="300"/>
    </x:row>
    <x:row r="433">
      <x:c r="M433" s="300"/>
      <x:c r="T433" s="300"/>
    </x:row>
    <x:row r="434">
      <x:c r="M434" s="300"/>
      <x:c r="T434" s="300"/>
    </x:row>
    <x:row r="435">
      <x:c r="M435" s="300"/>
      <x:c r="T435" s="300"/>
    </x:row>
    <x:row r="436">
      <x:c r="M436" s="300"/>
      <x:c r="T436" s="300"/>
    </x:row>
    <x:row r="437">
      <x:c r="M437" s="300"/>
      <x:c r="T437" s="300"/>
    </x:row>
    <x:row r="438">
      <x:c r="M438" s="300"/>
      <x:c r="T438" s="300"/>
    </x:row>
    <x:row r="439">
      <x:c r="M439" s="300"/>
      <x:c r="T439" s="300"/>
    </x:row>
    <x:row r="440">
      <x:c r="M440" s="300"/>
      <x:c r="T440" s="300"/>
    </x:row>
    <x:row r="441">
      <x:c r="M441" s="300"/>
      <x:c r="T441" s="300"/>
    </x:row>
    <x:row r="442">
      <x:c r="M442" s="300"/>
      <x:c r="T442" s="300"/>
    </x:row>
    <x:row r="443">
      <x:c r="M443" s="300"/>
      <x:c r="T443" s="300"/>
    </x:row>
    <x:row r="444">
      <x:c r="M444" s="300"/>
      <x:c r="T444" s="300"/>
    </x:row>
    <x:row r="445">
      <x:c r="M445" s="300"/>
      <x:c r="T445" s="300"/>
    </x:row>
    <x:row r="446">
      <x:c r="M446" s="300"/>
      <x:c r="T446" s="300"/>
    </x:row>
    <x:row r="447">
      <x:c r="M447" s="300"/>
      <x:c r="T447" s="300"/>
    </x:row>
    <x:row r="448">
      <x:c r="M448" s="300"/>
      <x:c r="T448" s="300"/>
    </x:row>
    <x:row r="449">
      <x:c r="M449" s="300"/>
      <x:c r="T449" s="300"/>
    </x:row>
    <x:row r="450">
      <x:c r="M450" s="300"/>
      <x:c r="T450" s="300"/>
    </x:row>
    <x:row r="451">
      <x:c r="M451" s="300"/>
      <x:c r="T451" s="300"/>
    </x:row>
    <x:row r="452">
      <x:c r="M452" s="300"/>
      <x:c r="T452" s="300"/>
    </x:row>
    <x:row r="453">
      <x:c r="M453" s="300"/>
      <x:c r="T453" s="300"/>
    </x:row>
    <x:row r="454">
      <x:c r="M454" s="300"/>
      <x:c r="T454" s="300"/>
    </x:row>
    <x:row r="455">
      <x:c r="M455" s="300"/>
      <x:c r="T455" s="300"/>
    </x:row>
    <x:row r="456">
      <x:c r="M456" s="300"/>
      <x:c r="T456" s="300"/>
    </x:row>
    <x:row r="457">
      <x:c r="M457" s="300"/>
      <x:c r="T457" s="300"/>
    </x:row>
    <x:row r="458">
      <x:c r="M458" s="300"/>
      <x:c r="T458" s="300"/>
    </x:row>
    <x:row r="459">
      <x:c r="M459" s="300"/>
      <x:c r="T459" s="300"/>
    </x:row>
    <x:row r="460">
      <x:c r="M460" s="300"/>
      <x:c r="T460" s="300"/>
    </x:row>
    <x:row r="461">
      <x:c r="M461" s="300"/>
      <x:c r="T461" s="300"/>
    </x:row>
    <x:row r="462">
      <x:c r="M462" s="300"/>
      <x:c r="T462" s="300"/>
    </x:row>
    <x:row r="463">
      <x:c r="M463" s="300"/>
      <x:c r="T463" s="300"/>
    </x:row>
    <x:row r="464">
      <x:c r="M464" s="300"/>
      <x:c r="T464" s="300"/>
    </x:row>
    <x:row r="465">
      <x:c r="M465" s="300"/>
      <x:c r="T465" s="300"/>
    </x:row>
    <x:row r="466">
      <x:c r="M466" s="300"/>
      <x:c r="T466" s="300"/>
    </x:row>
    <x:row r="467">
      <x:c r="M467" s="300"/>
      <x:c r="T467" s="300"/>
    </x:row>
    <x:row r="468">
      <x:c r="M468" s="300"/>
      <x:c r="T468" s="300"/>
    </x:row>
    <x:row r="469">
      <x:c r="M469" s="300"/>
      <x:c r="T469" s="300"/>
    </x:row>
    <x:row r="470">
      <x:c r="M470" s="300"/>
      <x:c r="T470" s="300"/>
    </x:row>
    <x:row r="471">
      <x:c r="M471" s="300"/>
      <x:c r="T471" s="300"/>
    </x:row>
    <x:row r="472">
      <x:c r="M472" s="300"/>
      <x:c r="T472" s="300"/>
    </x:row>
    <x:row r="473">
      <x:c r="M473" s="300"/>
      <x:c r="T473" s="300"/>
    </x:row>
    <x:row r="474">
      <x:c r="M474" s="300"/>
      <x:c r="T474" s="300"/>
    </x:row>
    <x:row r="475">
      <x:c r="M475" s="300"/>
      <x:c r="T475" s="300"/>
    </x:row>
    <x:row r="476">
      <x:c r="M476" s="300"/>
      <x:c r="T476" s="300"/>
    </x:row>
    <x:row r="477">
      <x:c r="M477" s="300"/>
      <x:c r="T477" s="300"/>
    </x:row>
    <x:row r="478">
      <x:c r="M478" s="300"/>
      <x:c r="T478" s="300"/>
    </x:row>
    <x:row r="479">
      <x:c r="M479" s="300"/>
      <x:c r="T479" s="300"/>
    </x:row>
    <x:row r="480">
      <x:c r="M480" s="300"/>
      <x:c r="T480" s="300"/>
    </x:row>
    <x:row r="481">
      <x:c r="M481" s="300"/>
      <x:c r="T481" s="300"/>
    </x:row>
    <x:row r="482">
      <x:c r="M482" s="300"/>
      <x:c r="T482" s="300"/>
    </x:row>
    <x:row r="483">
      <x:c r="M483" s="300"/>
      <x:c r="T483" s="300"/>
    </x:row>
    <x:row r="484">
      <x:c r="M484" s="300"/>
      <x:c r="T484" s="300"/>
    </x:row>
    <x:row r="485">
      <x:c r="M485" s="300"/>
      <x:c r="T485" s="300"/>
    </x:row>
    <x:row r="486">
      <x:c r="M486" s="300"/>
      <x:c r="T486" s="300"/>
    </x:row>
    <x:row r="487">
      <x:c r="M487" s="300"/>
      <x:c r="T487" s="300"/>
    </x:row>
    <x:row r="488">
      <x:c r="M488" s="300"/>
      <x:c r="T488" s="300"/>
    </x:row>
    <x:row r="489">
      <x:c r="M489" s="300"/>
      <x:c r="T489" s="300"/>
    </x:row>
    <x:row r="490">
      <x:c r="M490" s="300"/>
      <x:c r="T490" s="300"/>
    </x:row>
    <x:row r="491">
      <x:c r="M491" s="300"/>
      <x:c r="T491" s="300"/>
    </x:row>
    <x:row r="492">
      <x:c r="M492" s="300"/>
      <x:c r="T492" s="300"/>
    </x:row>
    <x:row r="493">
      <x:c r="M493" s="300"/>
      <x:c r="T493" s="300"/>
    </x:row>
    <x:row r="494">
      <x:c r="M494" s="300"/>
      <x:c r="T494" s="300"/>
    </x:row>
    <x:row r="495">
      <x:c r="M495" s="300"/>
      <x:c r="T495" s="300"/>
    </x:row>
    <x:row r="496">
      <x:c r="M496" s="300"/>
      <x:c r="T496" s="300"/>
    </x:row>
    <x:row r="497">
      <x:c r="M497" s="300"/>
      <x:c r="T497" s="300"/>
    </x:row>
    <x:row r="498">
      <x:c r="M498" s="300"/>
      <x:c r="T498" s="300"/>
    </x:row>
    <x:row r="499">
      <x:c r="M499" s="300"/>
      <x:c r="T499" s="300"/>
    </x:row>
    <x:row r="500">
      <x:c r="M500" s="300"/>
      <x:c r="T500" s="300"/>
    </x:row>
    <x:row r="501">
      <x:c r="M501" s="300"/>
      <x:c r="T501" s="300"/>
    </x:row>
    <x:row r="502">
      <x:c r="M502" s="300"/>
      <x:c r="T502" s="300"/>
    </x:row>
    <x:row r="503">
      <x:c r="M503" s="300"/>
      <x:c r="T503" s="300"/>
    </x:row>
    <x:row r="504">
      <x:c r="M504" s="300"/>
      <x:c r="T504" s="300"/>
    </x:row>
    <x:row r="505">
      <x:c r="M505" s="300"/>
      <x:c r="T505" s="300"/>
    </x:row>
    <x:row r="506">
      <x:c r="M506" s="300"/>
      <x:c r="T506" s="300"/>
    </x:row>
    <x:row r="507">
      <x:c r="M507" s="300"/>
      <x:c r="T507" s="300"/>
    </x:row>
    <x:row r="508">
      <x:c r="M508" s="300"/>
      <x:c r="T508" s="300"/>
    </x:row>
    <x:row r="509">
      <x:c r="M509" s="300"/>
      <x:c r="T509" s="300"/>
    </x:row>
    <x:row r="510">
      <x:c r="M510" s="300"/>
      <x:c r="T510" s="300"/>
    </x:row>
    <x:row r="511">
      <x:c r="M511" s="300"/>
      <x:c r="T511" s="300"/>
    </x:row>
    <x:row r="512">
      <x:c r="M512" s="300"/>
      <x:c r="T512" s="300"/>
    </x:row>
    <x:row r="513">
      <x:c r="M513" s="300"/>
      <x:c r="T513" s="300"/>
    </x:row>
    <x:row r="514">
      <x:c r="M514" s="300"/>
      <x:c r="T514" s="300"/>
    </x:row>
    <x:row r="515">
      <x:c r="M515" s="300"/>
      <x:c r="T515" s="300"/>
    </x:row>
    <x:row r="516">
      <x:c r="M516" s="300"/>
      <x:c r="T516" s="300"/>
    </x:row>
    <x:row r="517">
      <x:c r="M517" s="300"/>
      <x:c r="T517" s="300"/>
    </x:row>
    <x:row r="518">
      <x:c r="M518" s="300"/>
      <x:c r="T518" s="300"/>
    </x:row>
    <x:row r="519">
      <x:c r="M519" s="300"/>
      <x:c r="T519" s="300"/>
    </x:row>
    <x:row r="520">
      <x:c r="M520" s="300"/>
      <x:c r="T520" s="300"/>
    </x:row>
    <x:row r="521">
      <x:c r="M521" s="300"/>
      <x:c r="T521" s="300"/>
    </x:row>
    <x:row r="522">
      <x:c r="M522" s="300"/>
      <x:c r="T522" s="300"/>
    </x:row>
    <x:row r="523">
      <x:c r="M523" s="300"/>
      <x:c r="T523" s="300"/>
    </x:row>
    <x:row r="524">
      <x:c r="M524" s="300"/>
      <x:c r="T524" s="300"/>
    </x:row>
    <x:row r="525">
      <x:c r="M525" s="300"/>
      <x:c r="T525" s="300"/>
    </x:row>
    <x:row r="526">
      <x:c r="M526" s="300"/>
      <x:c r="T526" s="300"/>
    </x:row>
    <x:row r="527">
      <x:c r="M527" s="300"/>
      <x:c r="T527" s="300"/>
    </x:row>
    <x:row r="528">
      <x:c r="M528" s="300"/>
      <x:c r="T528" s="300"/>
    </x:row>
    <x:row r="529">
      <x:c r="M529" s="300"/>
      <x:c r="T529" s="300"/>
    </x:row>
    <x:row r="530">
      <x:c r="M530" s="300"/>
      <x:c r="T530" s="300"/>
    </x:row>
    <x:row r="531">
      <x:c r="M531" s="300"/>
      <x:c r="T531" s="300"/>
    </x:row>
    <x:row r="532">
      <x:c r="M532" s="300"/>
      <x:c r="T532" s="300"/>
    </x:row>
    <x:row r="533">
      <x:c r="M533" s="300"/>
      <x:c r="T533" s="300"/>
    </x:row>
    <x:row r="534">
      <x:c r="M534" s="300"/>
      <x:c r="T534" s="300"/>
    </x:row>
    <x:row r="535">
      <x:c r="M535" s="300"/>
      <x:c r="T535" s="300"/>
    </x:row>
    <x:row r="536">
      <x:c r="M536" s="300"/>
      <x:c r="T536" s="300"/>
    </x:row>
    <x:row r="537">
      <x:c r="M537" s="300"/>
      <x:c r="T537" s="300"/>
    </x:row>
    <x:row r="538">
      <x:c r="M538" s="300"/>
      <x:c r="T538" s="300"/>
    </x:row>
    <x:row r="539">
      <x:c r="M539" s="300"/>
      <x:c r="T539" s="300"/>
    </x:row>
    <x:row r="540">
      <x:c r="M540" s="300"/>
      <x:c r="T540" s="300"/>
    </x:row>
    <x:row r="541">
      <x:c r="M541" s="300"/>
      <x:c r="T541" s="300"/>
    </x:row>
    <x:row r="542">
      <x:c r="M542" s="300"/>
      <x:c r="T542" s="300"/>
    </x:row>
    <x:row r="543">
      <x:c r="M543" s="300"/>
      <x:c r="T543" s="300"/>
    </x:row>
    <x:row r="544">
      <x:c r="M544" s="300"/>
      <x:c r="T544" s="300"/>
    </x:row>
    <x:row r="545">
      <x:c r="M545" s="300"/>
      <x:c r="T545" s="300"/>
    </x:row>
    <x:row r="546">
      <x:c r="M546" s="300"/>
      <x:c r="T546" s="300"/>
    </x:row>
    <x:row r="547">
      <x:c r="M547" s="300"/>
      <x:c r="T547" s="300"/>
    </x:row>
    <x:row r="548">
      <x:c r="M548" s="300"/>
      <x:c r="T548" s="300"/>
    </x:row>
    <x:row r="549">
      <x:c r="M549" s="300"/>
      <x:c r="T549" s="300"/>
    </x:row>
    <x:row r="550">
      <x:c r="M550" s="300"/>
      <x:c r="T550" s="300"/>
    </x:row>
    <x:row r="551">
      <x:c r="M551" s="300"/>
      <x:c r="T551" s="300"/>
    </x:row>
    <x:row r="552">
      <x:c r="M552" s="300"/>
      <x:c r="T552" s="300"/>
    </x:row>
    <x:row r="553">
      <x:c r="M553" s="300"/>
      <x:c r="T553" s="300"/>
    </x:row>
    <x:row r="554">
      <x:c r="M554" s="300"/>
      <x:c r="T554" s="300"/>
    </x:row>
    <x:row r="555">
      <x:c r="M555" s="300"/>
      <x:c r="T555" s="300"/>
    </x:row>
    <x:row r="556">
      <x:c r="M556" s="300"/>
      <x:c r="T556" s="300"/>
    </x:row>
    <x:row r="557">
      <x:c r="M557" s="300"/>
      <x:c r="T557" s="300"/>
    </x:row>
    <x:row r="558">
      <x:c r="M558" s="300"/>
      <x:c r="T558" s="300"/>
    </x:row>
    <x:row r="559">
      <x:c r="M559" s="300"/>
      <x:c r="T559" s="300"/>
    </x:row>
    <x:row r="560">
      <x:c r="M560" s="300"/>
      <x:c r="T560" s="300"/>
    </x:row>
    <x:row r="561">
      <x:c r="M561" s="300"/>
      <x:c r="T561" s="300"/>
    </x:row>
    <x:row r="562">
      <x:c r="M562" s="300"/>
      <x:c r="T562" s="300"/>
    </x:row>
    <x:row r="563">
      <x:c r="M563" s="300"/>
      <x:c r="T563" s="300"/>
    </x:row>
    <x:row r="564">
      <x:c r="M564" s="300"/>
      <x:c r="T564" s="300"/>
    </x:row>
    <x:row r="565">
      <x:c r="M565" s="300"/>
      <x:c r="T565" s="300"/>
    </x:row>
    <x:row r="566">
      <x:c r="M566" s="300"/>
      <x:c r="T566" s="300"/>
    </x:row>
    <x:row r="567">
      <x:c r="M567" s="300"/>
      <x:c r="T567" s="300"/>
    </x:row>
    <x:row r="568">
      <x:c r="M568" s="300"/>
      <x:c r="T568" s="300"/>
    </x:row>
    <x:row r="569">
      <x:c r="M569" s="300"/>
      <x:c r="T569" s="300"/>
    </x:row>
    <x:row r="570">
      <x:c r="M570" s="300"/>
      <x:c r="T570" s="300"/>
    </x:row>
    <x:row r="571">
      <x:c r="M571" s="300"/>
      <x:c r="T571" s="300"/>
    </x:row>
    <x:row r="572">
      <x:c r="M572" s="300"/>
      <x:c r="T572" s="300"/>
    </x:row>
    <x:row r="573">
      <x:c r="M573" s="300"/>
      <x:c r="T573" s="300"/>
    </x:row>
    <x:row r="574">
      <x:c r="M574" s="300"/>
      <x:c r="T574" s="300"/>
    </x:row>
    <x:row r="575">
      <x:c r="M575" s="300"/>
      <x:c r="T575" s="300"/>
    </x:row>
    <x:row r="576">
      <x:c r="M576" s="300"/>
      <x:c r="T576" s="300"/>
    </x:row>
    <x:row r="577">
      <x:c r="M577" s="300"/>
      <x:c r="T577" s="300"/>
    </x:row>
    <x:row r="578">
      <x:c r="M578" s="300"/>
      <x:c r="T578" s="300"/>
    </x:row>
    <x:row r="579">
      <x:c r="M579" s="300"/>
      <x:c r="T579" s="300"/>
    </x:row>
    <x:row r="580">
      <x:c r="M580" s="300"/>
      <x:c r="T580" s="300"/>
    </x:row>
    <x:row r="581">
      <x:c r="M581" s="300"/>
      <x:c r="T581" s="300"/>
    </x:row>
    <x:row r="582">
      <x:c r="M582" s="300"/>
      <x:c r="T582" s="300"/>
    </x:row>
    <x:row r="583">
      <x:c r="M583" s="300"/>
      <x:c r="T583" s="300"/>
    </x:row>
    <x:row r="584">
      <x:c r="M584" s="300"/>
      <x:c r="T584" s="300"/>
    </x:row>
    <x:row r="585">
      <x:c r="M585" s="300"/>
      <x:c r="T585" s="300"/>
    </x:row>
    <x:row r="586">
      <x:c r="M586" s="300"/>
      <x:c r="T586" s="300"/>
    </x:row>
    <x:row r="587">
      <x:c r="M587" s="300"/>
      <x:c r="T587" s="300"/>
    </x:row>
    <x:row r="588">
      <x:c r="M588" s="300"/>
      <x:c r="T588" s="300"/>
    </x:row>
    <x:row r="589">
      <x:c r="M589" s="300"/>
      <x:c r="T589" s="300"/>
    </x:row>
    <x:row r="590">
      <x:c r="M590" s="300"/>
      <x:c r="T590" s="300"/>
    </x:row>
    <x:row r="591">
      <x:c r="M591" s="300"/>
      <x:c r="T591" s="300"/>
    </x:row>
    <x:row r="592">
      <x:c r="M592" s="300"/>
      <x:c r="T592" s="300"/>
    </x:row>
    <x:row r="593">
      <x:c r="M593" s="300"/>
      <x:c r="T593" s="300"/>
    </x:row>
    <x:row r="594">
      <x:c r="M594" s="300"/>
      <x:c r="T594" s="300"/>
    </x:row>
    <x:row r="595">
      <x:c r="M595" s="300"/>
      <x:c r="T595" s="300"/>
    </x:row>
    <x:row r="596">
      <x:c r="M596" s="300"/>
      <x:c r="T596" s="300"/>
    </x:row>
    <x:row r="597">
      <x:c r="M597" s="300"/>
      <x:c r="T597" s="300"/>
    </x:row>
    <x:row r="598">
      <x:c r="M598" s="300"/>
      <x:c r="T598" s="300"/>
    </x:row>
    <x:row r="599">
      <x:c r="M599" s="300"/>
      <x:c r="T599" s="300"/>
    </x:row>
    <x:row r="600">
      <x:c r="M600" s="300"/>
      <x:c r="T600" s="300"/>
    </x:row>
    <x:row r="601">
      <x:c r="M601" s="300"/>
      <x:c r="T601" s="300"/>
    </x:row>
    <x:row r="602">
      <x:c r="M602" s="300"/>
      <x:c r="T602" s="300"/>
    </x:row>
    <x:row r="603">
      <x:c r="M603" s="300"/>
      <x:c r="T603" s="300"/>
    </x:row>
    <x:row r="604">
      <x:c r="M604" s="300"/>
      <x:c r="T604" s="300"/>
    </x:row>
    <x:row r="605">
      <x:c r="M605" s="300"/>
      <x:c r="T605" s="300"/>
    </x:row>
    <x:row r="606">
      <x:c r="M606" s="300"/>
      <x:c r="T606" s="300"/>
    </x:row>
    <x:row r="607">
      <x:c r="M607" s="300"/>
      <x:c r="T607" s="300"/>
    </x:row>
    <x:row r="608">
      <x:c r="M608" s="300"/>
      <x:c r="T608" s="300"/>
    </x:row>
    <x:row r="609">
      <x:c r="M609" s="300"/>
      <x:c r="T609" s="300"/>
    </x:row>
    <x:row r="610">
      <x:c r="M610" s="300"/>
      <x:c r="T610" s="300"/>
    </x:row>
    <x:row r="611">
      <x:c r="M611" s="300"/>
      <x:c r="T611" s="300"/>
    </x:row>
    <x:row r="612">
      <x:c r="M612" s="300"/>
      <x:c r="T612" s="300"/>
    </x:row>
    <x:row r="613">
      <x:c r="M613" s="300"/>
      <x:c r="T613" s="300"/>
    </x:row>
    <x:row r="614">
      <x:c r="M614" s="300"/>
      <x:c r="T614" s="300"/>
    </x:row>
    <x:row r="615">
      <x:c r="M615" s="300"/>
      <x:c r="T615" s="300"/>
    </x:row>
    <x:row r="616">
      <x:c r="M616" s="300"/>
      <x:c r="T616" s="300"/>
    </x:row>
    <x:row r="617">
      <x:c r="M617" s="300"/>
      <x:c r="T617" s="300"/>
    </x:row>
    <x:row r="618">
      <x:c r="M618" s="300"/>
      <x:c r="T618" s="300"/>
    </x:row>
    <x:row r="619">
      <x:c r="M619" s="300"/>
      <x:c r="T619" s="300"/>
    </x:row>
    <x:row r="620">
      <x:c r="M620" s="300"/>
      <x:c r="T620" s="300"/>
    </x:row>
    <x:row r="621">
      <x:c r="M621" s="300"/>
      <x:c r="T621" s="300"/>
    </x:row>
    <x:row r="622">
      <x:c r="M622" s="300"/>
      <x:c r="T622" s="300"/>
    </x:row>
    <x:row r="623">
      <x:c r="M623" s="300"/>
      <x:c r="T623" s="300"/>
    </x:row>
    <x:row r="624">
      <x:c r="M624" s="300"/>
      <x:c r="T624" s="300"/>
    </x:row>
    <x:row r="625">
      <x:c r="M625" s="300"/>
      <x:c r="T625" s="300"/>
    </x:row>
    <x:row r="626">
      <x:c r="M626" s="300"/>
      <x:c r="T626" s="300"/>
    </x:row>
    <x:row r="627">
      <x:c r="M627" s="300"/>
      <x:c r="T627" s="300"/>
    </x:row>
    <x:row r="628">
      <x:c r="M628" s="300"/>
      <x:c r="T628" s="300"/>
    </x:row>
    <x:row r="629">
      <x:c r="M629" s="300"/>
      <x:c r="T629" s="300"/>
    </x:row>
    <x:row r="630">
      <x:c r="M630" s="300"/>
      <x:c r="T630" s="300"/>
    </x:row>
    <x:row r="631">
      <x:c r="M631" s="300"/>
      <x:c r="T631" s="300"/>
    </x:row>
    <x:row r="632">
      <x:c r="M632" s="300"/>
      <x:c r="T632" s="300"/>
    </x:row>
    <x:row r="633">
      <x:c r="M633" s="300"/>
      <x:c r="T633" s="300"/>
    </x:row>
    <x:row r="634">
      <x:c r="M634" s="300"/>
      <x:c r="T634" s="300"/>
    </x:row>
    <x:row r="635">
      <x:c r="M635" s="300"/>
      <x:c r="T635" s="300"/>
    </x:row>
    <x:row r="636">
      <x:c r="M636" s="300"/>
      <x:c r="T636" s="300"/>
    </x:row>
    <x:row r="637">
      <x:c r="M637" s="300"/>
      <x:c r="T637" s="300"/>
    </x:row>
    <x:row r="638">
      <x:c r="M638" s="300"/>
      <x:c r="T638" s="300"/>
    </x:row>
    <x:row r="639">
      <x:c r="M639" s="300"/>
      <x:c r="T639" s="300"/>
    </x:row>
    <x:row r="640">
      <x:c r="M640" s="300"/>
      <x:c r="T640" s="300"/>
    </x:row>
    <x:row r="641">
      <x:c r="M641" s="300"/>
      <x:c r="T641" s="300"/>
    </x:row>
    <x:row r="642">
      <x:c r="M642" s="300"/>
      <x:c r="T642" s="300"/>
    </x:row>
    <x:row r="643">
      <x:c r="M643" s="300"/>
      <x:c r="T643" s="300"/>
    </x:row>
    <x:row r="644">
      <x:c r="M644" s="300"/>
      <x:c r="T644" s="300"/>
    </x:row>
    <x:row r="645">
      <x:c r="M645" s="300"/>
      <x:c r="T645" s="300"/>
    </x:row>
    <x:row r="646">
      <x:c r="M646" s="300"/>
      <x:c r="T646" s="300"/>
    </x:row>
    <x:row r="647">
      <x:c r="M647" s="300"/>
      <x:c r="T647" s="300"/>
    </x:row>
    <x:row r="648">
      <x:c r="M648" s="300"/>
      <x:c r="T648" s="300"/>
    </x:row>
    <x:row r="649">
      <x:c r="M649" s="300"/>
      <x:c r="T649" s="300"/>
    </x:row>
    <x:row r="650">
      <x:c r="M650" s="300"/>
      <x:c r="T650" s="300"/>
    </x:row>
    <x:row r="651">
      <x:c r="M651" s="300"/>
      <x:c r="T651" s="300"/>
    </x:row>
    <x:row r="652">
      <x:c r="M652" s="300"/>
      <x:c r="T652" s="300"/>
    </x:row>
    <x:row r="653">
      <x:c r="M653" s="300"/>
      <x:c r="T653" s="300"/>
    </x:row>
    <x:row r="654">
      <x:c r="M654" s="300"/>
      <x:c r="T654" s="300"/>
    </x:row>
    <x:row r="655">
      <x:c r="M655" s="300"/>
      <x:c r="T655" s="300"/>
    </x:row>
    <x:row r="656">
      <x:c r="M656" s="300"/>
      <x:c r="T656" s="300"/>
    </x:row>
    <x:row r="657">
      <x:c r="M657" s="300"/>
      <x:c r="T657" s="300"/>
    </x:row>
    <x:row r="658">
      <x:c r="M658" s="300"/>
      <x:c r="T658" s="300"/>
    </x:row>
    <x:row r="659">
      <x:c r="M659" s="300"/>
      <x:c r="T659" s="300"/>
    </x:row>
    <x:row r="660">
      <x:c r="M660" s="300"/>
      <x:c r="T660" s="300"/>
    </x:row>
    <x:row r="661">
      <x:c r="M661" s="300"/>
      <x:c r="T661" s="300"/>
    </x:row>
    <x:row r="662">
      <x:c r="M662" s="300"/>
      <x:c r="T662" s="300"/>
    </x:row>
    <x:row r="663">
      <x:c r="M663" s="300"/>
      <x:c r="T663" s="300"/>
    </x:row>
    <x:row r="664">
      <x:c r="M664" s="300"/>
      <x:c r="T664" s="300"/>
    </x:row>
    <x:row r="665">
      <x:c r="M665" s="300"/>
      <x:c r="T665" s="300"/>
    </x:row>
    <x:row r="666">
      <x:c r="M666" s="300"/>
      <x:c r="T666" s="300"/>
    </x:row>
    <x:row r="667">
      <x:c r="M667" s="300"/>
      <x:c r="T667" s="300"/>
    </x:row>
    <x:row r="668">
      <x:c r="M668" s="300"/>
      <x:c r="T668" s="300"/>
    </x:row>
    <x:row r="669">
      <x:c r="M669" s="300"/>
      <x:c r="T669" s="300"/>
    </x:row>
    <x:row r="670">
      <x:c r="M670" s="300"/>
      <x:c r="T670" s="300"/>
    </x:row>
    <x:row r="671">
      <x:c r="M671" s="300"/>
      <x:c r="T671" s="300"/>
    </x:row>
    <x:row r="672">
      <x:c r="M672" s="300"/>
      <x:c r="T672" s="300"/>
    </x:row>
    <x:row r="673">
      <x:c r="M673" s="300"/>
      <x:c r="T673" s="300"/>
    </x:row>
    <x:row r="674">
      <x:c r="M674" s="300"/>
      <x:c r="T674" s="300"/>
    </x:row>
    <x:row r="675">
      <x:c r="M675" s="300"/>
      <x:c r="T675" s="300"/>
    </x:row>
    <x:row r="676">
      <x:c r="M676" s="300"/>
      <x:c r="T676" s="300"/>
    </x:row>
    <x:row r="677">
      <x:c r="M677" s="300"/>
      <x:c r="T677" s="300"/>
    </x:row>
    <x:row r="678">
      <x:c r="M678" s="300"/>
      <x:c r="T678" s="300"/>
    </x:row>
    <x:row r="679">
      <x:c r="M679" s="300"/>
      <x:c r="T679" s="300"/>
    </x:row>
    <x:row r="680">
      <x:c r="M680" s="300"/>
      <x:c r="T680" s="300"/>
    </x:row>
    <x:row r="681">
      <x:c r="M681" s="300"/>
      <x:c r="T681" s="300"/>
    </x:row>
    <x:row r="682">
      <x:c r="M682" s="300"/>
      <x:c r="T682" s="300"/>
    </x:row>
    <x:row r="683">
      <x:c r="M683" s="300"/>
      <x:c r="T683" s="300"/>
    </x:row>
    <x:row r="684">
      <x:c r="M684" s="300"/>
      <x:c r="T684" s="300"/>
    </x:row>
    <x:row r="685">
      <x:c r="M685" s="300"/>
      <x:c r="T685" s="300"/>
    </x:row>
    <x:row r="686">
      <x:c r="M686" s="300"/>
      <x:c r="T686" s="300"/>
    </x:row>
    <x:row r="687">
      <x:c r="M687" s="300"/>
      <x:c r="T687" s="300"/>
    </x:row>
    <x:row r="688">
      <x:c r="M688" s="300"/>
      <x:c r="T688" s="300"/>
    </x:row>
    <x:row r="689">
      <x:c r="M689" s="300"/>
      <x:c r="T689" s="300"/>
    </x:row>
    <x:row r="690">
      <x:c r="M690" s="300"/>
      <x:c r="T690" s="300"/>
    </x:row>
    <x:row r="691">
      <x:c r="M691" s="300"/>
      <x:c r="T691" s="300"/>
    </x:row>
    <x:row r="692">
      <x:c r="M692" s="300"/>
      <x:c r="T692" s="300"/>
    </x:row>
    <x:row r="693">
      <x:c r="M693" s="300"/>
      <x:c r="T693" s="300"/>
    </x:row>
    <x:row r="694">
      <x:c r="M694" s="300"/>
      <x:c r="T694" s="300"/>
    </x:row>
    <x:row r="695">
      <x:c r="M695" s="300"/>
      <x:c r="T695" s="300"/>
    </x:row>
    <x:row r="696">
      <x:c r="M696" s="300"/>
      <x:c r="T696" s="300"/>
    </x:row>
    <x:row r="697">
      <x:c r="M697" s="300"/>
      <x:c r="T697" s="300"/>
    </x:row>
    <x:row r="698">
      <x:c r="M698" s="300"/>
      <x:c r="T698" s="300"/>
    </x:row>
    <x:row r="699">
      <x:c r="M699" s="300"/>
      <x:c r="T699" s="300"/>
    </x:row>
    <x:row r="700">
      <x:c r="M700" s="300"/>
      <x:c r="T700" s="300"/>
    </x:row>
    <x:row r="701">
      <x:c r="M701" s="300"/>
      <x:c r="T701" s="300"/>
    </x:row>
    <x:row r="702">
      <x:c r="M702" s="300"/>
      <x:c r="T702" s="300"/>
    </x:row>
    <x:row r="703">
      <x:c r="M703" s="300"/>
      <x:c r="T703" s="300"/>
    </x:row>
    <x:row r="704">
      <x:c r="M704" s="300"/>
      <x:c r="T704" s="300"/>
    </x:row>
    <x:row r="705">
      <x:c r="M705" s="300"/>
      <x:c r="T705" s="300"/>
    </x:row>
    <x:row r="706">
      <x:c r="M706" s="300"/>
      <x:c r="T706" s="300"/>
    </x:row>
    <x:row r="707">
      <x:c r="M707" s="300"/>
      <x:c r="T707" s="300"/>
    </x:row>
    <x:row r="708">
      <x:c r="M708" s="300"/>
      <x:c r="T708" s="300"/>
    </x:row>
    <x:row r="709">
      <x:c r="M709" s="300"/>
      <x:c r="T709" s="300"/>
    </x:row>
    <x:row r="710">
      <x:c r="M710" s="300"/>
      <x:c r="T710" s="300"/>
    </x:row>
    <x:row r="711">
      <x:c r="M711" s="300"/>
      <x:c r="T711" s="300"/>
    </x:row>
    <x:row r="712">
      <x:c r="M712" s="300"/>
      <x:c r="T712" s="300"/>
    </x:row>
    <x:row r="713">
      <x:c r="M713" s="300"/>
      <x:c r="T713" s="300"/>
    </x:row>
    <x:row r="714">
      <x:c r="M714" s="300"/>
      <x:c r="T714" s="300"/>
    </x:row>
    <x:row r="715">
      <x:c r="M715" s="300"/>
      <x:c r="T715" s="300"/>
    </x:row>
    <x:row r="716">
      <x:c r="M716" s="300"/>
      <x:c r="T716" s="300"/>
    </x:row>
    <x:row r="717">
      <x:c r="M717" s="300"/>
      <x:c r="T717" s="300"/>
    </x:row>
    <x:row r="718">
      <x:c r="M718" s="300"/>
      <x:c r="T718" s="300"/>
    </x:row>
    <x:row r="719">
      <x:c r="M719" s="300"/>
      <x:c r="T719" s="300"/>
    </x:row>
    <x:row r="720">
      <x:c r="M720" s="300"/>
      <x:c r="T720" s="300"/>
    </x:row>
    <x:row r="721">
      <x:c r="M721" s="300"/>
      <x:c r="T721" s="300"/>
    </x:row>
    <x:row r="722">
      <x:c r="M722" s="300"/>
      <x:c r="T722" s="300"/>
    </x:row>
    <x:row r="723">
      <x:c r="M723" s="300"/>
      <x:c r="T723" s="300"/>
    </x:row>
    <x:row r="724">
      <x:c r="M724" s="300"/>
      <x:c r="T724" s="300"/>
    </x:row>
    <x:row r="725">
      <x:c r="M725" s="300"/>
      <x:c r="T725" s="300"/>
    </x:row>
    <x:row r="726">
      <x:c r="M726" s="300"/>
      <x:c r="T726" s="300"/>
    </x:row>
    <x:row r="727">
      <x:c r="M727" s="300"/>
      <x:c r="T727" s="300"/>
    </x:row>
    <x:row r="728">
      <x:c r="M728" s="300"/>
      <x:c r="T728" s="300"/>
    </x:row>
    <x:row r="729">
      <x:c r="M729" s="300"/>
      <x:c r="T729" s="300"/>
    </x:row>
    <x:row r="730">
      <x:c r="M730" s="300"/>
      <x:c r="T730" s="300"/>
    </x:row>
    <x:row r="731">
      <x:c r="M731" s="300"/>
      <x:c r="T731" s="300"/>
    </x:row>
    <x:row r="732">
      <x:c r="M732" s="300"/>
      <x:c r="T732" s="300"/>
    </x:row>
    <x:row r="733">
      <x:c r="M733" s="300"/>
      <x:c r="T733" s="300"/>
    </x:row>
    <x:row r="734">
      <x:c r="M734" s="300"/>
      <x:c r="T734" s="300"/>
    </x:row>
    <x:row r="735">
      <x:c r="M735" s="300"/>
      <x:c r="T735" s="300"/>
    </x:row>
    <x:row r="736">
      <x:c r="M736" s="300"/>
      <x:c r="T736" s="300"/>
    </x:row>
    <x:row r="737">
      <x:c r="M737" s="300"/>
      <x:c r="T737" s="300"/>
    </x:row>
    <x:row r="738">
      <x:c r="M738" s="300"/>
      <x:c r="T738" s="300"/>
    </x:row>
    <x:row r="739">
      <x:c r="M739" s="300"/>
      <x:c r="T739" s="300"/>
    </x:row>
    <x:row r="740">
      <x:c r="M740" s="300"/>
      <x:c r="T740" s="300"/>
    </x:row>
    <x:row r="741">
      <x:c r="M741" s="300"/>
      <x:c r="T741" s="300"/>
    </x:row>
    <x:row r="742">
      <x:c r="M742" s="300"/>
      <x:c r="T742" s="300"/>
    </x:row>
    <x:row r="743">
      <x:c r="M743" s="300"/>
      <x:c r="T743" s="300"/>
    </x:row>
    <x:row r="744">
      <x:c r="M744" s="300"/>
      <x:c r="T744" s="300"/>
    </x:row>
    <x:row r="745">
      <x:c r="M745" s="300"/>
      <x:c r="T745" s="300"/>
    </x:row>
    <x:row r="746">
      <x:c r="M746" s="300"/>
      <x:c r="T746" s="300"/>
    </x:row>
    <x:row r="747">
      <x:c r="M747" s="300"/>
      <x:c r="T747" s="300"/>
    </x:row>
    <x:row r="748">
      <x:c r="M748" s="300"/>
      <x:c r="T748" s="300"/>
    </x:row>
    <x:row r="749">
      <x:c r="M749" s="300"/>
      <x:c r="T749" s="300"/>
    </x:row>
    <x:row r="750">
      <x:c r="M750" s="300"/>
      <x:c r="T750" s="300"/>
    </x:row>
    <x:row r="751">
      <x:c r="M751" s="300"/>
      <x:c r="T751" s="300"/>
    </x:row>
    <x:row r="752">
      <x:c r="M752" s="300"/>
      <x:c r="T752" s="300"/>
    </x:row>
    <x:row r="753">
      <x:c r="M753" s="300"/>
      <x:c r="T753" s="300"/>
    </x:row>
    <x:row r="754">
      <x:c r="M754" s="300"/>
      <x:c r="T754" s="300"/>
    </x:row>
    <x:row r="755">
      <x:c r="M755" s="300"/>
      <x:c r="T755" s="300"/>
    </x:row>
    <x:row r="756">
      <x:c r="M756" s="300"/>
      <x:c r="T756" s="300"/>
    </x:row>
    <x:row r="757">
      <x:c r="M757" s="300"/>
      <x:c r="T757" s="300"/>
    </x:row>
    <x:row r="758">
      <x:c r="M758" s="300"/>
      <x:c r="T758" s="300"/>
    </x:row>
    <x:row r="759">
      <x:c r="M759" s="300"/>
      <x:c r="T759" s="300"/>
    </x:row>
    <x:row r="760">
      <x:c r="M760" s="300"/>
      <x:c r="T760" s="300"/>
    </x:row>
    <x:row r="761">
      <x:c r="M761" s="300"/>
      <x:c r="T761" s="300"/>
    </x:row>
    <x:row r="762">
      <x:c r="M762" s="300"/>
      <x:c r="T762" s="300"/>
    </x:row>
    <x:row r="763">
      <x:c r="M763" s="300"/>
      <x:c r="T763" s="300"/>
    </x:row>
    <x:row r="764">
      <x:c r="M764" s="300"/>
      <x:c r="T764" s="300"/>
    </x:row>
    <x:row r="765">
      <x:c r="M765" s="300"/>
      <x:c r="T765" s="300"/>
    </x:row>
    <x:row r="766">
      <x:c r="M766" s="300"/>
      <x:c r="T766" s="300"/>
    </x:row>
    <x:row r="767">
      <x:c r="M767" s="300"/>
      <x:c r="T767" s="300"/>
    </x:row>
    <x:row r="768">
      <x:c r="M768" s="300"/>
      <x:c r="T768" s="300"/>
    </x:row>
    <x:row r="769">
      <x:c r="M769" s="300"/>
      <x:c r="T769" s="300"/>
    </x:row>
    <x:row r="770">
      <x:c r="M770" s="300"/>
      <x:c r="T770" s="300"/>
    </x:row>
    <x:row r="771">
      <x:c r="M771" s="300"/>
      <x:c r="T771" s="300"/>
    </x:row>
    <x:row r="772">
      <x:c r="M772" s="300"/>
      <x:c r="T772" s="300"/>
    </x:row>
    <x:row r="773">
      <x:c r="M773" s="300"/>
      <x:c r="T773" s="300"/>
    </x:row>
    <x:row r="774">
      <x:c r="M774" s="300"/>
      <x:c r="T774" s="300"/>
    </x:row>
    <x:row r="775">
      <x:c r="M775" s="300"/>
      <x:c r="T775" s="300"/>
    </x:row>
    <x:row r="776">
      <x:c r="M776" s="300"/>
      <x:c r="T776" s="300"/>
    </x:row>
    <x:row r="777">
      <x:c r="M777" s="300"/>
      <x:c r="T777" s="300"/>
    </x:row>
    <x:row r="778">
      <x:c r="M778" s="300"/>
      <x:c r="T778" s="300"/>
    </x:row>
    <x:row r="779">
      <x:c r="M779" s="300"/>
      <x:c r="T779" s="300"/>
    </x:row>
    <x:row r="780">
      <x:c r="M780" s="300"/>
      <x:c r="T780" s="300"/>
    </x:row>
    <x:row r="781">
      <x:c r="M781" s="300"/>
      <x:c r="T781" s="300"/>
    </x:row>
    <x:row r="782">
      <x:c r="M782" s="300"/>
      <x:c r="T782" s="300"/>
    </x:row>
    <x:row r="783">
      <x:c r="M783" s="300"/>
      <x:c r="T783" s="300"/>
    </x:row>
    <x:row r="784">
      <x:c r="M784" s="300"/>
      <x:c r="T784" s="300"/>
    </x:row>
    <x:row r="785">
      <x:c r="M785" s="300"/>
      <x:c r="T785" s="300"/>
    </x:row>
    <x:row r="786">
      <x:c r="M786" s="300"/>
      <x:c r="T786" s="300"/>
    </x:row>
    <x:row r="787">
      <x:c r="M787" s="300"/>
      <x:c r="T787" s="300"/>
    </x:row>
    <x:row r="788">
      <x:c r="M788" s="300"/>
      <x:c r="T788" s="300"/>
    </x:row>
    <x:row r="789">
      <x:c r="M789" s="300"/>
      <x:c r="T789" s="300"/>
    </x:row>
    <x:row r="790">
      <x:c r="M790" s="300"/>
      <x:c r="T790" s="300"/>
    </x:row>
    <x:row r="791">
      <x:c r="M791" s="300"/>
      <x:c r="T791" s="300"/>
    </x:row>
    <x:row r="792">
      <x:c r="M792" s="300"/>
      <x:c r="T792" s="300"/>
    </x:row>
    <x:row r="793">
      <x:c r="M793" s="300"/>
      <x:c r="T793" s="300"/>
    </x:row>
    <x:row r="794">
      <x:c r="M794" s="300"/>
      <x:c r="T794" s="300"/>
    </x:row>
    <x:row r="795">
      <x:c r="M795" s="300"/>
      <x:c r="T795" s="300"/>
    </x:row>
    <x:row r="796">
      <x:c r="M796" s="300"/>
      <x:c r="T796" s="300"/>
    </x:row>
    <x:row r="797">
      <x:c r="M797" s="300"/>
      <x:c r="T797" s="300"/>
    </x:row>
    <x:row r="798">
      <x:c r="M798" s="300"/>
      <x:c r="T798" s="300"/>
    </x:row>
    <x:row r="799">
      <x:c r="M799" s="300"/>
      <x:c r="T799" s="300"/>
    </x:row>
    <x:row r="800">
      <x:c r="M800" s="300"/>
      <x:c r="T800" s="300"/>
    </x:row>
    <x:row r="801">
      <x:c r="M801" s="300"/>
      <x:c r="T801" s="300"/>
    </x:row>
    <x:row r="802">
      <x:c r="M802" s="300"/>
      <x:c r="T802" s="300"/>
    </x:row>
    <x:row r="803">
      <x:c r="M803" s="300"/>
      <x:c r="T803" s="300"/>
    </x:row>
    <x:row r="804">
      <x:c r="M804" s="300"/>
      <x:c r="T804" s="300"/>
    </x:row>
    <x:row r="805">
      <x:c r="M805" s="300"/>
      <x:c r="T805" s="300"/>
    </x:row>
    <x:row r="806">
      <x:c r="M806" s="300"/>
      <x:c r="T806" s="300"/>
    </x:row>
    <x:row r="807">
      <x:c r="M807" s="300"/>
      <x:c r="T807" s="300"/>
    </x:row>
    <x:row r="808">
      <x:c r="M808" s="300"/>
      <x:c r="T808" s="300"/>
    </x:row>
    <x:row r="809">
      <x:c r="M809" s="300"/>
      <x:c r="T809" s="300"/>
    </x:row>
    <x:row r="810">
      <x:c r="M810" s="300"/>
      <x:c r="T810" s="300"/>
    </x:row>
    <x:row r="811">
      <x:c r="M811" s="300"/>
      <x:c r="T811" s="300"/>
    </x:row>
    <x:row r="812">
      <x:c r="M812" s="300"/>
      <x:c r="T812" s="300"/>
    </x:row>
    <x:row r="813">
      <x:c r="M813" s="300"/>
      <x:c r="T813" s="300"/>
    </x:row>
    <x:row r="814">
      <x:c r="M814" s="300"/>
      <x:c r="T814" s="300"/>
    </x:row>
    <x:row r="815">
      <x:c r="M815" s="300"/>
      <x:c r="T815" s="300"/>
    </x:row>
    <x:row r="816">
      <x:c r="M816" s="300"/>
      <x:c r="T816" s="300"/>
    </x:row>
    <x:row r="817">
      <x:c r="M817" s="300"/>
      <x:c r="T817" s="300"/>
    </x:row>
    <x:row r="818">
      <x:c r="M818" s="300"/>
      <x:c r="T818" s="300"/>
    </x:row>
    <x:row r="819">
      <x:c r="M819" s="300"/>
      <x:c r="T819" s="300"/>
    </x:row>
    <x:row r="820">
      <x:c r="M820" s="300"/>
      <x:c r="T820" s="300"/>
    </x:row>
    <x:row r="821">
      <x:c r="M821" s="300"/>
      <x:c r="T821" s="300"/>
    </x:row>
    <x:row r="822">
      <x:c r="M822" s="300"/>
      <x:c r="T822" s="300"/>
    </x:row>
    <x:row r="823">
      <x:c r="M823" s="300"/>
      <x:c r="T823" s="300"/>
    </x:row>
    <x:row r="824">
      <x:c r="M824" s="300"/>
      <x:c r="T824" s="300"/>
    </x:row>
    <x:row r="825">
      <x:c r="M825" s="300"/>
      <x:c r="T825" s="300"/>
    </x:row>
    <x:row r="826">
      <x:c r="M826" s="300"/>
      <x:c r="T826" s="300"/>
    </x:row>
    <x:row r="827">
      <x:c r="M827" s="300"/>
      <x:c r="T827" s="300"/>
    </x:row>
    <x:row r="828">
      <x:c r="M828" s="300"/>
      <x:c r="T828" s="300"/>
    </x:row>
    <x:row r="829">
      <x:c r="M829" s="300"/>
      <x:c r="T829" s="300"/>
    </x:row>
    <x:row r="830">
      <x:c r="M830" s="300"/>
      <x:c r="T830" s="300"/>
    </x:row>
    <x:row r="831">
      <x:c r="M831" s="300"/>
      <x:c r="T831" s="300"/>
    </x:row>
    <x:row r="832">
      <x:c r="M832" s="300"/>
      <x:c r="T832" s="300"/>
    </x:row>
    <x:row r="833">
      <x:c r="M833" s="300"/>
      <x:c r="T833" s="300"/>
    </x:row>
    <x:row r="834">
      <x:c r="M834" s="300"/>
      <x:c r="T834" s="300"/>
    </x:row>
    <x:row r="835">
      <x:c r="M835" s="300"/>
      <x:c r="T835" s="300"/>
    </x:row>
    <x:row r="836">
      <x:c r="M836" s="300"/>
      <x:c r="T836" s="300"/>
    </x:row>
    <x:row r="837">
      <x:c r="M837" s="300"/>
      <x:c r="T837" s="300"/>
    </x:row>
    <x:row r="838">
      <x:c r="M838" s="300"/>
      <x:c r="T838" s="300"/>
    </x:row>
    <x:row r="839">
      <x:c r="M839" s="300"/>
      <x:c r="T839" s="300"/>
    </x:row>
    <x:row r="840">
      <x:c r="M840" s="300"/>
      <x:c r="T840" s="300"/>
    </x:row>
    <x:row r="841">
      <x:c r="M841" s="300"/>
      <x:c r="T841" s="300"/>
    </x:row>
    <x:row r="842">
      <x:c r="M842" s="300"/>
      <x:c r="T842" s="300"/>
    </x:row>
    <x:row r="843">
      <x:c r="M843" s="300"/>
      <x:c r="T843" s="300"/>
    </x:row>
    <x:row r="844">
      <x:c r="M844" s="300"/>
      <x:c r="T844" s="300"/>
    </x:row>
    <x:row r="845">
      <x:c r="M845" s="300"/>
      <x:c r="T845" s="300"/>
    </x:row>
    <x:row r="846">
      <x:c r="M846" s="300"/>
      <x:c r="T846" s="300"/>
    </x:row>
    <x:row r="847">
      <x:c r="M847" s="300"/>
      <x:c r="T847" s="300"/>
    </x:row>
    <x:row r="848">
      <x:c r="M848" s="300"/>
      <x:c r="T848" s="300"/>
    </x:row>
    <x:row r="849">
      <x:c r="M849" s="300"/>
      <x:c r="T849" s="300"/>
    </x:row>
    <x:row r="850">
      <x:c r="M850" s="300"/>
      <x:c r="T850" s="300"/>
    </x:row>
    <x:row r="851">
      <x:c r="M851" s="300"/>
      <x:c r="T851" s="300"/>
    </x:row>
    <x:row r="852">
      <x:c r="M852" s="300"/>
      <x:c r="T852" s="300"/>
    </x:row>
    <x:row r="853">
      <x:c r="M853" s="300"/>
      <x:c r="T853" s="300"/>
    </x:row>
    <x:row r="854">
      <x:c r="M854" s="300"/>
      <x:c r="T854" s="300"/>
    </x:row>
    <x:row r="855">
      <x:c r="M855" s="300"/>
      <x:c r="T855" s="300"/>
    </x:row>
    <x:row r="856">
      <x:c r="M856" s="300"/>
      <x:c r="T856" s="300"/>
    </x:row>
    <x:row r="857">
      <x:c r="M857" s="300"/>
      <x:c r="T857" s="300"/>
    </x:row>
    <x:row r="858">
      <x:c r="M858" s="300"/>
      <x:c r="T858" s="300"/>
    </x:row>
    <x:row r="859">
      <x:c r="M859" s="300"/>
      <x:c r="T859" s="300"/>
    </x:row>
    <x:row r="860">
      <x:c r="M860" s="300"/>
      <x:c r="T860" s="300"/>
    </x:row>
    <x:row r="861">
      <x:c r="M861" s="300"/>
      <x:c r="T861" s="300"/>
    </x:row>
    <x:row r="862">
      <x:c r="M862" s="300"/>
      <x:c r="T862" s="300"/>
    </x:row>
    <x:row r="863">
      <x:c r="M863" s="300"/>
      <x:c r="T863" s="300"/>
    </x:row>
    <x:row r="864">
      <x:c r="M864" s="300"/>
      <x:c r="T864" s="300"/>
    </x:row>
    <x:row r="865">
      <x:c r="M865" s="300"/>
      <x:c r="T865" s="300"/>
    </x:row>
    <x:row r="866">
      <x:c r="M866" s="300"/>
      <x:c r="T866" s="300"/>
    </x:row>
    <x:row r="867">
      <x:c r="M867" s="300"/>
      <x:c r="T867" s="300"/>
    </x:row>
    <x:row r="868">
      <x:c r="M868" s="300"/>
      <x:c r="T868" s="300"/>
    </x:row>
    <x:row r="869">
      <x:c r="M869" s="300"/>
      <x:c r="T869" s="300"/>
    </x:row>
    <x:row r="870">
      <x:c r="M870" s="300"/>
      <x:c r="T870" s="300"/>
    </x:row>
    <x:row r="871">
      <x:c r="M871" s="300"/>
      <x:c r="T871" s="300"/>
    </x:row>
    <x:row r="872">
      <x:c r="M872" s="300"/>
      <x:c r="T872" s="300"/>
    </x:row>
    <x:row r="873">
      <x:c r="M873" s="300"/>
      <x:c r="T873" s="300"/>
    </x:row>
    <x:row r="874">
      <x:c r="M874" s="300"/>
      <x:c r="T874" s="300"/>
    </x:row>
    <x:row r="875">
      <x:c r="M875" s="300"/>
      <x:c r="T875" s="300"/>
    </x:row>
    <x:row r="876">
      <x:c r="M876" s="300"/>
      <x:c r="T876" s="300"/>
    </x:row>
    <x:row r="877">
      <x:c r="M877" s="300"/>
      <x:c r="T877" s="300"/>
    </x:row>
    <x:row r="878">
      <x:c r="M878" s="300"/>
      <x:c r="T878" s="300"/>
    </x:row>
    <x:row r="879">
      <x:c r="M879" s="300"/>
      <x:c r="T879" s="300"/>
    </x:row>
    <x:row r="880">
      <x:c r="M880" s="300"/>
      <x:c r="T880" s="300"/>
    </x:row>
    <x:row r="881">
      <x:c r="M881" s="300"/>
      <x:c r="T881" s="300"/>
    </x:row>
    <x:row r="882">
      <x:c r="M882" s="300"/>
      <x:c r="T882" s="300"/>
    </x:row>
    <x:row r="883">
      <x:c r="M883" s="300"/>
      <x:c r="T883" s="300"/>
    </x:row>
    <x:row r="884">
      <x:c r="M884" s="300"/>
      <x:c r="T884" s="300"/>
    </x:row>
    <x:row r="885">
      <x:c r="M885" s="300"/>
      <x:c r="T885" s="300"/>
    </x:row>
    <x:row r="886">
      <x:c r="M886" s="300"/>
      <x:c r="T886" s="300"/>
    </x:row>
    <x:row r="887">
      <x:c r="M887" s="300"/>
      <x:c r="T887" s="300"/>
    </x:row>
    <x:row r="888">
      <x:c r="M888" s="300"/>
      <x:c r="T888" s="300"/>
    </x:row>
    <x:row r="889">
      <x:c r="M889" s="300"/>
      <x:c r="T889" s="300"/>
    </x:row>
    <x:row r="890">
      <x:c r="M890" s="300"/>
      <x:c r="T890" s="300"/>
    </x:row>
    <x:row r="891">
      <x:c r="M891" s="300"/>
      <x:c r="T891" s="300"/>
    </x:row>
    <x:row r="892">
      <x:c r="M892" s="300"/>
      <x:c r="T892" s="300"/>
    </x:row>
    <x:row r="893">
      <x:c r="M893" s="300"/>
      <x:c r="T893" s="300"/>
    </x:row>
    <x:row r="894">
      <x:c r="M894" s="300"/>
      <x:c r="T894" s="300"/>
    </x:row>
    <x:row r="895">
      <x:c r="M895" s="300"/>
      <x:c r="T895" s="300"/>
    </x:row>
    <x:row r="896">
      <x:c r="M896" s="300"/>
      <x:c r="T896" s="300"/>
    </x:row>
    <x:row r="897">
      <x:c r="M897" s="300"/>
      <x:c r="T897" s="300"/>
    </x:row>
    <x:row r="898">
      <x:c r="M898" s="300"/>
      <x:c r="T898" s="300"/>
    </x:row>
    <x:row r="899">
      <x:c r="M899" s="300"/>
      <x:c r="T899" s="300"/>
    </x:row>
    <x:row r="900">
      <x:c r="M900" s="300"/>
      <x:c r="T900" s="300"/>
    </x:row>
    <x:row r="901">
      <x:c r="M901" s="300"/>
      <x:c r="T901" s="300"/>
    </x:row>
    <x:row r="902">
      <x:c r="M902" s="300"/>
      <x:c r="T902" s="300"/>
    </x:row>
    <x:row r="903">
      <x:c r="M903" s="300"/>
      <x:c r="T903" s="300"/>
    </x:row>
    <x:row r="904">
      <x:c r="M904" s="300"/>
      <x:c r="T904" s="300"/>
    </x:row>
    <x:row r="905">
      <x:c r="M905" s="300"/>
      <x:c r="T905" s="300"/>
    </x:row>
    <x:row r="906">
      <x:c r="M906" s="300"/>
      <x:c r="T906" s="300"/>
    </x:row>
    <x:row r="907">
      <x:c r="M907" s="300"/>
      <x:c r="T907" s="300"/>
    </x:row>
    <x:row r="908">
      <x:c r="M908" s="300"/>
      <x:c r="T908" s="300"/>
    </x:row>
    <x:row r="909">
      <x:c r="M909" s="300"/>
      <x:c r="T909" s="300"/>
    </x:row>
    <x:row r="910">
      <x:c r="M910" s="300"/>
      <x:c r="T910" s="300"/>
    </x:row>
    <x:row r="911">
      <x:c r="M911" s="300"/>
      <x:c r="T911" s="300"/>
    </x:row>
    <x:row r="912">
      <x:c r="M912" s="300"/>
      <x:c r="T912" s="300"/>
    </x:row>
    <x:row r="913">
      <x:c r="M913" s="300"/>
      <x:c r="T913" s="300"/>
    </x:row>
    <x:row r="914">
      <x:c r="M914" s="300"/>
      <x:c r="T914" s="300"/>
    </x:row>
    <x:row r="915">
      <x:c r="M915" s="300"/>
      <x:c r="T915" s="300"/>
    </x:row>
    <x:row r="916">
      <x:c r="M916" s="300"/>
      <x:c r="T916" s="300"/>
    </x:row>
    <x:row r="917">
      <x:c r="M917" s="300"/>
      <x:c r="T917" s="300"/>
    </x:row>
    <x:row r="918">
      <x:c r="M918" s="300"/>
      <x:c r="T918" s="300"/>
    </x:row>
    <x:row r="919">
      <x:c r="M919" s="300"/>
      <x:c r="T919" s="300"/>
    </x:row>
    <x:row r="920">
      <x:c r="M920" s="300"/>
      <x:c r="T920" s="300"/>
    </x:row>
    <x:row r="921">
      <x:c r="M921" s="300"/>
      <x:c r="T921" s="300"/>
    </x:row>
    <x:row r="922">
      <x:c r="M922" s="300"/>
      <x:c r="T922" s="300"/>
    </x:row>
    <x:row r="923">
      <x:c r="M923" s="300"/>
      <x:c r="T923" s="300"/>
    </x:row>
    <x:row r="924">
      <x:c r="M924" s="300"/>
      <x:c r="T924" s="300"/>
    </x:row>
    <x:row r="925">
      <x:c r="M925" s="300"/>
      <x:c r="T925" s="300"/>
    </x:row>
    <x:row r="926">
      <x:c r="M926" s="300"/>
      <x:c r="T926" s="300"/>
    </x:row>
    <x:row r="927">
      <x:c r="M927" s="300"/>
      <x:c r="T927" s="300"/>
    </x:row>
    <x:row r="928">
      <x:c r="M928" s="300"/>
      <x:c r="T928" s="300"/>
    </x:row>
    <x:row r="929">
      <x:c r="M929" s="300"/>
      <x:c r="T929" s="300"/>
    </x:row>
    <x:row r="930">
      <x:c r="M930" s="300"/>
      <x:c r="T930" s="300"/>
    </x:row>
    <x:row r="931">
      <x:c r="M931" s="300"/>
      <x:c r="T931" s="300"/>
    </x:row>
    <x:row r="932">
      <x:c r="M932" s="300"/>
      <x:c r="T932" s="300"/>
    </x:row>
    <x:row r="933">
      <x:c r="M933" s="300"/>
      <x:c r="T933" s="300"/>
    </x:row>
    <x:row r="934">
      <x:c r="M934" s="300"/>
      <x:c r="T934" s="300"/>
    </x:row>
    <x:row r="935">
      <x:c r="M935" s="300"/>
      <x:c r="T935" s="300"/>
    </x:row>
    <x:row r="936">
      <x:c r="M936" s="300"/>
      <x:c r="T936" s="300"/>
    </x:row>
    <x:row r="937">
      <x:c r="M937" s="300"/>
      <x:c r="T937" s="300"/>
    </x:row>
    <x:row r="938">
      <x:c r="M938" s="300"/>
      <x:c r="T938" s="300"/>
    </x:row>
    <x:row r="939">
      <x:c r="M939" s="300"/>
      <x:c r="T939" s="300"/>
    </x:row>
    <x:row r="940">
      <x:c r="M940" s="300"/>
      <x:c r="T940" s="300"/>
    </x:row>
    <x:row r="941">
      <x:c r="M941" s="300"/>
      <x:c r="T941" s="300"/>
    </x:row>
    <x:row r="942">
      <x:c r="M942" s="300"/>
      <x:c r="T942" s="300"/>
    </x:row>
    <x:row r="943">
      <x:c r="M943" s="300"/>
      <x:c r="T943" s="300"/>
    </x:row>
    <x:row r="944">
      <x:c r="M944" s="300"/>
      <x:c r="T944" s="300"/>
    </x:row>
    <x:row r="945">
      <x:c r="M945" s="300"/>
      <x:c r="T945" s="300"/>
    </x:row>
    <x:row r="946">
      <x:c r="M946" s="300"/>
      <x:c r="T946" s="300"/>
    </x:row>
    <x:row r="947">
      <x:c r="M947" s="300"/>
      <x:c r="T947" s="300"/>
    </x:row>
    <x:row r="948">
      <x:c r="M948" s="300"/>
      <x:c r="T948" s="300"/>
    </x:row>
    <x:row r="949">
      <x:c r="M949" s="300"/>
      <x:c r="T949" s="300"/>
    </x:row>
    <x:row r="950">
      <x:c r="M950" s="300"/>
      <x:c r="T950" s="300"/>
    </x:row>
    <x:row r="951">
      <x:c r="M951" s="300"/>
      <x:c r="T951" s="300"/>
    </x:row>
    <x:row r="952">
      <x:c r="M952" s="300"/>
      <x:c r="T952" s="300"/>
    </x:row>
    <x:row r="953">
      <x:c r="M953" s="300"/>
      <x:c r="T953" s="300"/>
    </x:row>
    <x:row r="954">
      <x:c r="M954" s="300"/>
      <x:c r="T954" s="300"/>
    </x:row>
    <x:row r="955">
      <x:c r="M955" s="300"/>
      <x:c r="T955" s="300"/>
    </x:row>
    <x:row r="956">
      <x:c r="M956" s="300"/>
      <x:c r="T956" s="300"/>
    </x:row>
    <x:row r="957">
      <x:c r="M957" s="300"/>
      <x:c r="T957" s="300"/>
    </x:row>
    <x:row r="958">
      <x:c r="M958" s="300"/>
      <x:c r="T958" s="300"/>
    </x:row>
    <x:row r="959">
      <x:c r="M959" s="300"/>
      <x:c r="T959" s="300"/>
    </x:row>
    <x:row r="960">
      <x:c r="M960" s="300"/>
      <x:c r="T960" s="300"/>
    </x:row>
    <x:row r="961">
      <x:c r="M961" s="300"/>
      <x:c r="T961" s="300"/>
    </x:row>
    <x:row r="962">
      <x:c r="M962" s="300"/>
      <x:c r="T962" s="300"/>
    </x:row>
    <x:row r="963">
      <x:c r="M963" s="300"/>
      <x:c r="T963" s="300"/>
    </x:row>
    <x:row r="964">
      <x:c r="M964" s="300"/>
      <x:c r="T964" s="300"/>
    </x:row>
    <x:row r="965">
      <x:c r="M965" s="300"/>
      <x:c r="T965" s="300"/>
    </x:row>
    <x:row r="966">
      <x:c r="M966" s="300"/>
      <x:c r="T966" s="300"/>
    </x:row>
    <x:row r="967">
      <x:c r="M967" s="300"/>
      <x:c r="T967" s="300"/>
    </x:row>
    <x:row r="968">
      <x:c r="M968" s="300"/>
      <x:c r="T968" s="300"/>
    </x:row>
    <x:row r="969">
      <x:c r="M969" s="300"/>
      <x:c r="T969" s="300"/>
    </x:row>
    <x:row r="970">
      <x:c r="M970" s="300"/>
      <x:c r="T970" s="300"/>
    </x:row>
    <x:row r="971">
      <x:c r="M971" s="300"/>
      <x:c r="T971" s="300"/>
    </x:row>
    <x:row r="972">
      <x:c r="M972" s="300"/>
      <x:c r="T972" s="300"/>
    </x:row>
    <x:row r="973">
      <x:c r="M973" s="300"/>
      <x:c r="T973" s="300"/>
    </x:row>
    <x:row r="974">
      <x:c r="M974" s="300"/>
      <x:c r="T974" s="300"/>
    </x:row>
    <x:row r="975">
      <x:c r="M975" s="300"/>
      <x:c r="T975" s="300"/>
    </x:row>
    <x:row r="976">
      <x:c r="M976" s="300"/>
      <x:c r="T976" s="300"/>
    </x:row>
    <x:row r="977">
      <x:c r="M977" s="300"/>
      <x:c r="T977" s="300"/>
    </x:row>
    <x:row r="978">
      <x:c r="M978" s="300"/>
      <x:c r="T978" s="300"/>
    </x:row>
    <x:row r="979">
      <x:c r="M979" s="300"/>
      <x:c r="T979" s="300"/>
    </x:row>
    <x:row r="980">
      <x:c r="M980" s="300"/>
      <x:c r="T980" s="300"/>
    </x:row>
    <x:row r="981">
      <x:c r="M981" s="300"/>
      <x:c r="T981" s="300"/>
    </x:row>
    <x:row r="982">
      <x:c r="M982" s="300"/>
      <x:c r="T982" s="300"/>
    </x:row>
    <x:row r="983">
      <x:c r="M983" s="300"/>
      <x:c r="T983" s="300"/>
    </x:row>
    <x:row r="984">
      <x:c r="M984" s="300"/>
      <x:c r="T984" s="300"/>
    </x:row>
    <x:row r="985">
      <x:c r="M985" s="300"/>
      <x:c r="T985" s="300"/>
    </x:row>
    <x:row r="986">
      <x:c r="M986" s="300"/>
      <x:c r="T986" s="300"/>
    </x:row>
    <x:row r="987">
      <x:c r="M987" s="300"/>
      <x:c r="T987" s="300"/>
    </x:row>
    <x:row r="988">
      <x:c r="M988" s="300"/>
      <x:c r="T988" s="300"/>
    </x:row>
    <x:row r="989">
      <x:c r="M989" s="300"/>
      <x:c r="T989" s="300"/>
    </x:row>
    <x:row r="990">
      <x:c r="M990" s="300"/>
      <x:c r="T990" s="300"/>
    </x:row>
    <x:row r="991">
      <x:c r="M991" s="300"/>
      <x:c r="T991" s="300"/>
    </x:row>
    <x:row r="992">
      <x:c r="M992" s="300"/>
      <x:c r="T992" s="300"/>
    </x:row>
    <x:row r="993">
      <x:c r="M993" s="300"/>
      <x:c r="T993" s="300"/>
    </x:row>
    <x:row r="994">
      <x:c r="M994" s="300"/>
      <x:c r="T994" s="300"/>
    </x:row>
    <x:row r="995">
      <x:c r="M995" s="300"/>
      <x:c r="T995" s="300"/>
    </x:row>
    <x:row r="996">
      <x:c r="M996" s="300"/>
      <x:c r="T996" s="300"/>
    </x:row>
    <x:row r="997">
      <x:c r="M997" s="300"/>
      <x:c r="T997" s="300"/>
    </x:row>
    <x:row r="998">
      <x:c r="M998" s="300"/>
      <x:c r="T998" s="300"/>
    </x:row>
    <x:row r="999">
      <x:c r="M999" s="300"/>
      <x:c r="T999" s="300"/>
    </x:row>
    <x:row r="1000">
      <x:c r="M1000" s="300"/>
      <x:c r="T1000" s="300"/>
    </x:row>
    <x:row r="1001">
      <x:c r="M1001" s="300"/>
      <x:c r="T1001" s="300"/>
    </x:row>
    <x:row r="1002">
      <x:c r="M1002" s="300"/>
      <x:c r="T1002" s="300"/>
    </x:row>
    <x:row r="1003">
      <x:c r="M1003" s="300"/>
      <x:c r="T1003" s="300"/>
    </x:row>
    <x:row r="1004">
      <x:c r="M1004" s="300"/>
      <x:c r="T1004" s="300"/>
    </x:row>
    <x:row r="1005">
      <x:c r="M1005" s="300"/>
      <x:c r="T1005" s="300"/>
    </x:row>
    <x:row r="1006">
      <x:c r="M1006" s="300"/>
      <x:c r="T1006" s="300"/>
    </x:row>
    <x:row r="1007">
      <x:c r="M1007" s="300"/>
      <x:c r="T1007" s="300"/>
    </x:row>
    <x:row r="1008">
      <x:c r="M1008" s="300"/>
      <x:c r="T1008" s="300"/>
    </x:row>
    <x:row r="1009">
      <x:c r="M1009" s="300"/>
      <x:c r="T1009" s="300"/>
    </x:row>
    <x:row r="1010">
      <x:c r="M1010" s="300"/>
      <x:c r="T1010" s="300"/>
    </x:row>
    <x:row r="1011">
      <x:c r="M1011" s="300"/>
      <x:c r="T1011" s="300"/>
    </x:row>
    <x:row r="1012">
      <x:c r="M1012" s="300"/>
      <x:c r="T1012" s="300"/>
    </x:row>
    <x:row r="1013">
      <x:c r="M1013" s="300"/>
      <x:c r="T1013" s="300"/>
    </x:row>
    <x:row r="1014">
      <x:c r="M1014" s="300"/>
      <x:c r="T1014" s="300"/>
    </x:row>
    <x:row r="1015">
      <x:c r="M1015" s="300"/>
      <x:c r="T1015" s="300"/>
    </x:row>
    <x:row r="1016">
      <x:c r="M1016" s="300"/>
      <x:c r="T1016" s="300"/>
    </x:row>
    <x:row r="1017">
      <x:c r="M1017" s="300"/>
      <x:c r="T1017" s="300"/>
    </x:row>
    <x:row r="1018">
      <x:c r="M1018" s="300"/>
      <x:c r="T1018" s="300"/>
    </x:row>
    <x:row r="1019">
      <x:c r="M1019" s="300"/>
      <x:c r="T1019" s="300"/>
    </x:row>
    <x:row r="1020">
      <x:c r="M1020" s="300"/>
      <x:c r="T1020" s="300"/>
    </x:row>
    <x:row r="1021">
      <x:c r="M1021" s="300"/>
      <x:c r="T1021" s="300"/>
    </x:row>
    <x:row r="1022">
      <x:c r="M1022" s="300"/>
      <x:c r="T1022" s="300"/>
    </x:row>
    <x:row r="1023">
      <x:c r="M1023" s="300"/>
      <x:c r="T1023" s="300"/>
    </x:row>
    <x:row r="1024">
      <x:c r="M1024" s="300"/>
      <x:c r="T1024" s="300"/>
    </x:row>
    <x:row r="1025">
      <x:c r="M1025" s="300"/>
      <x:c r="T1025" s="300"/>
    </x:row>
    <x:row r="1026">
      <x:c r="M1026" s="300"/>
      <x:c r="T1026" s="300"/>
    </x:row>
    <x:row r="1027">
      <x:c r="M1027" s="300"/>
      <x:c r="T1027" s="300"/>
    </x:row>
    <x:row r="1028">
      <x:c r="M1028" s="300"/>
      <x:c r="T1028" s="300"/>
    </x:row>
    <x:row r="1029">
      <x:c r="M1029" s="300"/>
      <x:c r="T1029" s="300"/>
    </x:row>
    <x:row r="1030">
      <x:c r="M1030" s="300"/>
      <x:c r="T1030" s="300"/>
    </x:row>
    <x:row r="1031">
      <x:c r="M1031" s="300"/>
      <x:c r="T1031" s="300"/>
    </x:row>
    <x:row r="1032">
      <x:c r="M1032" s="300"/>
      <x:c r="T1032" s="300"/>
    </x:row>
    <x:row r="1033">
      <x:c r="M1033" s="300"/>
      <x:c r="T1033" s="300"/>
    </x:row>
    <x:row r="1034">
      <x:c r="M1034" s="300"/>
      <x:c r="T1034" s="300"/>
    </x:row>
    <x:row r="1035">
      <x:c r="M1035" s="300"/>
      <x:c r="T1035" s="300"/>
    </x:row>
    <x:row r="1036">
      <x:c r="M1036" s="300"/>
      <x:c r="T1036" s="300"/>
    </x:row>
    <x:row r="1037">
      <x:c r="M1037" s="300"/>
      <x:c r="T1037" s="300"/>
    </x:row>
    <x:row r="1038">
      <x:c r="M1038" s="300"/>
      <x:c r="T1038" s="300"/>
    </x:row>
    <x:row r="1039">
      <x:c r="M1039" s="300"/>
      <x:c r="T1039" s="300"/>
    </x:row>
    <x:row r="1040">
      <x:c r="M1040" s="300"/>
      <x:c r="T1040" s="300"/>
    </x:row>
    <x:row r="1041">
      <x:c r="M1041" s="300"/>
      <x:c r="T1041" s="300"/>
    </x:row>
    <x:row r="1042">
      <x:c r="M1042" s="300"/>
      <x:c r="T1042" s="300"/>
    </x:row>
    <x:row r="1043">
      <x:c r="M1043" s="300"/>
      <x:c r="T1043" s="300"/>
    </x:row>
    <x:row r="1044">
      <x:c r="M1044" s="300"/>
      <x:c r="T1044" s="300"/>
    </x:row>
    <x:row r="1045">
      <x:c r="M1045" s="300"/>
      <x:c r="T1045" s="300"/>
    </x:row>
    <x:row r="1046">
      <x:c r="M1046" s="300"/>
      <x:c r="T1046" s="300"/>
    </x:row>
    <x:row r="1047">
      <x:c r="M1047" s="300"/>
      <x:c r="T1047" s="300"/>
    </x:row>
    <x:row r="1048">
      <x:c r="M1048" s="300"/>
      <x:c r="T1048" s="300"/>
    </x:row>
    <x:row r="1049">
      <x:c r="M1049" s="300"/>
      <x:c r="T1049" s="300"/>
    </x:row>
    <x:row r="1050">
      <x:c r="M1050" s="300"/>
      <x:c r="T1050" s="300"/>
    </x:row>
    <x:row r="1051">
      <x:c r="M1051" s="300"/>
      <x:c r="T1051" s="300"/>
    </x:row>
    <x:row r="1052">
      <x:c r="M1052" s="300"/>
      <x:c r="T1052" s="300"/>
    </x:row>
    <x:row r="1053">
      <x:c r="M1053" s="300"/>
      <x:c r="T1053" s="300"/>
    </x:row>
    <x:row r="1054">
      <x:c r="M1054" s="300"/>
      <x:c r="T1054" s="300"/>
    </x:row>
    <x:row r="1055">
      <x:c r="M1055" s="300"/>
      <x:c r="T1055" s="300"/>
    </x:row>
    <x:row r="1056">
      <x:c r="M1056" s="300"/>
      <x:c r="T1056" s="300"/>
    </x:row>
    <x:row r="1057">
      <x:c r="M1057" s="300"/>
      <x:c r="T1057" s="300"/>
    </x:row>
    <x:row r="1058">
      <x:c r="M1058" s="300"/>
      <x:c r="T1058" s="300"/>
    </x:row>
    <x:row r="1059">
      <x:c r="M1059" s="300"/>
      <x:c r="T1059" s="300"/>
    </x:row>
    <x:row r="1060">
      <x:c r="M1060" s="300"/>
      <x:c r="T1060" s="300"/>
    </x:row>
    <x:row r="1061">
      <x:c r="M1061" s="300"/>
      <x:c r="T1061" s="300"/>
    </x:row>
    <x:row r="1062">
      <x:c r="M1062" s="300"/>
      <x:c r="T1062" s="300"/>
    </x:row>
    <x:row r="1063">
      <x:c r="M1063" s="300"/>
      <x:c r="T1063" s="300"/>
    </x:row>
    <x:row r="1064">
      <x:c r="M1064" s="300"/>
      <x:c r="T1064" s="300"/>
    </x:row>
    <x:row r="1065">
      <x:c r="M1065" s="300"/>
      <x:c r="T1065" s="300"/>
    </x:row>
    <x:row r="1066">
      <x:c r="M1066" s="300"/>
      <x:c r="T1066" s="300"/>
    </x:row>
    <x:row r="1067">
      <x:c r="M1067" s="300"/>
      <x:c r="T1067" s="300"/>
    </x:row>
    <x:row r="1068">
      <x:c r="M1068" s="300"/>
      <x:c r="T1068" s="300"/>
    </x:row>
    <x:row r="1069">
      <x:c r="M1069" s="300"/>
      <x:c r="T1069" s="300"/>
    </x:row>
    <x:row r="1070">
      <x:c r="M1070" s="300"/>
      <x:c r="T1070" s="300"/>
    </x:row>
    <x:row r="1071">
      <x:c r="M1071" s="300"/>
      <x:c r="T1071" s="300"/>
    </x:row>
    <x:row r="1072">
      <x:c r="M1072" s="300"/>
      <x:c r="T1072" s="300"/>
    </x:row>
    <x:row r="1073">
      <x:c r="M1073" s="300"/>
      <x:c r="T1073" s="300"/>
    </x:row>
    <x:row r="1074">
      <x:c r="M1074" s="300"/>
      <x:c r="T1074" s="300"/>
    </x:row>
    <x:row r="1075">
      <x:c r="M1075" s="300"/>
      <x:c r="T1075" s="300"/>
    </x:row>
    <x:row r="1076">
      <x:c r="M1076" s="300"/>
      <x:c r="T1076" s="300"/>
    </x:row>
    <x:row r="1077">
      <x:c r="M1077" s="300"/>
      <x:c r="T1077" s="300"/>
    </x:row>
    <x:row r="1078">
      <x:c r="M1078" s="300"/>
      <x:c r="T1078" s="300"/>
    </x:row>
    <x:row r="1079">
      <x:c r="M1079" s="300"/>
      <x:c r="T1079" s="300"/>
    </x:row>
    <x:row r="1080">
      <x:c r="M1080" s="300"/>
      <x:c r="T1080" s="300"/>
    </x:row>
    <x:row r="1081">
      <x:c r="M1081" s="300"/>
      <x:c r="T1081" s="300"/>
    </x:row>
    <x:row r="1082">
      <x:c r="M1082" s="300"/>
      <x:c r="T1082" s="300"/>
    </x:row>
    <x:row r="1083">
      <x:c r="M1083" s="300"/>
      <x:c r="T1083" s="300"/>
    </x:row>
    <x:row r="1084">
      <x:c r="M1084" s="300"/>
      <x:c r="T1084" s="300"/>
    </x:row>
    <x:row r="1085">
      <x:c r="M1085" s="300"/>
      <x:c r="T1085" s="300"/>
    </x:row>
    <x:row r="1086">
      <x:c r="M1086" s="300"/>
      <x:c r="T1086" s="300"/>
    </x:row>
    <x:row r="1087">
      <x:c r="M1087" s="300"/>
      <x:c r="T1087" s="300"/>
    </x:row>
    <x:row r="1088">
      <x:c r="M1088" s="300"/>
      <x:c r="T1088" s="300"/>
    </x:row>
    <x:row r="1089">
      <x:c r="M1089" s="300"/>
      <x:c r="T1089" s="300"/>
    </x:row>
    <x:row r="1090">
      <x:c r="M1090" s="300"/>
      <x:c r="T1090" s="300"/>
    </x:row>
    <x:row r="1091">
      <x:c r="M1091" s="300"/>
      <x:c r="T1091" s="300"/>
    </x:row>
    <x:row r="1092">
      <x:c r="M1092" s="300"/>
      <x:c r="T1092" s="300"/>
    </x:row>
    <x:row r="1093">
      <x:c r="M1093" s="300"/>
      <x:c r="T1093" s="300"/>
    </x:row>
    <x:row r="1094">
      <x:c r="M1094" s="300"/>
      <x:c r="T1094" s="300"/>
    </x:row>
    <x:row r="1095">
      <x:c r="M1095" s="300"/>
      <x:c r="T1095" s="300"/>
    </x:row>
    <x:row r="1096">
      <x:c r="M1096" s="300"/>
      <x:c r="T1096" s="300"/>
    </x:row>
    <x:row r="1097">
      <x:c r="M1097" s="300"/>
      <x:c r="T1097" s="300"/>
    </x:row>
    <x:row r="1098">
      <x:c r="M1098" s="300"/>
      <x:c r="T1098" s="300"/>
    </x:row>
    <x:row r="1099">
      <x:c r="M1099" s="300"/>
      <x:c r="T1099" s="300"/>
    </x:row>
    <x:row r="1100">
      <x:c r="M1100" s="300"/>
      <x:c r="T1100" s="300"/>
    </x:row>
    <x:row r="1101">
      <x:c r="M1101" s="300"/>
      <x:c r="T1101" s="300"/>
    </x:row>
    <x:row r="1102">
      <x:c r="M1102" s="300"/>
      <x:c r="T1102" s="300"/>
    </x:row>
    <x:row r="1103">
      <x:c r="M1103" s="300"/>
      <x:c r="T1103" s="300"/>
    </x:row>
    <x:row r="1104">
      <x:c r="M1104" s="300"/>
      <x:c r="T1104" s="300"/>
    </x:row>
    <x:row r="1105">
      <x:c r="M1105" s="300"/>
      <x:c r="T1105" s="300"/>
    </x:row>
    <x:row r="1106">
      <x:c r="M1106" s="300"/>
      <x:c r="T1106" s="300"/>
    </x:row>
    <x:row r="1107">
      <x:c r="M1107" s="300"/>
      <x:c r="T1107" s="300"/>
    </x:row>
    <x:row r="1108">
      <x:c r="M1108" s="300"/>
      <x:c r="T1108" s="300"/>
    </x:row>
    <x:row r="1109">
      <x:c r="M1109" s="300"/>
      <x:c r="T1109" s="300"/>
    </x:row>
    <x:row r="1110">
      <x:c r="M1110" s="300"/>
      <x:c r="T1110" s="300"/>
    </x:row>
    <x:row r="1111">
      <x:c r="M1111" s="300"/>
      <x:c r="T1111" s="300"/>
    </x:row>
    <x:row r="1112">
      <x:c r="M1112" s="300"/>
      <x:c r="T1112" s="300"/>
    </x:row>
    <x:row r="1113">
      <x:c r="M1113" s="300"/>
      <x:c r="T1113" s="300"/>
    </x:row>
    <x:row r="1114">
      <x:c r="M1114" s="300"/>
      <x:c r="T1114" s="300"/>
    </x:row>
    <x:row r="1115">
      <x:c r="M1115" s="300"/>
      <x:c r="T1115" s="300"/>
    </x:row>
    <x:row r="1116">
      <x:c r="M1116" s="300"/>
      <x:c r="T1116" s="300"/>
    </x:row>
    <x:row r="1117">
      <x:c r="M1117" s="300"/>
      <x:c r="T1117" s="300"/>
    </x:row>
    <x:row r="1118">
      <x:c r="M1118" s="300"/>
      <x:c r="T1118" s="300"/>
    </x:row>
    <x:row r="1119">
      <x:c r="M1119" s="300"/>
      <x:c r="T1119" s="300"/>
    </x:row>
    <x:row r="1120">
      <x:c r="M1120" s="300"/>
      <x:c r="T1120" s="300"/>
    </x:row>
    <x:row r="1121">
      <x:c r="M1121" s="300"/>
      <x:c r="T1121" s="300"/>
    </x:row>
    <x:row r="1122">
      <x:c r="M1122" s="300"/>
      <x:c r="T1122" s="300"/>
    </x:row>
    <x:row r="1123">
      <x:c r="M1123" s="300"/>
      <x:c r="T1123" s="300"/>
    </x:row>
    <x:row r="1124">
      <x:c r="M1124" s="300"/>
      <x:c r="T1124" s="300"/>
    </x:row>
    <x:row r="1125">
      <x:c r="M1125" s="300"/>
      <x:c r="T1125" s="300"/>
    </x:row>
    <x:row r="1126">
      <x:c r="M1126" s="300"/>
      <x:c r="T1126" s="300"/>
    </x:row>
    <x:row r="1127">
      <x:c r="M1127" s="300"/>
      <x:c r="T1127" s="300"/>
    </x:row>
    <x:row r="1128">
      <x:c r="M1128" s="300"/>
      <x:c r="T1128" s="300"/>
    </x:row>
    <x:row r="1129">
      <x:c r="M1129" s="300"/>
      <x:c r="T1129" s="300"/>
    </x:row>
    <x:row r="1130">
      <x:c r="M1130" s="300"/>
      <x:c r="T1130" s="300"/>
    </x:row>
    <x:row r="1131">
      <x:c r="M1131" s="300"/>
      <x:c r="T1131" s="300"/>
    </x:row>
    <x:row r="1132">
      <x:c r="M1132" s="300"/>
      <x:c r="T1132" s="300"/>
    </x:row>
    <x:row r="1133">
      <x:c r="M1133" s="300"/>
      <x:c r="T1133" s="300"/>
    </x:row>
    <x:row r="1134">
      <x:c r="M1134" s="300"/>
      <x:c r="T1134" s="300"/>
    </x:row>
    <x:row r="1135">
      <x:c r="M1135" s="300"/>
      <x:c r="T1135" s="300"/>
    </x:row>
    <x:row r="1136">
      <x:c r="M1136" s="300"/>
      <x:c r="T1136" s="300"/>
    </x:row>
    <x:row r="1137">
      <x:c r="M1137" s="300"/>
      <x:c r="T1137" s="300"/>
    </x:row>
    <x:row r="1138">
      <x:c r="M1138" s="300"/>
      <x:c r="T1138" s="300"/>
    </x:row>
    <x:row r="1139">
      <x:c r="M1139" s="300"/>
      <x:c r="T1139" s="300"/>
    </x:row>
    <x:row r="1140">
      <x:c r="M1140" s="300"/>
      <x:c r="T1140" s="300"/>
    </x:row>
    <x:row r="1141">
      <x:c r="M1141" s="300"/>
      <x:c r="T1141" s="300"/>
    </x:row>
    <x:row r="1142">
      <x:c r="M1142" s="300"/>
      <x:c r="T1142" s="300"/>
    </x:row>
    <x:row r="1143">
      <x:c r="M1143" s="300"/>
      <x:c r="T1143" s="300"/>
    </x:row>
    <x:row r="1144">
      <x:c r="M1144" s="300"/>
      <x:c r="T1144" s="300"/>
    </x:row>
    <x:row r="1145">
      <x:c r="M1145" s="300"/>
      <x:c r="T1145" s="300"/>
    </x:row>
    <x:row r="1146">
      <x:c r="M1146" s="300"/>
      <x:c r="T1146" s="300"/>
    </x:row>
    <x:row r="1147">
      <x:c r="M1147" s="300"/>
      <x:c r="T1147" s="300"/>
    </x:row>
    <x:row r="1148">
      <x:c r="M1148" s="300"/>
      <x:c r="T1148" s="300"/>
    </x:row>
    <x:row r="1149">
      <x:c r="M1149" s="300"/>
      <x:c r="T1149" s="300"/>
    </x:row>
    <x:row r="1150">
      <x:c r="M1150" s="300"/>
      <x:c r="T1150" s="300"/>
    </x:row>
    <x:row r="1151">
      <x:c r="M1151" s="300"/>
      <x:c r="T1151" s="300"/>
    </x:row>
    <x:row r="1152">
      <x:c r="M1152" s="300"/>
      <x:c r="T1152" s="300"/>
    </x:row>
    <x:row r="1153">
      <x:c r="M1153" s="300"/>
      <x:c r="T1153" s="300"/>
    </x:row>
    <x:row r="1154">
      <x:c r="M1154" s="300"/>
      <x:c r="T1154" s="300"/>
    </x:row>
    <x:row r="1155">
      <x:c r="M1155" s="300"/>
      <x:c r="T1155" s="300"/>
    </x:row>
    <x:row r="1156">
      <x:c r="M1156" s="300"/>
      <x:c r="T1156" s="300"/>
    </x:row>
    <x:row r="1157">
      <x:c r="M1157" s="300"/>
      <x:c r="T1157" s="300"/>
    </x:row>
    <x:row r="1158">
      <x:c r="M1158" s="300"/>
      <x:c r="T1158" s="300"/>
    </x:row>
    <x:row r="1159">
      <x:c r="M1159" s="300"/>
      <x:c r="T1159" s="300"/>
    </x:row>
    <x:row r="1160">
      <x:c r="M1160" s="300"/>
      <x:c r="T1160" s="300"/>
    </x:row>
    <x:row r="1161">
      <x:c r="M1161" s="300"/>
      <x:c r="T1161" s="300"/>
    </x:row>
    <x:row r="1162">
      <x:c r="M1162" s="300"/>
      <x:c r="T1162" s="300"/>
    </x:row>
    <x:row r="1163">
      <x:c r="M1163" s="300"/>
      <x:c r="T1163" s="300"/>
    </x:row>
    <x:row r="1164">
      <x:c r="M1164" s="300"/>
      <x:c r="T1164" s="300"/>
    </x:row>
    <x:row r="1165">
      <x:c r="M1165" s="300"/>
      <x:c r="T1165" s="300"/>
    </x:row>
    <x:row r="1166">
      <x:c r="M1166" s="300"/>
      <x:c r="T1166" s="300"/>
    </x:row>
    <x:row r="1167">
      <x:c r="M1167" s="300"/>
      <x:c r="T1167" s="300"/>
    </x:row>
    <x:row r="1168">
      <x:c r="M1168" s="300"/>
      <x:c r="T1168" s="300"/>
    </x:row>
    <x:row r="1169">
      <x:c r="M1169" s="300"/>
      <x:c r="T1169" s="300"/>
    </x:row>
    <x:row r="1170">
      <x:c r="M1170" s="300"/>
      <x:c r="T1170" s="300"/>
    </x:row>
    <x:row r="1171">
      <x:c r="M1171" s="300"/>
      <x:c r="T1171" s="300"/>
    </x:row>
    <x:row r="1172">
      <x:c r="M1172" s="300"/>
      <x:c r="T1172" s="300"/>
    </x:row>
    <x:row r="1173">
      <x:c r="M1173" s="300"/>
      <x:c r="T1173" s="300"/>
    </x:row>
    <x:row r="1174">
      <x:c r="M1174" s="300"/>
      <x:c r="T1174" s="300"/>
    </x:row>
    <x:row r="1175">
      <x:c r="M1175" s="300"/>
      <x:c r="T1175" s="300"/>
    </x:row>
    <x:row r="1176">
      <x:c r="M1176" s="300"/>
      <x:c r="T1176" s="300"/>
    </x:row>
    <x:row r="1177">
      <x:c r="M1177" s="300"/>
      <x:c r="T1177" s="300"/>
    </x:row>
    <x:row r="1178">
      <x:c r="M1178" s="300"/>
      <x:c r="T1178" s="300"/>
    </x:row>
    <x:row r="1179">
      <x:c r="M1179" s="300"/>
      <x:c r="T1179" s="300"/>
    </x:row>
    <x:row r="1180">
      <x:c r="M1180" s="300"/>
      <x:c r="T1180" s="300"/>
    </x:row>
    <x:row r="1181">
      <x:c r="M1181" s="300"/>
      <x:c r="T1181" s="300"/>
    </x:row>
    <x:row r="1182">
      <x:c r="M1182" s="300"/>
      <x:c r="T1182" s="300"/>
    </x:row>
    <x:row r="1183">
      <x:c r="M1183" s="300"/>
      <x:c r="T1183" s="300"/>
    </x:row>
    <x:row r="1184">
      <x:c r="M1184" s="300"/>
      <x:c r="T1184" s="300"/>
    </x:row>
    <x:row r="1185">
      <x:c r="M1185" s="300"/>
      <x:c r="T1185" s="300"/>
    </x:row>
    <x:row r="1186">
      <x:c r="M1186" s="300"/>
      <x:c r="T1186" s="300"/>
    </x:row>
    <x:row r="1187">
      <x:c r="M1187" s="300"/>
      <x:c r="T1187" s="300"/>
    </x:row>
    <x:row r="1188">
      <x:c r="M1188" s="300"/>
      <x:c r="T1188" s="300"/>
    </x:row>
    <x:row r="1189">
      <x:c r="M1189" s="300"/>
      <x:c r="T1189" s="300"/>
    </x:row>
    <x:row r="1190">
      <x:c r="M1190" s="300"/>
      <x:c r="T1190" s="300"/>
    </x:row>
    <x:row r="1191">
      <x:c r="M1191" s="300"/>
      <x:c r="T1191" s="300"/>
    </x:row>
    <x:row r="1192">
      <x:c r="M1192" s="300"/>
      <x:c r="T1192" s="300"/>
    </x:row>
    <x:row r="1193">
      <x:c r="M1193" s="300"/>
      <x:c r="T1193" s="300"/>
    </x:row>
    <x:row r="1194">
      <x:c r="M1194" s="300"/>
      <x:c r="T1194" s="300"/>
    </x:row>
    <x:row r="1195">
      <x:c r="M1195" s="300"/>
      <x:c r="T1195" s="300"/>
    </x:row>
    <x:row r="1196">
      <x:c r="M1196" s="300"/>
      <x:c r="T1196" s="300"/>
    </x:row>
    <x:row r="1197">
      <x:c r="M1197" s="300"/>
      <x:c r="T1197" s="300"/>
    </x:row>
    <x:row r="1198">
      <x:c r="M1198" s="300"/>
      <x:c r="T1198" s="300"/>
    </x:row>
    <x:row r="1199">
      <x:c r="M1199" s="300"/>
      <x:c r="T1199" s="300"/>
    </x:row>
    <x:row r="1200">
      <x:c r="M1200" s="300"/>
      <x:c r="T1200" s="300"/>
    </x:row>
    <x:row r="1201">
      <x:c r="M1201" s="300"/>
      <x:c r="T1201" s="300"/>
    </x:row>
    <x:row r="1202">
      <x:c r="M1202" s="300"/>
      <x:c r="T1202" s="300"/>
    </x:row>
    <x:row r="1203">
      <x:c r="M1203" s="300"/>
      <x:c r="T1203" s="300"/>
    </x:row>
    <x:row r="1204">
      <x:c r="M1204" s="300"/>
      <x:c r="T1204" s="300"/>
    </x:row>
    <x:row r="1205">
      <x:c r="M1205" s="300"/>
      <x:c r="T1205" s="300"/>
    </x:row>
    <x:row r="1206">
      <x:c r="M1206" s="300"/>
      <x:c r="T1206" s="300"/>
    </x:row>
    <x:row r="1207">
      <x:c r="M1207" s="300"/>
      <x:c r="T1207" s="300"/>
    </x:row>
    <x:row r="1208">
      <x:c r="M1208" s="300"/>
      <x:c r="T1208" s="300"/>
    </x:row>
    <x:row r="1209">
      <x:c r="M1209" s="300"/>
      <x:c r="T1209" s="300"/>
    </x:row>
    <x:row r="1210">
      <x:c r="M1210" s="300"/>
      <x:c r="T1210" s="300"/>
    </x:row>
    <x:row r="1211">
      <x:c r="M1211" s="300"/>
      <x:c r="T1211" s="300"/>
    </x:row>
    <x:row r="1212">
      <x:c r="M1212" s="300"/>
      <x:c r="T1212" s="300"/>
    </x:row>
    <x:row r="1213">
      <x:c r="M1213" s="300"/>
      <x:c r="T1213" s="300"/>
    </x:row>
    <x:row r="1214">
      <x:c r="M1214" s="300"/>
      <x:c r="T1214" s="300"/>
    </x:row>
    <x:row r="1215">
      <x:c r="M1215" s="300"/>
      <x:c r="T1215" s="300"/>
    </x:row>
    <x:row r="1216">
      <x:c r="M1216" s="300"/>
      <x:c r="T1216" s="300"/>
    </x:row>
    <x:row r="1217">
      <x:c r="M1217" s="300"/>
      <x:c r="T1217" s="300"/>
    </x:row>
    <x:row r="1218">
      <x:c r="M1218" s="300"/>
      <x:c r="T1218" s="300"/>
    </x:row>
    <x:row r="1219">
      <x:c r="M1219" s="300"/>
      <x:c r="T1219" s="300"/>
    </x:row>
    <x:row r="1220">
      <x:c r="M1220" s="300"/>
      <x:c r="T1220" s="300"/>
    </x:row>
    <x:row r="1221">
      <x:c r="M1221" s="300"/>
      <x:c r="T1221" s="300"/>
    </x:row>
    <x:row r="1222">
      <x:c r="M1222" s="300"/>
      <x:c r="T1222" s="300"/>
    </x:row>
    <x:row r="1223">
      <x:c r="M1223" s="300"/>
      <x:c r="T1223" s="300"/>
    </x:row>
    <x:row r="1224">
      <x:c r="M1224" s="300"/>
      <x:c r="T1224" s="300"/>
    </x:row>
    <x:row r="1225">
      <x:c r="M1225" s="300"/>
      <x:c r="T1225" s="300"/>
    </x:row>
    <x:row r="1226">
      <x:c r="M1226" s="300"/>
      <x:c r="T1226" s="300"/>
    </x:row>
    <x:row r="1227">
      <x:c r="M1227" s="300"/>
      <x:c r="T1227" s="300"/>
    </x:row>
    <x:row r="1228">
      <x:c r="M1228" s="300"/>
      <x:c r="T1228" s="300"/>
    </x:row>
    <x:row r="1229">
      <x:c r="M1229" s="300"/>
      <x:c r="T1229" s="300"/>
    </x:row>
    <x:row r="1230">
      <x:c r="M1230" s="300"/>
      <x:c r="T1230" s="300"/>
    </x:row>
    <x:row r="1231">
      <x:c r="M1231" s="300"/>
      <x:c r="T1231" s="300"/>
    </x:row>
    <x:row r="1232">
      <x:c r="M1232" s="300"/>
      <x:c r="T1232" s="300"/>
    </x:row>
    <x:row r="1233">
      <x:c r="M1233" s="300"/>
      <x:c r="T1233" s="300"/>
    </x:row>
    <x:row r="1234">
      <x:c r="M1234" s="300"/>
      <x:c r="T1234" s="300"/>
    </x:row>
    <x:row r="1235">
      <x:c r="M1235" s="300"/>
      <x:c r="T1235" s="300"/>
    </x:row>
    <x:row r="1236">
      <x:c r="M1236" s="300"/>
      <x:c r="T1236" s="300"/>
    </x:row>
    <x:row r="1237">
      <x:c r="M1237" s="300"/>
      <x:c r="T1237" s="300"/>
    </x:row>
    <x:row r="1238">
      <x:c r="M1238" s="300"/>
      <x:c r="T1238" s="300"/>
    </x:row>
    <x:row r="1239">
      <x:c r="M1239" s="300"/>
      <x:c r="T1239" s="300"/>
    </x:row>
    <x:row r="1240">
      <x:c r="M1240" s="300"/>
      <x:c r="T1240" s="300"/>
    </x:row>
    <x:row r="1241">
      <x:c r="M1241" s="300"/>
      <x:c r="T1241" s="300"/>
    </x:row>
    <x:row r="1242">
      <x:c r="M1242" s="300"/>
      <x:c r="T1242" s="300"/>
    </x:row>
    <x:row r="1243">
      <x:c r="M1243" s="300"/>
      <x:c r="T1243" s="300"/>
    </x:row>
    <x:row r="1244">
      <x:c r="M1244" s="300"/>
      <x:c r="T1244" s="300"/>
    </x:row>
    <x:row r="1245">
      <x:c r="M1245" s="300"/>
      <x:c r="T1245" s="300"/>
    </x:row>
    <x:row r="1246">
      <x:c r="M1246" s="300"/>
      <x:c r="T1246" s="300"/>
    </x:row>
    <x:row r="1247">
      <x:c r="M1247" s="300"/>
      <x:c r="T1247" s="300"/>
    </x:row>
    <x:row r="1248">
      <x:c r="M1248" s="300"/>
      <x:c r="T1248" s="300"/>
    </x:row>
    <x:row r="1249">
      <x:c r="M1249" s="300"/>
      <x:c r="T1249" s="300"/>
    </x:row>
    <x:row r="1250">
      <x:c r="M1250" s="300"/>
      <x:c r="T1250" s="300"/>
    </x:row>
    <x:row r="1251">
      <x:c r="M1251" s="300"/>
      <x:c r="T1251" s="300"/>
    </x:row>
    <x:row r="1252">
      <x:c r="M1252" s="300"/>
      <x:c r="T1252" s="300"/>
    </x:row>
    <x:row r="1253">
      <x:c r="M1253" s="300"/>
      <x:c r="T1253" s="300"/>
    </x:row>
    <x:row r="1254">
      <x:c r="M1254" s="300"/>
      <x:c r="T1254" s="300"/>
    </x:row>
    <x:row r="1255">
      <x:c r="M1255" s="300"/>
      <x:c r="T1255" s="300"/>
    </x:row>
    <x:row r="1256">
      <x:c r="M1256" s="300"/>
      <x:c r="T1256" s="300"/>
    </x:row>
    <x:row r="1257">
      <x:c r="M1257" s="300"/>
      <x:c r="T1257" s="300"/>
    </x:row>
    <x:row r="1258">
      <x:c r="M1258" s="300"/>
      <x:c r="T1258" s="300"/>
    </x:row>
    <x:row r="1259">
      <x:c r="M1259" s="300"/>
      <x:c r="T1259" s="300"/>
    </x:row>
    <x:row r="1260">
      <x:c r="M1260" s="300"/>
      <x:c r="T1260" s="300"/>
    </x:row>
    <x:row r="1261">
      <x:c r="M1261" s="300"/>
      <x:c r="T1261" s="300"/>
    </x:row>
    <x:row r="1262">
      <x:c r="M1262" s="300"/>
      <x:c r="T1262" s="300"/>
    </x:row>
    <x:row r="1263">
      <x:c r="M1263" s="300"/>
      <x:c r="T1263" s="300"/>
    </x:row>
    <x:row r="1264">
      <x:c r="M1264" s="300"/>
      <x:c r="T1264" s="300"/>
    </x:row>
    <x:row r="1265">
      <x:c r="M1265" s="300"/>
      <x:c r="T1265" s="300"/>
    </x:row>
    <x:row r="1266">
      <x:c r="M1266" s="300"/>
      <x:c r="T1266" s="300"/>
    </x:row>
    <x:row r="1267">
      <x:c r="M1267" s="300"/>
      <x:c r="T1267" s="300"/>
    </x:row>
    <x:row r="1268">
      <x:c r="M1268" s="300"/>
      <x:c r="T1268" s="300"/>
    </x:row>
    <x:row r="1269">
      <x:c r="M1269" s="300"/>
      <x:c r="T1269" s="300"/>
    </x:row>
    <x:row r="1270">
      <x:c r="M1270" s="300"/>
      <x:c r="T1270" s="300"/>
    </x:row>
    <x:row r="1271">
      <x:c r="M1271" s="300"/>
      <x:c r="T1271" s="300"/>
    </x:row>
    <x:row r="1272">
      <x:c r="M1272" s="300"/>
      <x:c r="T1272" s="300"/>
    </x:row>
    <x:row r="1273">
      <x:c r="M1273" s="300"/>
      <x:c r="T1273" s="300"/>
    </x:row>
    <x:row r="1274">
      <x:c r="M1274" s="300"/>
      <x:c r="T1274" s="300"/>
    </x:row>
    <x:row r="1275">
      <x:c r="M1275" s="300"/>
      <x:c r="T1275" s="300"/>
    </x:row>
    <x:row r="1276">
      <x:c r="M1276" s="300"/>
      <x:c r="T1276" s="300"/>
    </x:row>
    <x:row r="1277">
      <x:c r="M1277" s="300"/>
      <x:c r="T1277" s="300"/>
    </x:row>
    <x:row r="1278">
      <x:c r="M1278" s="300"/>
      <x:c r="T1278" s="300"/>
    </x:row>
    <x:row r="1279">
      <x:c r="M1279" s="300"/>
      <x:c r="T1279" s="300"/>
    </x:row>
    <x:row r="1280">
      <x:c r="M1280" s="300"/>
      <x:c r="T1280" s="300"/>
    </x:row>
    <x:row r="1281">
      <x:c r="M1281" s="300"/>
      <x:c r="T1281" s="300"/>
    </x:row>
    <x:row r="1282">
      <x:c r="M1282" s="300"/>
      <x:c r="T1282" s="300"/>
    </x:row>
    <x:row r="1283">
      <x:c r="M1283" s="300"/>
      <x:c r="T1283" s="300"/>
    </x:row>
    <x:row r="1284">
      <x:c r="M1284" s="300"/>
      <x:c r="T1284" s="300"/>
    </x:row>
    <x:row r="1285">
      <x:c r="M1285" s="300"/>
      <x:c r="T1285" s="300"/>
    </x:row>
    <x:row r="1286">
      <x:c r="M1286" s="300"/>
      <x:c r="T1286" s="300"/>
    </x:row>
    <x:row r="1287">
      <x:c r="M1287" s="300"/>
      <x:c r="T1287" s="300"/>
    </x:row>
    <x:row r="1288">
      <x:c r="M1288" s="300"/>
      <x:c r="T1288" s="300"/>
    </x:row>
    <x:row r="1289">
      <x:c r="M1289" s="300"/>
      <x:c r="T1289" s="300"/>
    </x:row>
    <x:row r="1290">
      <x:c r="M1290" s="300"/>
      <x:c r="T1290" s="300"/>
    </x:row>
    <x:row r="1291">
      <x:c r="M1291" s="300"/>
      <x:c r="T1291" s="300"/>
    </x:row>
    <x:row r="1292">
      <x:c r="M1292" s="300"/>
      <x:c r="T1292" s="300"/>
    </x:row>
    <x:row r="1293">
      <x:c r="M1293" s="300"/>
      <x:c r="T1293" s="300"/>
    </x:row>
    <x:row r="1294">
      <x:c r="M1294" s="300"/>
      <x:c r="T1294" s="300"/>
    </x:row>
    <x:row r="1295">
      <x:c r="M1295" s="300"/>
      <x:c r="T1295" s="300"/>
    </x:row>
    <x:row r="1296">
      <x:c r="M1296" s="300"/>
      <x:c r="T1296" s="300"/>
    </x:row>
    <x:row r="1297">
      <x:c r="M1297" s="300"/>
      <x:c r="T1297" s="300"/>
    </x:row>
    <x:row r="1298">
      <x:c r="M1298" s="300"/>
      <x:c r="T1298" s="300"/>
    </x:row>
    <x:row r="1299">
      <x:c r="M1299" s="300"/>
      <x:c r="T1299" s="300"/>
    </x:row>
    <x:row r="1300">
      <x:c r="M1300" s="300"/>
      <x:c r="T1300" s="300"/>
    </x:row>
    <x:row r="1301">
      <x:c r="M1301" s="300"/>
      <x:c r="T1301" s="300"/>
    </x:row>
    <x:row r="1302">
      <x:c r="M1302" s="300"/>
      <x:c r="T1302" s="300"/>
    </x:row>
    <x:row r="1303">
      <x:c r="M1303" s="300"/>
      <x:c r="T1303" s="300"/>
    </x:row>
    <x:row r="1304">
      <x:c r="M1304" s="300"/>
      <x:c r="T1304" s="300"/>
    </x:row>
    <x:row r="1305">
      <x:c r="M1305" s="300"/>
      <x:c r="T1305" s="300"/>
    </x:row>
    <x:row r="1306">
      <x:c r="M1306" s="300"/>
      <x:c r="T1306" s="300"/>
    </x:row>
    <x:row r="1307">
      <x:c r="M1307" s="300"/>
      <x:c r="T1307" s="300"/>
    </x:row>
    <x:row r="1308">
      <x:c r="M1308" s="300"/>
      <x:c r="T1308" s="300"/>
    </x:row>
    <x:row r="1309">
      <x:c r="M1309" s="300"/>
      <x:c r="T1309" s="300"/>
    </x:row>
    <x:row r="1310">
      <x:c r="M1310" s="300"/>
      <x:c r="T1310" s="300"/>
    </x:row>
    <x:row r="1311">
      <x:c r="M1311" s="300"/>
      <x:c r="T1311" s="300"/>
    </x:row>
    <x:row r="1312">
      <x:c r="M1312" s="300"/>
      <x:c r="T1312" s="300"/>
    </x:row>
    <x:row r="1313">
      <x:c r="M1313" s="300"/>
      <x:c r="T1313" s="300"/>
    </x:row>
    <x:row r="1314">
      <x:c r="M1314" s="300"/>
      <x:c r="T1314" s="300"/>
    </x:row>
    <x:row r="1315">
      <x:c r="M1315" s="300"/>
      <x:c r="T1315" s="300"/>
    </x:row>
    <x:row r="1316">
      <x:c r="M1316" s="300"/>
      <x:c r="T1316" s="300"/>
    </x:row>
    <x:row r="1317">
      <x:c r="M1317" s="300"/>
      <x:c r="T1317" s="300"/>
    </x:row>
    <x:row r="1318">
      <x:c r="M1318" s="300"/>
      <x:c r="T1318" s="300"/>
    </x:row>
    <x:row r="1319">
      <x:c r="M1319" s="300"/>
      <x:c r="T1319" s="300"/>
    </x:row>
    <x:row r="1320">
      <x:c r="M1320" s="300"/>
      <x:c r="T1320" s="300"/>
    </x:row>
    <x:row r="1321">
      <x:c r="M1321" s="300"/>
      <x:c r="T1321" s="300"/>
    </x:row>
    <x:row r="1322">
      <x:c r="M1322" s="300"/>
      <x:c r="T1322" s="300"/>
    </x:row>
    <x:row r="1323">
      <x:c r="M1323" s="300"/>
      <x:c r="T1323" s="300"/>
    </x:row>
    <x:row r="1324">
      <x:c r="M1324" s="300"/>
      <x:c r="T1324" s="300"/>
    </x:row>
    <x:row r="1325">
      <x:c r="M1325" s="300"/>
      <x:c r="T1325" s="300"/>
    </x:row>
    <x:row r="1326">
      <x:c r="M1326" s="300"/>
      <x:c r="T1326" s="300"/>
    </x:row>
    <x:row r="1327">
      <x:c r="M1327" s="300"/>
      <x:c r="T1327" s="300"/>
    </x:row>
    <x:row r="1328">
      <x:c r="M1328" s="300"/>
      <x:c r="T1328" s="300"/>
    </x:row>
    <x:row r="1329">
      <x:c r="M1329" s="300"/>
      <x:c r="T1329" s="300"/>
    </x:row>
    <x:row r="1330">
      <x:c r="M1330" s="300"/>
      <x:c r="T1330" s="300"/>
    </x:row>
    <x:row r="1331">
      <x:c r="M1331" s="300"/>
      <x:c r="T1331" s="300"/>
    </x:row>
    <x:row r="1332">
      <x:c r="M1332" s="300"/>
      <x:c r="T1332" s="300"/>
    </x:row>
    <x:row r="1333">
      <x:c r="M1333" s="300"/>
      <x:c r="T1333" s="300"/>
    </x:row>
    <x:row r="1334">
      <x:c r="M1334" s="300"/>
      <x:c r="T1334" s="300"/>
    </x:row>
    <x:row r="1335">
      <x:c r="M1335" s="300"/>
      <x:c r="T1335" s="300"/>
    </x:row>
    <x:row r="1336">
      <x:c r="M1336" s="300"/>
      <x:c r="T1336" s="300"/>
    </x:row>
    <x:row r="1337">
      <x:c r="M1337" s="300"/>
      <x:c r="T1337" s="300"/>
    </x:row>
    <x:row r="1338">
      <x:c r="M1338" s="300"/>
      <x:c r="T1338" s="300"/>
    </x:row>
    <x:row r="1339">
      <x:c r="M1339" s="300"/>
      <x:c r="T1339" s="300"/>
    </x:row>
    <x:row r="1340">
      <x:c r="M1340" s="300"/>
      <x:c r="T1340" s="300"/>
    </x:row>
    <x:row r="1341">
      <x:c r="M1341" s="300"/>
      <x:c r="T1341" s="300"/>
    </x:row>
    <x:row r="1342">
      <x:c r="M1342" s="300"/>
      <x:c r="T1342" s="300"/>
    </x:row>
    <x:row r="1343">
      <x:c r="M1343" s="300"/>
      <x:c r="T1343" s="300"/>
    </x:row>
    <x:row r="1344">
      <x:c r="M1344" s="300"/>
      <x:c r="T1344" s="300"/>
    </x:row>
    <x:row r="1345">
      <x:c r="M1345" s="300"/>
      <x:c r="T1345" s="300"/>
    </x:row>
    <x:row r="1346">
      <x:c r="M1346" s="300"/>
      <x:c r="T1346" s="300"/>
    </x:row>
    <x:row r="1347">
      <x:c r="M1347" s="300"/>
      <x:c r="T1347" s="300"/>
    </x:row>
    <x:row r="1348">
      <x:c r="M1348" s="300"/>
      <x:c r="T1348" s="300"/>
    </x:row>
    <x:row r="1349">
      <x:c r="M1349" s="300"/>
      <x:c r="T1349" s="300"/>
    </x:row>
    <x:row r="1350">
      <x:c r="M1350" s="300"/>
      <x:c r="T1350" s="300"/>
    </x:row>
    <x:row r="1351">
      <x:c r="M1351" s="300"/>
      <x:c r="T1351" s="300"/>
    </x:row>
    <x:row r="1352">
      <x:c r="M1352" s="300"/>
      <x:c r="T1352" s="300"/>
    </x:row>
    <x:row r="1353">
      <x:c r="M1353" s="300"/>
      <x:c r="T1353" s="300"/>
    </x:row>
    <x:row r="1354">
      <x:c r="M1354" s="300"/>
      <x:c r="T1354" s="300"/>
    </x:row>
    <x:row r="1355">
      <x:c r="M1355" s="300"/>
      <x:c r="T1355" s="300"/>
    </x:row>
    <x:row r="1356">
      <x:c r="M1356" s="300"/>
      <x:c r="T1356" s="300"/>
    </x:row>
    <x:row r="1357">
      <x:c r="M1357" s="300"/>
      <x:c r="T1357" s="300"/>
    </x:row>
    <x:row r="1358">
      <x:c r="M1358" s="300"/>
      <x:c r="T1358" s="300"/>
    </x:row>
    <x:row r="1359">
      <x:c r="M1359" s="300"/>
      <x:c r="T1359" s="300"/>
    </x:row>
    <x:row r="1360">
      <x:c r="M1360" s="300"/>
      <x:c r="T1360" s="300"/>
    </x:row>
    <x:row r="1361">
      <x:c r="M1361" s="300"/>
      <x:c r="T1361" s="300"/>
    </x:row>
    <x:row r="1362">
      <x:c r="M1362" s="300"/>
      <x:c r="T1362" s="300"/>
    </x:row>
    <x:row r="1363">
      <x:c r="M1363" s="300"/>
      <x:c r="T1363" s="300"/>
    </x:row>
    <x:row r="1364">
      <x:c r="M1364" s="300"/>
      <x:c r="T1364" s="300"/>
    </x:row>
    <x:row r="1365">
      <x:c r="M1365" s="300"/>
      <x:c r="T1365" s="300"/>
    </x:row>
    <x:row r="1366">
      <x:c r="M1366" s="300"/>
      <x:c r="T1366" s="300"/>
    </x:row>
    <x:row r="1367">
      <x:c r="M1367" s="300"/>
      <x:c r="T1367" s="300"/>
    </x:row>
    <x:row r="1368">
      <x:c r="M1368" s="300"/>
      <x:c r="T1368" s="300"/>
    </x:row>
    <x:row r="1369">
      <x:c r="M1369" s="300"/>
      <x:c r="T1369" s="300"/>
    </x:row>
    <x:row r="1370">
      <x:c r="M1370" s="300"/>
      <x:c r="T1370" s="300"/>
    </x:row>
    <x:row r="1371">
      <x:c r="M1371" s="300"/>
      <x:c r="T1371" s="300"/>
    </x:row>
    <x:row r="1372">
      <x:c r="M1372" s="300"/>
      <x:c r="T1372" s="300"/>
    </x:row>
    <x:row r="1373">
      <x:c r="M1373" s="300"/>
      <x:c r="T1373" s="300"/>
    </x:row>
    <x:row r="1374">
      <x:c r="M1374" s="300"/>
      <x:c r="T1374" s="300"/>
    </x:row>
    <x:row r="1375">
      <x:c r="M1375" s="300"/>
      <x:c r="T1375" s="300"/>
    </x:row>
    <x:row r="1376">
      <x:c r="M1376" s="300"/>
      <x:c r="T1376" s="300"/>
    </x:row>
    <x:row r="1377">
      <x:c r="M1377" s="300"/>
      <x:c r="T1377" s="300"/>
    </x:row>
    <x:row r="1378">
      <x:c r="M1378" s="300"/>
      <x:c r="T1378" s="300"/>
    </x:row>
    <x:row r="1379">
      <x:c r="M1379" s="300"/>
      <x:c r="T1379" s="300"/>
    </x:row>
    <x:row r="1380">
      <x:c r="M1380" s="300"/>
      <x:c r="T1380" s="300"/>
    </x:row>
    <x:row r="1381">
      <x:c r="M1381" s="300"/>
      <x:c r="T1381" s="300"/>
    </x:row>
    <x:row r="1382">
      <x:c r="M1382" s="300"/>
      <x:c r="T1382" s="300"/>
    </x:row>
    <x:row r="1383">
      <x:c r="M1383" s="300"/>
      <x:c r="T1383" s="300"/>
    </x:row>
    <x:row r="1384">
      <x:c r="M1384" s="300"/>
      <x:c r="T1384" s="300"/>
    </x:row>
    <x:row r="1385">
      <x:c r="M1385" s="300"/>
      <x:c r="T1385" s="300"/>
    </x:row>
    <x:row r="1386">
      <x:c r="M1386" s="300"/>
      <x:c r="T1386" s="300"/>
    </x:row>
    <x:row r="1387">
      <x:c r="M1387" s="300"/>
      <x:c r="T1387" s="300"/>
    </x:row>
    <x:row r="1388">
      <x:c r="M1388" s="300"/>
      <x:c r="T1388" s="300"/>
    </x:row>
    <x:row r="1389">
      <x:c r="M1389" s="300"/>
      <x:c r="T1389" s="300"/>
    </x:row>
    <x:row r="1390">
      <x:c r="M1390" s="300"/>
      <x:c r="T1390" s="300"/>
    </x:row>
    <x:row r="1391">
      <x:c r="M1391" s="300"/>
      <x:c r="T1391" s="300"/>
    </x:row>
    <x:row r="1392">
      <x:c r="M1392" s="300"/>
      <x:c r="T1392" s="300"/>
    </x:row>
    <x:row r="1393">
      <x:c r="M1393" s="300"/>
      <x:c r="T1393" s="300"/>
    </x:row>
    <x:row r="1394">
      <x:c r="M1394" s="300"/>
      <x:c r="T1394" s="300"/>
    </x:row>
    <x:row r="1395">
      <x:c r="M1395" s="300"/>
      <x:c r="T1395" s="300"/>
    </x:row>
    <x:row r="1396">
      <x:c r="M1396" s="300"/>
      <x:c r="T1396" s="300"/>
    </x:row>
    <x:row r="1397">
      <x:c r="M1397" s="300"/>
      <x:c r="T1397" s="300"/>
    </x:row>
    <x:row r="1398">
      <x:c r="M1398" s="300"/>
      <x:c r="T1398" s="300"/>
    </x:row>
    <x:row r="1399">
      <x:c r="M1399" s="300"/>
      <x:c r="T1399" s="300"/>
    </x:row>
    <x:row r="1400">
      <x:c r="M1400" s="300"/>
      <x:c r="T1400" s="300"/>
    </x:row>
    <x:row r="1401">
      <x:c r="M1401" s="300"/>
      <x:c r="T1401" s="300"/>
    </x:row>
    <x:row r="1402">
      <x:c r="M1402" s="300"/>
      <x:c r="T1402" s="300"/>
    </x:row>
    <x:row r="1403">
      <x:c r="M1403" s="300"/>
      <x:c r="T1403" s="300"/>
    </x:row>
    <x:row r="1404">
      <x:c r="M1404" s="300"/>
      <x:c r="T1404" s="300"/>
    </x:row>
    <x:row r="1405">
      <x:c r="M1405" s="300"/>
      <x:c r="T1405" s="300"/>
    </x:row>
    <x:row r="1406">
      <x:c r="M1406" s="300"/>
      <x:c r="T1406" s="300"/>
    </x:row>
    <x:row r="1407">
      <x:c r="M1407" s="300"/>
      <x:c r="T1407" s="300"/>
    </x:row>
    <x:row r="1408">
      <x:c r="M1408" s="300"/>
      <x:c r="T1408" s="300"/>
    </x:row>
    <x:row r="1409">
      <x:c r="M1409" s="300"/>
      <x:c r="T1409" s="300"/>
    </x:row>
    <x:row r="1410">
      <x:c r="M1410" s="300"/>
      <x:c r="T1410" s="300"/>
    </x:row>
    <x:row r="1411">
      <x:c r="M1411" s="300"/>
      <x:c r="T1411" s="300"/>
    </x:row>
    <x:row r="1412">
      <x:c r="M1412" s="300"/>
      <x:c r="T1412" s="300"/>
    </x:row>
    <x:row r="1413">
      <x:c r="M1413" s="300"/>
      <x:c r="T1413" s="300"/>
    </x:row>
    <x:row r="1414">
      <x:c r="M1414" s="300"/>
      <x:c r="T1414" s="300"/>
    </x:row>
    <x:row r="1415">
      <x:c r="M1415" s="300"/>
      <x:c r="T1415" s="300"/>
    </x:row>
    <x:row r="1416">
      <x:c r="M1416" s="300"/>
      <x:c r="T1416" s="300"/>
    </x:row>
    <x:row r="1417">
      <x:c r="M1417" s="300"/>
      <x:c r="T1417" s="300"/>
    </x:row>
    <x:row r="1418">
      <x:c r="M1418" s="300"/>
      <x:c r="T1418" s="300"/>
    </x:row>
    <x:row r="1419">
      <x:c r="M1419" s="300"/>
      <x:c r="T1419" s="300"/>
    </x:row>
    <x:row r="1420">
      <x:c r="M1420" s="300"/>
      <x:c r="T1420" s="300"/>
    </x:row>
    <x:row r="1421">
      <x:c r="M1421" s="300"/>
      <x:c r="T1421" s="300"/>
    </x:row>
    <x:row r="1422">
      <x:c r="M1422" s="300"/>
      <x:c r="T1422" s="300"/>
    </x:row>
    <x:row r="1423">
      <x:c r="M1423" s="300"/>
      <x:c r="T1423" s="300"/>
    </x:row>
    <x:row r="1424">
      <x:c r="M1424" s="300"/>
      <x:c r="T1424" s="300"/>
    </x:row>
    <x:row r="1425">
      <x:c r="M1425" s="300"/>
      <x:c r="T1425" s="300"/>
    </x:row>
    <x:row r="1426">
      <x:c r="M1426" s="300"/>
      <x:c r="T1426" s="300"/>
    </x:row>
    <x:row r="1427">
      <x:c r="M1427" s="300"/>
      <x:c r="T1427" s="300"/>
    </x:row>
    <x:row r="1428">
      <x:c r="M1428" s="300"/>
      <x:c r="T1428" s="300"/>
    </x:row>
    <x:row r="1429">
      <x:c r="M1429" s="300"/>
      <x:c r="T1429" s="300"/>
    </x:row>
    <x:row r="1430">
      <x:c r="M1430" s="300"/>
      <x:c r="T1430" s="300"/>
    </x:row>
    <x:row r="1431">
      <x:c r="M1431" s="300"/>
      <x:c r="T1431" s="300"/>
    </x:row>
    <x:row r="1432">
      <x:c r="M1432" s="300"/>
      <x:c r="T1432" s="300"/>
    </x:row>
    <x:row r="1433">
      <x:c r="M1433" s="300"/>
      <x:c r="T1433" s="300"/>
    </x:row>
    <x:row r="1434">
      <x:c r="M1434" s="300"/>
      <x:c r="T1434" s="300"/>
    </x:row>
    <x:row r="1435">
      <x:c r="M1435" s="300"/>
      <x:c r="T1435" s="300"/>
    </x:row>
    <x:row r="1436">
      <x:c r="M1436" s="300"/>
      <x:c r="T1436" s="300"/>
    </x:row>
    <x:row r="1437">
      <x:c r="M1437" s="300"/>
      <x:c r="T1437" s="300"/>
    </x:row>
    <x:row r="1438">
      <x:c r="M1438" s="300"/>
      <x:c r="T1438" s="300"/>
    </x:row>
    <x:row r="1439">
      <x:c r="M1439" s="300"/>
      <x:c r="T1439" s="300"/>
    </x:row>
    <x:row r="1440">
      <x:c r="M1440" s="300"/>
      <x:c r="T1440" s="300"/>
    </x:row>
    <x:row r="1441">
      <x:c r="M1441" s="300"/>
      <x:c r="T1441" s="300"/>
    </x:row>
    <x:row r="1442">
      <x:c r="M1442" s="300"/>
      <x:c r="T1442" s="300"/>
    </x:row>
    <x:row r="1443">
      <x:c r="M1443" s="300"/>
      <x:c r="T1443" s="300"/>
    </x:row>
    <x:row r="1444">
      <x:c r="M1444" s="300"/>
      <x:c r="T1444" s="300"/>
    </x:row>
    <x:row r="1445">
      <x:c r="M1445" s="300"/>
      <x:c r="T1445" s="300"/>
    </x:row>
    <x:row r="1446">
      <x:c r="M1446" s="300"/>
      <x:c r="T1446" s="300"/>
    </x:row>
    <x:row r="1447">
      <x:c r="M1447" s="300"/>
      <x:c r="T1447" s="300"/>
    </x:row>
    <x:row r="1448">
      <x:c r="M1448" s="300"/>
      <x:c r="T1448" s="300"/>
    </x:row>
    <x:row r="1449">
      <x:c r="M1449" s="300"/>
      <x:c r="T1449" s="300"/>
    </x:row>
    <x:row r="1450">
      <x:c r="M1450" s="300"/>
      <x:c r="T1450" s="300"/>
    </x:row>
    <x:row r="1451">
      <x:c r="M1451" s="300"/>
      <x:c r="T1451" s="300"/>
    </x:row>
    <x:row r="1452">
      <x:c r="M1452" s="300"/>
      <x:c r="T1452" s="300"/>
    </x:row>
    <x:row r="1453">
      <x:c r="M1453" s="300"/>
      <x:c r="T1453" s="300"/>
    </x:row>
    <x:row r="1454">
      <x:c r="M1454" s="300"/>
      <x:c r="T1454" s="300"/>
    </x:row>
    <x:row r="1455">
      <x:c r="M1455" s="300"/>
      <x:c r="T1455" s="300"/>
    </x:row>
    <x:row r="1456">
      <x:c r="M1456" s="300"/>
      <x:c r="T1456" s="300"/>
    </x:row>
    <x:row r="1457">
      <x:c r="M1457" s="300"/>
      <x:c r="T1457" s="300"/>
    </x:row>
    <x:row r="1458">
      <x:c r="M1458" s="300"/>
      <x:c r="T1458" s="300"/>
    </x:row>
    <x:row r="1459">
      <x:c r="M1459" s="300"/>
      <x:c r="T1459" s="300"/>
    </x:row>
    <x:row r="1460">
      <x:c r="M1460" s="300"/>
      <x:c r="T1460" s="300"/>
    </x:row>
    <x:row r="1461">
      <x:c r="M1461" s="300"/>
      <x:c r="T1461" s="300"/>
    </x:row>
    <x:row r="1462">
      <x:c r="M1462" s="300"/>
      <x:c r="T1462" s="300"/>
    </x:row>
    <x:row r="1463">
      <x:c r="M1463" s="300"/>
      <x:c r="T1463" s="300"/>
    </x:row>
    <x:row r="1464">
      <x:c r="M1464" s="300"/>
      <x:c r="T1464" s="300"/>
    </x:row>
    <x:row r="1465">
      <x:c r="M1465" s="300"/>
      <x:c r="T1465" s="300"/>
    </x:row>
    <x:row r="1466">
      <x:c r="M1466" s="300"/>
      <x:c r="T1466" s="300"/>
    </x:row>
    <x:row r="1467">
      <x:c r="M1467" s="300"/>
      <x:c r="T1467" s="300"/>
    </x:row>
    <x:row r="1468">
      <x:c r="M1468" s="300"/>
      <x:c r="T1468" s="300"/>
    </x:row>
    <x:row r="1469">
      <x:c r="M1469" s="300"/>
      <x:c r="T1469" s="300"/>
    </x:row>
    <x:row r="1470">
      <x:c r="M1470" s="300"/>
      <x:c r="T1470" s="300"/>
    </x:row>
    <x:row r="1471">
      <x:c r="M1471" s="300"/>
      <x:c r="T1471" s="300"/>
    </x:row>
    <x:row r="1472">
      <x:c r="M1472" s="300"/>
      <x:c r="T1472" s="300"/>
    </x:row>
    <x:row r="1473">
      <x:c r="M1473" s="300"/>
      <x:c r="T1473" s="300"/>
    </x:row>
    <x:row r="1474">
      <x:c r="M1474" s="300"/>
      <x:c r="T1474" s="300"/>
    </x:row>
    <x:row r="1475">
      <x:c r="M1475" s="300"/>
      <x:c r="T1475" s="300"/>
    </x:row>
    <x:row r="1476">
      <x:c r="M1476" s="300"/>
      <x:c r="T1476" s="300"/>
    </x:row>
    <x:row r="1477">
      <x:c r="M1477" s="300"/>
      <x:c r="T1477" s="300"/>
    </x:row>
    <x:row r="1478">
      <x:c r="M1478" s="300"/>
      <x:c r="T1478" s="300"/>
    </x:row>
    <x:row r="1479">
      <x:c r="M1479" s="300"/>
      <x:c r="T1479" s="300"/>
    </x:row>
    <x:row r="1480">
      <x:c r="M1480" s="300"/>
      <x:c r="T1480" s="300"/>
    </x:row>
    <x:row r="1481">
      <x:c r="M1481" s="300"/>
      <x:c r="T1481" s="300"/>
    </x:row>
    <x:row r="1482">
      <x:c r="M1482" s="300"/>
      <x:c r="T1482" s="300"/>
    </x:row>
    <x:row r="1483">
      <x:c r="M1483" s="300"/>
      <x:c r="T1483" s="300"/>
    </x:row>
    <x:row r="1484">
      <x:c r="M1484" s="300"/>
      <x:c r="T1484" s="300"/>
    </x:row>
    <x:row r="1485">
      <x:c r="M1485" s="300"/>
      <x:c r="T1485" s="300"/>
    </x:row>
    <x:row r="1486">
      <x:c r="M1486" s="300"/>
      <x:c r="T1486" s="300"/>
    </x:row>
    <x:row r="1487">
      <x:c r="M1487" s="300"/>
      <x:c r="T1487" s="300"/>
    </x:row>
    <x:row r="1488">
      <x:c r="M1488" s="300"/>
      <x:c r="T1488" s="300"/>
    </x:row>
    <x:row r="1489">
      <x:c r="M1489" s="300"/>
      <x:c r="T1489" s="300"/>
    </x:row>
    <x:row r="1490">
      <x:c r="M1490" s="300"/>
      <x:c r="T1490" s="300"/>
    </x:row>
    <x:row r="1491">
      <x:c r="M1491" s="300"/>
      <x:c r="T1491" s="300"/>
    </x:row>
    <x:row r="1492">
      <x:c r="M1492" s="300"/>
      <x:c r="T1492" s="300"/>
    </x:row>
    <x:row r="1493">
      <x:c r="M1493" s="300"/>
      <x:c r="T1493" s="300"/>
    </x:row>
    <x:row r="1494">
      <x:c r="M1494" s="300"/>
      <x:c r="T1494" s="300"/>
    </x:row>
    <x:row r="1495">
      <x:c r="M1495" s="300"/>
      <x:c r="T1495" s="300"/>
    </x:row>
    <x:row r="1496">
      <x:c r="M1496" s="300"/>
      <x:c r="T1496" s="300"/>
    </x:row>
    <x:row r="1497">
      <x:c r="M1497" s="300"/>
      <x:c r="T1497" s="300"/>
    </x:row>
    <x:row r="1498">
      <x:c r="M1498" s="300"/>
      <x:c r="T1498" s="300"/>
    </x:row>
    <x:row r="1499">
      <x:c r="M1499" s="300"/>
      <x:c r="T1499" s="300"/>
    </x:row>
    <x:row r="1500">
      <x:c r="M1500" s="300"/>
      <x:c r="T1500" s="300"/>
    </x:row>
    <x:row r="1501">
      <x:c r="M1501" s="300"/>
      <x:c r="T1501" s="300"/>
    </x:row>
    <x:row r="1502">
      <x:c r="M1502" s="300"/>
      <x:c r="T1502" s="300"/>
    </x:row>
    <x:row r="1503">
      <x:c r="M1503" s="300"/>
      <x:c r="T1503" s="300"/>
    </x:row>
    <x:row r="1504">
      <x:c r="M1504" s="300"/>
      <x:c r="T1504" s="300"/>
    </x:row>
    <x:row r="1505">
      <x:c r="M1505" s="300"/>
      <x:c r="T1505" s="300"/>
    </x:row>
    <x:row r="1506">
      <x:c r="M1506" s="300"/>
      <x:c r="T1506" s="300"/>
    </x:row>
    <x:row r="1507">
      <x:c r="M1507" s="300"/>
      <x:c r="T1507" s="300"/>
    </x:row>
    <x:row r="1508">
      <x:c r="M1508" s="300"/>
      <x:c r="T1508" s="300"/>
    </x:row>
    <x:row r="1509">
      <x:c r="M1509" s="300"/>
      <x:c r="T1509" s="300"/>
    </x:row>
    <x:row r="1510">
      <x:c r="M1510" s="300"/>
      <x:c r="T1510" s="300"/>
    </x:row>
    <x:row r="1511">
      <x:c r="M1511" s="300"/>
      <x:c r="T1511" s="300"/>
    </x:row>
    <x:row r="1512">
      <x:c r="M1512" s="300"/>
      <x:c r="T1512" s="300"/>
    </x:row>
    <x:row r="1513">
      <x:c r="M1513" s="300"/>
      <x:c r="T1513" s="300"/>
    </x:row>
    <x:row r="1514">
      <x:c r="M1514" s="300"/>
      <x:c r="T1514" s="300"/>
    </x:row>
    <x:row r="1515">
      <x:c r="M1515" s="300"/>
      <x:c r="T1515" s="300"/>
    </x:row>
    <x:row r="1516">
      <x:c r="M1516" s="300"/>
      <x:c r="T1516" s="300"/>
    </x:row>
    <x:row r="1517">
      <x:c r="M1517" s="300"/>
      <x:c r="T1517" s="300"/>
    </x:row>
    <x:row r="1518">
      <x:c r="M1518" s="300"/>
      <x:c r="T1518" s="300"/>
    </x:row>
    <x:row r="1519">
      <x:c r="M1519" s="300"/>
      <x:c r="T1519" s="300"/>
    </x:row>
    <x:row r="1520">
      <x:c r="M1520" s="300"/>
      <x:c r="T1520" s="300"/>
    </x:row>
    <x:row r="1521">
      <x:c r="M1521" s="300"/>
      <x:c r="T1521" s="300"/>
    </x:row>
    <x:row r="1522">
      <x:c r="M1522" s="300"/>
      <x:c r="T1522" s="300"/>
    </x:row>
    <x:row r="1523">
      <x:c r="M1523" s="300"/>
      <x:c r="T1523" s="300"/>
    </x:row>
    <x:row r="1524">
      <x:c r="M1524" s="300"/>
      <x:c r="T1524" s="300"/>
    </x:row>
    <x:row r="1525">
      <x:c r="M1525" s="300"/>
      <x:c r="T1525" s="300"/>
    </x:row>
    <x:row r="1526">
      <x:c r="M1526" s="300"/>
      <x:c r="T1526" s="300"/>
    </x:row>
    <x:row r="1527">
      <x:c r="M1527" s="300"/>
      <x:c r="T1527" s="300"/>
    </x:row>
    <x:row r="1528">
      <x:c r="M1528" s="300"/>
      <x:c r="T1528" s="300"/>
    </x:row>
    <x:row r="1529">
      <x:c r="M1529" s="300"/>
      <x:c r="T1529" s="300"/>
    </x:row>
    <x:row r="1530">
      <x:c r="M1530" s="300"/>
      <x:c r="T1530" s="300"/>
    </x:row>
    <x:row r="1531">
      <x:c r="M1531" s="300"/>
      <x:c r="T1531" s="300"/>
    </x:row>
    <x:row r="1532">
      <x:c r="M1532" s="300"/>
      <x:c r="T1532" s="300"/>
    </x:row>
    <x:row r="1533">
      <x:c r="M1533" s="300"/>
      <x:c r="T1533" s="300"/>
    </x:row>
    <x:row r="1534">
      <x:c r="M1534" s="300"/>
      <x:c r="T1534" s="300"/>
    </x:row>
    <x:row r="1535">
      <x:c r="M1535" s="300"/>
      <x:c r="T1535" s="300"/>
    </x:row>
    <x:row r="1536">
      <x:c r="M1536" s="300"/>
      <x:c r="T1536" s="300"/>
    </x:row>
    <x:row r="1537">
      <x:c r="M1537" s="300"/>
      <x:c r="T1537" s="300"/>
    </x:row>
    <x:row r="1538">
      <x:c r="M1538" s="300"/>
      <x:c r="T1538" s="300"/>
    </x:row>
    <x:row r="1539">
      <x:c r="M1539" s="300"/>
      <x:c r="T1539" s="300"/>
    </x:row>
    <x:row r="1540">
      <x:c r="M1540" s="300"/>
      <x:c r="T1540" s="300"/>
    </x:row>
    <x:row r="1541">
      <x:c r="M1541" s="300"/>
      <x:c r="T1541" s="300"/>
    </x:row>
    <x:row r="1542">
      <x:c r="M1542" s="300"/>
      <x:c r="T1542" s="300"/>
    </x:row>
    <x:row r="1543">
      <x:c r="M1543" s="300"/>
      <x:c r="T1543" s="300"/>
    </x:row>
    <x:row r="1544">
      <x:c r="M1544" s="300"/>
      <x:c r="T1544" s="300"/>
    </x:row>
    <x:row r="1545">
      <x:c r="M1545" s="300"/>
      <x:c r="T1545" s="300"/>
    </x:row>
    <x:row r="1546">
      <x:c r="M1546" s="300"/>
      <x:c r="T1546" s="300"/>
    </x:row>
    <x:row r="1547">
      <x:c r="M1547" s="300"/>
      <x:c r="T1547" s="300"/>
    </x:row>
    <x:row r="1548">
      <x:c r="M1548" s="300"/>
      <x:c r="T1548" s="300"/>
    </x:row>
    <x:row r="1549">
      <x:c r="M1549" s="300"/>
      <x:c r="T1549" s="300"/>
    </x:row>
    <x:row r="1550">
      <x:c r="M1550" s="300"/>
      <x:c r="T1550" s="300"/>
    </x:row>
    <x:row r="1551">
      <x:c r="M1551" s="300"/>
      <x:c r="T1551" s="300"/>
    </x:row>
    <x:row r="1552">
      <x:c r="M1552" s="300"/>
      <x:c r="T1552" s="300"/>
    </x:row>
    <x:row r="1553">
      <x:c r="M1553" s="300"/>
      <x:c r="T1553" s="300"/>
    </x:row>
    <x:row r="1554">
      <x:c r="M1554" s="300"/>
      <x:c r="T1554" s="300"/>
    </x:row>
    <x:row r="1555">
      <x:c r="M1555" s="300"/>
      <x:c r="T1555" s="300"/>
    </x:row>
    <x:row r="1556">
      <x:c r="M1556" s="300"/>
      <x:c r="T1556" s="300"/>
    </x:row>
    <x:row r="1557">
      <x:c r="M1557" s="300"/>
      <x:c r="T1557" s="300"/>
    </x:row>
    <x:row r="1558">
      <x:c r="M1558" s="300"/>
      <x:c r="T1558" s="300"/>
    </x:row>
    <x:row r="1559">
      <x:c r="M1559" s="300"/>
      <x:c r="T1559" s="300"/>
    </x:row>
    <x:row r="1560">
      <x:c r="M1560" s="300"/>
      <x:c r="T1560" s="300"/>
    </x:row>
    <x:row r="1561">
      <x:c r="M1561" s="300"/>
      <x:c r="T1561" s="300"/>
    </x:row>
    <x:row r="1562">
      <x:c r="M1562" s="300"/>
      <x:c r="T1562" s="300"/>
    </x:row>
    <x:row r="1563">
      <x:c r="M1563" s="300"/>
      <x:c r="T1563" s="300"/>
    </x:row>
    <x:row r="1564">
      <x:c r="M1564" s="300"/>
      <x:c r="T1564" s="300"/>
    </x:row>
    <x:row r="1565">
      <x:c r="M1565" s="300"/>
      <x:c r="T1565" s="300"/>
    </x:row>
    <x:row r="1566">
      <x:c r="M1566" s="300"/>
      <x:c r="T1566" s="300"/>
    </x:row>
    <x:row r="1567">
      <x:c r="M1567" s="300"/>
      <x:c r="T1567" s="300"/>
    </x:row>
    <x:row r="1568">
      <x:c r="M1568" s="300"/>
      <x:c r="T1568" s="300"/>
    </x:row>
    <x:row r="1569">
      <x:c r="M1569" s="300"/>
      <x:c r="T1569" s="300"/>
    </x:row>
    <x:row r="1570">
      <x:c r="M1570" s="300"/>
      <x:c r="T1570" s="300"/>
    </x:row>
    <x:row r="1571">
      <x:c r="M1571" s="300"/>
      <x:c r="T1571" s="300"/>
    </x:row>
    <x:row r="1572">
      <x:c r="M1572" s="300"/>
      <x:c r="T1572" s="300"/>
    </x:row>
    <x:row r="1573">
      <x:c r="M1573" s="300"/>
      <x:c r="T1573" s="300"/>
    </x:row>
    <x:row r="1574">
      <x:c r="M1574" s="300"/>
      <x:c r="T1574" s="300"/>
    </x:row>
    <x:row r="1575">
      <x:c r="M1575" s="300"/>
      <x:c r="T1575" s="300"/>
    </x:row>
    <x:row r="1576">
      <x:c r="M1576" s="300"/>
      <x:c r="T1576" s="300"/>
    </x:row>
    <x:row r="1577">
      <x:c r="M1577" s="300"/>
      <x:c r="T1577" s="300"/>
    </x:row>
    <x:row r="1578">
      <x:c r="M1578" s="300"/>
      <x:c r="T1578" s="300"/>
    </x:row>
    <x:row r="1579">
      <x:c r="M1579" s="300"/>
      <x:c r="T1579" s="300"/>
    </x:row>
    <x:row r="1580">
      <x:c r="M1580" s="300"/>
      <x:c r="T1580" s="300"/>
    </x:row>
    <x:row r="1581">
      <x:c r="M1581" s="300"/>
      <x:c r="T1581" s="300"/>
    </x:row>
    <x:row r="1582">
      <x:c r="M1582" s="300"/>
      <x:c r="T1582" s="300"/>
    </x:row>
    <x:row r="1583">
      <x:c r="M1583" s="300"/>
      <x:c r="T1583" s="300"/>
    </x:row>
    <x:row r="1584">
      <x:c r="M1584" s="300"/>
      <x:c r="T1584" s="300"/>
    </x:row>
    <x:row r="1585">
      <x:c r="M1585" s="300"/>
      <x:c r="T1585" s="300"/>
    </x:row>
    <x:row r="1586">
      <x:c r="M1586" s="300"/>
      <x:c r="T1586" s="300"/>
    </x:row>
    <x:row r="1587">
      <x:c r="M1587" s="300"/>
      <x:c r="T1587" s="300"/>
    </x:row>
    <x:row r="1588">
      <x:c r="M1588" s="300"/>
      <x:c r="T1588" s="300"/>
    </x:row>
    <x:row r="1589">
      <x:c r="M1589" s="300"/>
      <x:c r="T1589" s="300"/>
    </x:row>
    <x:row r="1590">
      <x:c r="M1590" s="300"/>
      <x:c r="T1590" s="300"/>
    </x:row>
    <x:row r="1591">
      <x:c r="M1591" s="300"/>
      <x:c r="T1591" s="300"/>
    </x:row>
    <x:row r="1592">
      <x:c r="M1592" s="300"/>
      <x:c r="T1592" s="300"/>
    </x:row>
    <x:row r="1593">
      <x:c r="M1593" s="300"/>
      <x:c r="T1593" s="300"/>
    </x:row>
    <x:row r="1594">
      <x:c r="M1594" s="300"/>
      <x:c r="T1594" s="300"/>
    </x:row>
    <x:row r="1595">
      <x:c r="M1595" s="300"/>
      <x:c r="T1595" s="300"/>
    </x:row>
    <x:row r="1596">
      <x:c r="M1596" s="300"/>
      <x:c r="T1596" s="300"/>
    </x:row>
    <x:row r="1597">
      <x:c r="M1597" s="300"/>
      <x:c r="T1597" s="300"/>
    </x:row>
    <x:row r="1598">
      <x:c r="M1598" s="300"/>
      <x:c r="T1598" s="300"/>
    </x:row>
    <x:row r="1599">
      <x:c r="M1599" s="300"/>
      <x:c r="T1599" s="300"/>
    </x:row>
    <x:row r="1600">
      <x:c r="M1600" s="300"/>
      <x:c r="T1600" s="300"/>
    </x:row>
    <x:row r="1601">
      <x:c r="M1601" s="300"/>
      <x:c r="T1601" s="300"/>
    </x:row>
    <x:row r="1602">
      <x:c r="M1602" s="300"/>
      <x:c r="T1602" s="300"/>
    </x:row>
    <x:row r="1603">
      <x:c r="M1603" s="300"/>
      <x:c r="T1603" s="300"/>
    </x:row>
    <x:row r="1604">
      <x:c r="M1604" s="300"/>
      <x:c r="T1604" s="300"/>
    </x:row>
    <x:row r="1605">
      <x:c r="M1605" s="300"/>
      <x:c r="T1605" s="300"/>
    </x:row>
    <x:row r="1606">
      <x:c r="M1606" s="300"/>
      <x:c r="T1606" s="300"/>
    </x:row>
    <x:row r="1607">
      <x:c r="M1607" s="300"/>
      <x:c r="T1607" s="300"/>
    </x:row>
    <x:row r="1608">
      <x:c r="M1608" s="300"/>
      <x:c r="T1608" s="300"/>
    </x:row>
    <x:row r="1609">
      <x:c r="M1609" s="300"/>
      <x:c r="T1609" s="300"/>
    </x:row>
    <x:row r="1610">
      <x:c r="M1610" s="300"/>
      <x:c r="T1610" s="300"/>
    </x:row>
    <x:row r="1611">
      <x:c r="M1611" s="300"/>
      <x:c r="T1611" s="300"/>
    </x:row>
    <x:row r="1612">
      <x:c r="M1612" s="300"/>
      <x:c r="T1612" s="300"/>
    </x:row>
    <x:row r="1613">
      <x:c r="M1613" s="300"/>
      <x:c r="T1613" s="300"/>
    </x:row>
    <x:row r="1614">
      <x:c r="M1614" s="300"/>
      <x:c r="T1614" s="300"/>
    </x:row>
    <x:row r="1615">
      <x:c r="M1615" s="300"/>
      <x:c r="T1615" s="300"/>
    </x:row>
    <x:row r="1616">
      <x:c r="M1616" s="300"/>
      <x:c r="T1616" s="300"/>
    </x:row>
    <x:row r="1617">
      <x:c r="M1617" s="300"/>
      <x:c r="T1617" s="300"/>
    </x:row>
    <x:row r="1618">
      <x:c r="M1618" s="300"/>
      <x:c r="T1618" s="300"/>
    </x:row>
    <x:row r="1619">
      <x:c r="M1619" s="300"/>
      <x:c r="T1619" s="300"/>
    </x:row>
    <x:row r="1620">
      <x:c r="M1620" s="300"/>
      <x:c r="T1620" s="300"/>
    </x:row>
    <x:row r="1621">
      <x:c r="M1621" s="300"/>
      <x:c r="T1621" s="300"/>
    </x:row>
    <x:row r="1622">
      <x:c r="M1622" s="300"/>
      <x:c r="T1622" s="300"/>
    </x:row>
    <x:row r="1623">
      <x:c r="M1623" s="300"/>
      <x:c r="T1623" s="300"/>
    </x:row>
    <x:row r="1624">
      <x:c r="M1624" s="300"/>
      <x:c r="T1624" s="300"/>
    </x:row>
    <x:row r="1625">
      <x:c r="M1625" s="300"/>
      <x:c r="T1625" s="300"/>
    </x:row>
    <x:row r="1626">
      <x:c r="M1626" s="300"/>
      <x:c r="T1626" s="300"/>
    </x:row>
    <x:row r="1627">
      <x:c r="M1627" s="300"/>
      <x:c r="T1627" s="300"/>
    </x:row>
    <x:row r="1628">
      <x:c r="M1628" s="300"/>
      <x:c r="T1628" s="300"/>
    </x:row>
    <x:row r="1629">
      <x:c r="M1629" s="300"/>
      <x:c r="T1629" s="300"/>
    </x:row>
    <x:row r="1630">
      <x:c r="M1630" s="300"/>
      <x:c r="T1630" s="300"/>
    </x:row>
    <x:row r="1631">
      <x:c r="M1631" s="300"/>
      <x:c r="T1631" s="300"/>
    </x:row>
    <x:row r="1632">
      <x:c r="M1632" s="300"/>
      <x:c r="T1632" s="300"/>
    </x:row>
    <x:row r="1633">
      <x:c r="M1633" s="300"/>
      <x:c r="T1633" s="300"/>
    </x:row>
    <x:row r="1634">
      <x:c r="M1634" s="300"/>
      <x:c r="T1634" s="300"/>
    </x:row>
    <x:row r="1635">
      <x:c r="M1635" s="300"/>
      <x:c r="T1635" s="300"/>
    </x:row>
    <x:row r="1636">
      <x:c r="M1636" s="300"/>
      <x:c r="T1636" s="300"/>
    </x:row>
    <x:row r="1637">
      <x:c r="M1637" s="300"/>
      <x:c r="T1637" s="300"/>
    </x:row>
    <x:row r="1638">
      <x:c r="M1638" s="300"/>
      <x:c r="T1638" s="300"/>
    </x:row>
    <x:row r="1639">
      <x:c r="M1639" s="300"/>
      <x:c r="T1639" s="300"/>
    </x:row>
    <x:row r="1640">
      <x:c r="M1640" s="300"/>
      <x:c r="T1640" s="300"/>
    </x:row>
    <x:row r="1641">
      <x:c r="M1641" s="300"/>
      <x:c r="T1641" s="300"/>
    </x:row>
    <x:row r="1642">
      <x:c r="M1642" s="300"/>
      <x:c r="T1642" s="300"/>
    </x:row>
    <x:row r="1643">
      <x:c r="M1643" s="300"/>
      <x:c r="T1643" s="300"/>
    </x:row>
    <x:row r="1644">
      <x:c r="M1644" s="300"/>
      <x:c r="T1644" s="300"/>
    </x:row>
    <x:row r="1645">
      <x:c r="M1645" s="300"/>
      <x:c r="T1645" s="300"/>
    </x:row>
    <x:row r="1646">
      <x:c r="M1646" s="300"/>
      <x:c r="T1646" s="300"/>
    </x:row>
    <x:row r="1647">
      <x:c r="M1647" s="300"/>
      <x:c r="T1647" s="300"/>
    </x:row>
    <x:row r="1648">
      <x:c r="M1648" s="300"/>
      <x:c r="T1648" s="300"/>
    </x:row>
    <x:row r="1649">
      <x:c r="M1649" s="300"/>
      <x:c r="T1649" s="300"/>
    </x:row>
    <x:row r="1650">
      <x:c r="M1650" s="300"/>
      <x:c r="T1650" s="300"/>
    </x:row>
    <x:row r="1651">
      <x:c r="M1651" s="300"/>
      <x:c r="T1651" s="300"/>
    </x:row>
    <x:row r="1652">
      <x:c r="M1652" s="300"/>
      <x:c r="T1652" s="300"/>
    </x:row>
    <x:row r="1653">
      <x:c r="M1653" s="300"/>
      <x:c r="T1653" s="300"/>
    </x:row>
    <x:row r="1654">
      <x:c r="M1654" s="300"/>
      <x:c r="T1654" s="300"/>
    </x:row>
    <x:row r="1655">
      <x:c r="M1655" s="300"/>
      <x:c r="T1655" s="300"/>
    </x:row>
    <x:row r="1656">
      <x:c r="M1656" s="300"/>
      <x:c r="T1656" s="300"/>
    </x:row>
    <x:row r="1657">
      <x:c r="M1657" s="300"/>
      <x:c r="T1657" s="300"/>
    </x:row>
    <x:row r="1658">
      <x:c r="M1658" s="300"/>
      <x:c r="T1658" s="300"/>
    </x:row>
    <x:row r="1659">
      <x:c r="M1659" s="300"/>
      <x:c r="T1659" s="300"/>
    </x:row>
    <x:row r="1660">
      <x:c r="M1660" s="300"/>
      <x:c r="T1660" s="300"/>
    </x:row>
    <x:row r="1661">
      <x:c r="M1661" s="300"/>
      <x:c r="T1661" s="300"/>
    </x:row>
    <x:row r="1662">
      <x:c r="M1662" s="300"/>
      <x:c r="T1662" s="300"/>
    </x:row>
    <x:row r="1663">
      <x:c r="M1663" s="300"/>
      <x:c r="T1663" s="300"/>
    </x:row>
    <x:row r="1664">
      <x:c r="M1664" s="300"/>
      <x:c r="T1664" s="300"/>
    </x:row>
    <x:row r="1665">
      <x:c r="M1665" s="300"/>
      <x:c r="T1665" s="300"/>
    </x:row>
    <x:row r="1666">
      <x:c r="M1666" s="300"/>
      <x:c r="T1666" s="300"/>
    </x:row>
    <x:row r="1667">
      <x:c r="M1667" s="300"/>
      <x:c r="T1667" s="300"/>
    </x:row>
    <x:row r="1668">
      <x:c r="M1668" s="300"/>
      <x:c r="T1668" s="300"/>
    </x:row>
    <x:row r="1669">
      <x:c r="M1669" s="300"/>
      <x:c r="T1669" s="300"/>
    </x:row>
    <x:row r="1670">
      <x:c r="M1670" s="300"/>
      <x:c r="T1670" s="300"/>
    </x:row>
    <x:row r="1671">
      <x:c r="M1671" s="300"/>
      <x:c r="T1671" s="300"/>
    </x:row>
    <x:row r="1672">
      <x:c r="M1672" s="300"/>
      <x:c r="T1672" s="300"/>
    </x:row>
    <x:row r="1673">
      <x:c r="M1673" s="300"/>
      <x:c r="T1673" s="300"/>
    </x:row>
    <x:row r="1674">
      <x:c r="M1674" s="300"/>
      <x:c r="T1674" s="300"/>
    </x:row>
    <x:row r="1675">
      <x:c r="M1675" s="300"/>
      <x:c r="T1675" s="300"/>
    </x:row>
    <x:row r="1676">
      <x:c r="M1676" s="300"/>
      <x:c r="T1676" s="300"/>
    </x:row>
    <x:row r="1677">
      <x:c r="M1677" s="300"/>
      <x:c r="T1677" s="300"/>
    </x:row>
    <x:row r="1678">
      <x:c r="M1678" s="300"/>
      <x:c r="T1678" s="300"/>
    </x:row>
    <x:row r="1679">
      <x:c r="M1679" s="300"/>
      <x:c r="T1679" s="300"/>
    </x:row>
    <x:row r="1680">
      <x:c r="M1680" s="300"/>
      <x:c r="T1680" s="300"/>
    </x:row>
    <x:row r="1681">
      <x:c r="M1681" s="300"/>
      <x:c r="T1681" s="300"/>
    </x:row>
    <x:row r="1682">
      <x:c r="M1682" s="300"/>
      <x:c r="T1682" s="300"/>
    </x:row>
    <x:row r="1683">
      <x:c r="M1683" s="300"/>
      <x:c r="T1683" s="300"/>
    </x:row>
    <x:row r="1684">
      <x:c r="M1684" s="300"/>
      <x:c r="T1684" s="300"/>
    </x:row>
    <x:row r="1685">
      <x:c r="M1685" s="300"/>
      <x:c r="T1685" s="300"/>
    </x:row>
    <x:row r="1686">
      <x:c r="M1686" s="300"/>
      <x:c r="T1686" s="300"/>
    </x:row>
    <x:row r="1687">
      <x:c r="M1687" s="300"/>
      <x:c r="T1687" s="300"/>
    </x:row>
    <x:row r="1688">
      <x:c r="M1688" s="300"/>
      <x:c r="T1688" s="300"/>
    </x:row>
    <x:row r="1689">
      <x:c r="M1689" s="300"/>
      <x:c r="T1689" s="300"/>
    </x:row>
    <x:row r="1690">
      <x:c r="M1690" s="300"/>
      <x:c r="T1690" s="300"/>
    </x:row>
    <x:row r="1691">
      <x:c r="M1691" s="300"/>
      <x:c r="T1691" s="300"/>
    </x:row>
    <x:row r="1692">
      <x:c r="M1692" s="300"/>
      <x:c r="T1692" s="300"/>
    </x:row>
    <x:row r="1693">
      <x:c r="M1693" s="300"/>
      <x:c r="T1693" s="300"/>
    </x:row>
    <x:row r="1694">
      <x:c r="M1694" s="300"/>
      <x:c r="T1694" s="300"/>
    </x:row>
    <x:row r="1695">
      <x:c r="M1695" s="300"/>
      <x:c r="T1695" s="300"/>
    </x:row>
    <x:row r="1696">
      <x:c r="M1696" s="300"/>
      <x:c r="T1696" s="300"/>
    </x:row>
    <x:row r="1697">
      <x:c r="M1697" s="300"/>
      <x:c r="T1697" s="300"/>
    </x:row>
    <x:row r="1698">
      <x:c r="M1698" s="300"/>
      <x:c r="T1698" s="300"/>
    </x:row>
    <x:row r="1699">
      <x:c r="M1699" s="300"/>
      <x:c r="T1699" s="300"/>
    </x:row>
    <x:row r="1700">
      <x:c r="M1700" s="300"/>
      <x:c r="T1700" s="300"/>
    </x:row>
    <x:row r="1701">
      <x:c r="M1701" s="300"/>
      <x:c r="T1701" s="300"/>
    </x:row>
    <x:row r="1702">
      <x:c r="M1702" s="300"/>
      <x:c r="T1702" s="300"/>
    </x:row>
    <x:row r="1703">
      <x:c r="M1703" s="300"/>
      <x:c r="T1703" s="300"/>
    </x:row>
    <x:row r="1704">
      <x:c r="M1704" s="300"/>
      <x:c r="T1704" s="300"/>
    </x:row>
    <x:row r="1705">
      <x:c r="M1705" s="300"/>
      <x:c r="T1705" s="300"/>
    </x:row>
    <x:row r="1706">
      <x:c r="M1706" s="300"/>
      <x:c r="T1706" s="300"/>
    </x:row>
    <x:row r="1707">
      <x:c r="M1707" s="300"/>
      <x:c r="T1707" s="300"/>
    </x:row>
    <x:row r="1708">
      <x:c r="M1708" s="300"/>
      <x:c r="T1708" s="300"/>
    </x:row>
    <x:row r="1709">
      <x:c r="M1709" s="300"/>
      <x:c r="T1709" s="300"/>
    </x:row>
    <x:row r="1710">
      <x:c r="M1710" s="300"/>
      <x:c r="T1710" s="300"/>
    </x:row>
    <x:row r="1711">
      <x:c r="M1711" s="300"/>
      <x:c r="T1711" s="300"/>
    </x:row>
    <x:row r="1712">
      <x:c r="M1712" s="300"/>
      <x:c r="T1712" s="300"/>
    </x:row>
    <x:row r="1713">
      <x:c r="M1713" s="300"/>
      <x:c r="T1713" s="300"/>
    </x:row>
    <x:row r="1714">
      <x:c r="M1714" s="300"/>
      <x:c r="T1714" s="300"/>
    </x:row>
    <x:row r="1715">
      <x:c r="M1715" s="300"/>
      <x:c r="T1715" s="300"/>
    </x:row>
    <x:row r="1716">
      <x:c r="M1716" s="300"/>
      <x:c r="T1716" s="300"/>
    </x:row>
    <x:row r="1717">
      <x:c r="M1717" s="300"/>
      <x:c r="T1717" s="300"/>
    </x:row>
    <x:row r="1718">
      <x:c r="M1718" s="300"/>
      <x:c r="T1718" s="300"/>
    </x:row>
    <x:row r="1719">
      <x:c r="M1719" s="300"/>
      <x:c r="T1719" s="300"/>
    </x:row>
    <x:row r="1720">
      <x:c r="M1720" s="300"/>
      <x:c r="T1720" s="300"/>
    </x:row>
    <x:row r="1721">
      <x:c r="M1721" s="300"/>
      <x:c r="T1721" s="300"/>
    </x:row>
    <x:row r="1722">
      <x:c r="M1722" s="300"/>
      <x:c r="T1722" s="300"/>
    </x:row>
    <x:row r="1723">
      <x:c r="M1723" s="300"/>
      <x:c r="T1723" s="300"/>
    </x:row>
    <x:row r="1724">
      <x:c r="M1724" s="300"/>
      <x:c r="T1724" s="300"/>
    </x:row>
    <x:row r="1725">
      <x:c r="M1725" s="300"/>
      <x:c r="T1725" s="300"/>
    </x:row>
    <x:row r="1726">
      <x:c r="M1726" s="300"/>
      <x:c r="T1726" s="300"/>
    </x:row>
    <x:row r="1727">
      <x:c r="M1727" s="300"/>
      <x:c r="T1727" s="300"/>
    </x:row>
    <x:row r="1728">
      <x:c r="M1728" s="300"/>
      <x:c r="T1728" s="300"/>
    </x:row>
    <x:row r="1729">
      <x:c r="M1729" s="300"/>
      <x:c r="T1729" s="300"/>
    </x:row>
    <x:row r="1730">
      <x:c r="M1730" s="300"/>
      <x:c r="T1730" s="300"/>
    </x:row>
    <x:row r="1731">
      <x:c r="M1731" s="300"/>
      <x:c r="T1731" s="300"/>
    </x:row>
    <x:row r="1732">
      <x:c r="M1732" s="300"/>
      <x:c r="T1732" s="300"/>
    </x:row>
    <x:row r="1733">
      <x:c r="M1733" s="300"/>
      <x:c r="T1733" s="300"/>
    </x:row>
    <x:row r="1734">
      <x:c r="M1734" s="300"/>
      <x:c r="T1734" s="300"/>
    </x:row>
    <x:row r="1735">
      <x:c r="M1735" s="300"/>
      <x:c r="T1735" s="300"/>
    </x:row>
    <x:row r="1736">
      <x:c r="M1736" s="300"/>
      <x:c r="T1736" s="300"/>
    </x:row>
    <x:row r="1737">
      <x:c r="M1737" s="300"/>
      <x:c r="T1737" s="300"/>
    </x:row>
    <x:row r="1738">
      <x:c r="M1738" s="300"/>
      <x:c r="T1738" s="300"/>
    </x:row>
    <x:row r="1739">
      <x:c r="M1739" s="300"/>
      <x:c r="T1739" s="300"/>
    </x:row>
    <x:row r="1740">
      <x:c r="M1740" s="300"/>
      <x:c r="T1740" s="300"/>
    </x:row>
    <x:row r="1741">
      <x:c r="M1741" s="300"/>
      <x:c r="T1741" s="300"/>
    </x:row>
    <x:row r="1742">
      <x:c r="M1742" s="300"/>
      <x:c r="T1742" s="300"/>
    </x:row>
    <x:row r="1743">
      <x:c r="M1743" s="300"/>
      <x:c r="T1743" s="300"/>
    </x:row>
    <x:row r="1744">
      <x:c r="M1744" s="300"/>
      <x:c r="T1744" s="300"/>
    </x:row>
    <x:row r="1745">
      <x:c r="M1745" s="300"/>
      <x:c r="T1745" s="300"/>
    </x:row>
    <x:row r="1746">
      <x:c r="M1746" s="300"/>
      <x:c r="T1746" s="300"/>
    </x:row>
    <x:row r="1747">
      <x:c r="M1747" s="300"/>
      <x:c r="T1747" s="300"/>
    </x:row>
    <x:row r="1748">
      <x:c r="M1748" s="300"/>
      <x:c r="T1748" s="300"/>
    </x:row>
    <x:row r="1749">
      <x:c r="M1749" s="300"/>
      <x:c r="T1749" s="300"/>
    </x:row>
    <x:row r="1750">
      <x:c r="M1750" s="300"/>
      <x:c r="T1750" s="300"/>
    </x:row>
    <x:row r="1751">
      <x:c r="M1751" s="300"/>
      <x:c r="T1751" s="300"/>
    </x:row>
    <x:row r="1752">
      <x:c r="M1752" s="300"/>
      <x:c r="T1752" s="300"/>
    </x:row>
    <x:row r="1753">
      <x:c r="M1753" s="300"/>
      <x:c r="T1753" s="300"/>
    </x:row>
    <x:row r="1754">
      <x:c r="M1754" s="300"/>
      <x:c r="T1754" s="300"/>
    </x:row>
    <x:row r="1755">
      <x:c r="M1755" s="300"/>
      <x:c r="T1755" s="300"/>
    </x:row>
    <x:row r="1756">
      <x:c r="M1756" s="300"/>
      <x:c r="T1756" s="300"/>
    </x:row>
    <x:row r="1757">
      <x:c r="M1757" s="300"/>
      <x:c r="T1757" s="300"/>
    </x:row>
    <x:row r="1758">
      <x:c r="M1758" s="300"/>
      <x:c r="T1758" s="300"/>
    </x:row>
    <x:row r="1759">
      <x:c r="M1759" s="300"/>
      <x:c r="T1759" s="300"/>
    </x:row>
    <x:row r="1760">
      <x:c r="M1760" s="300"/>
      <x:c r="T1760" s="300"/>
    </x:row>
    <x:row r="1761">
      <x:c r="M1761" s="300"/>
      <x:c r="T1761" s="300"/>
    </x:row>
    <x:row r="1762">
      <x:c r="M1762" s="300"/>
      <x:c r="T1762" s="300"/>
    </x:row>
    <x:row r="1763">
      <x:c r="M1763" s="300"/>
      <x:c r="T1763" s="300"/>
    </x:row>
    <x:row r="1764">
      <x:c r="M1764" s="300"/>
      <x:c r="T1764" s="300"/>
    </x:row>
    <x:row r="1765">
      <x:c r="M1765" s="300"/>
      <x:c r="T1765" s="300"/>
    </x:row>
    <x:row r="1766">
      <x:c r="M1766" s="300"/>
      <x:c r="T1766" s="300"/>
    </x:row>
    <x:row r="1767">
      <x:c r="M1767" s="300"/>
      <x:c r="T1767" s="300"/>
    </x:row>
    <x:row r="1768">
      <x:c r="M1768" s="300"/>
      <x:c r="T1768" s="300"/>
    </x:row>
    <x:row r="1769">
      <x:c r="M1769" s="300"/>
      <x:c r="T1769" s="300"/>
    </x:row>
    <x:row r="1770">
      <x:c r="M1770" s="300"/>
      <x:c r="T1770" s="300"/>
    </x:row>
    <x:row r="1771">
      <x:c r="M1771" s="300"/>
      <x:c r="T1771" s="300"/>
    </x:row>
    <x:row r="1772">
      <x:c r="M1772" s="300"/>
      <x:c r="T1772" s="300"/>
    </x:row>
    <x:row r="1773">
      <x:c r="M1773" s="300"/>
      <x:c r="T1773" s="300"/>
    </x:row>
    <x:row r="1774">
      <x:c r="M1774" s="300"/>
      <x:c r="T1774" s="300"/>
    </x:row>
    <x:row r="1775">
      <x:c r="M1775" s="300"/>
      <x:c r="T1775" s="300"/>
    </x:row>
    <x:row r="1776">
      <x:c r="M1776" s="300"/>
      <x:c r="T1776" s="300"/>
    </x:row>
    <x:row r="1777">
      <x:c r="M1777" s="300"/>
      <x:c r="T1777" s="300"/>
    </x:row>
    <x:row r="1778">
      <x:c r="M1778" s="300"/>
      <x:c r="T1778" s="300"/>
    </x:row>
    <x:row r="1779">
      <x:c r="M1779" s="300"/>
      <x:c r="T1779" s="300"/>
    </x:row>
    <x:row r="1780">
      <x:c r="M1780" s="300"/>
      <x:c r="T1780" s="300"/>
    </x:row>
    <x:row r="1781">
      <x:c r="M1781" s="300"/>
      <x:c r="T1781" s="300"/>
    </x:row>
    <x:row r="1782">
      <x:c r="M1782" s="300"/>
      <x:c r="T1782" s="300"/>
    </x:row>
    <x:row r="1783">
      <x:c r="M1783" s="300"/>
      <x:c r="T1783" s="300"/>
    </x:row>
    <x:row r="1784">
      <x:c r="M1784" s="300"/>
      <x:c r="T1784" s="300"/>
    </x:row>
    <x:row r="1785">
      <x:c r="M1785" s="300"/>
      <x:c r="T1785" s="300"/>
    </x:row>
    <x:row r="1786">
      <x:c r="M1786" s="300"/>
      <x:c r="T1786" s="300"/>
    </x:row>
    <x:row r="1787">
      <x:c r="M1787" s="300"/>
      <x:c r="T1787" s="300"/>
    </x:row>
    <x:row r="1788">
      <x:c r="M1788" s="300"/>
      <x:c r="T1788" s="300"/>
    </x:row>
    <x:row r="1789">
      <x:c r="M1789" s="300"/>
      <x:c r="T1789" s="300"/>
    </x:row>
    <x:row r="1790">
      <x:c r="M1790" s="300"/>
      <x:c r="T1790" s="300"/>
    </x:row>
    <x:row r="1791">
      <x:c r="M1791" s="300"/>
      <x:c r="T1791" s="300"/>
    </x:row>
    <x:row r="1792">
      <x:c r="M1792" s="300"/>
      <x:c r="T1792" s="300"/>
    </x:row>
    <x:row r="1793">
      <x:c r="M1793" s="300"/>
      <x:c r="T1793" s="300"/>
    </x:row>
    <x:row r="1794">
      <x:c r="M1794" s="300"/>
      <x:c r="T1794" s="300"/>
    </x:row>
    <x:row r="1795">
      <x:c r="M1795" s="300"/>
      <x:c r="T1795" s="300"/>
    </x:row>
    <x:row r="1796">
      <x:c r="M1796" s="300"/>
      <x:c r="T1796" s="300"/>
    </x:row>
    <x:row r="1797">
      <x:c r="M1797" s="300"/>
      <x:c r="T1797" s="300"/>
    </x:row>
    <x:row r="1798">
      <x:c r="M1798" s="300"/>
      <x:c r="T1798" s="300"/>
    </x:row>
    <x:row r="1799">
      <x:c r="M1799" s="300"/>
      <x:c r="T1799" s="300"/>
    </x:row>
    <x:row r="1800">
      <x:c r="M1800" s="300"/>
      <x:c r="T1800" s="300"/>
    </x:row>
    <x:row r="1801">
      <x:c r="M1801" s="300"/>
      <x:c r="T1801" s="300"/>
    </x:row>
    <x:row r="1802">
      <x:c r="M1802" s="300"/>
      <x:c r="T1802" s="300"/>
    </x:row>
    <x:row r="1803">
      <x:c r="M1803" s="300"/>
      <x:c r="T1803" s="300"/>
    </x:row>
    <x:row r="1804">
      <x:c r="M1804" s="300"/>
      <x:c r="T1804" s="300"/>
    </x:row>
    <x:row r="1805">
      <x:c r="M1805" s="300"/>
      <x:c r="T1805" s="300"/>
    </x:row>
    <x:row r="1806">
      <x:c r="M1806" s="300"/>
      <x:c r="T1806" s="300"/>
    </x:row>
    <x:row r="1807">
      <x:c r="M1807" s="300"/>
      <x:c r="T1807" s="300"/>
    </x:row>
    <x:row r="1808">
      <x:c r="M1808" s="300"/>
      <x:c r="T1808" s="300"/>
    </x:row>
    <x:row r="1809">
      <x:c r="M1809" s="300"/>
      <x:c r="T1809" s="300"/>
    </x:row>
    <x:row r="1810">
      <x:c r="M1810" s="300"/>
      <x:c r="T1810" s="300"/>
    </x:row>
    <x:row r="1811">
      <x:c r="M1811" s="300"/>
      <x:c r="T1811" s="300"/>
    </x:row>
    <x:row r="1812">
      <x:c r="M1812" s="300"/>
      <x:c r="T1812" s="300"/>
    </x:row>
    <x:row r="1813">
      <x:c r="M1813" s="300"/>
      <x:c r="T1813" s="300"/>
    </x:row>
    <x:row r="1814">
      <x:c r="M1814" s="300"/>
      <x:c r="T1814" s="300"/>
    </x:row>
    <x:row r="1815">
      <x:c r="M1815" s="300"/>
      <x:c r="T1815" s="300"/>
    </x:row>
    <x:row r="1816">
      <x:c r="M1816" s="300"/>
      <x:c r="T1816" s="300"/>
    </x:row>
    <x:row r="1817">
      <x:c r="M1817" s="300"/>
      <x:c r="T1817" s="300"/>
    </x:row>
    <x:row r="1818">
      <x:c r="M1818" s="300"/>
      <x:c r="T1818" s="300"/>
    </x:row>
    <x:row r="1819">
      <x:c r="M1819" s="300"/>
      <x:c r="T1819" s="300"/>
    </x:row>
    <x:row r="1820">
      <x:c r="M1820" s="300"/>
      <x:c r="T1820" s="300"/>
    </x:row>
    <x:row r="1821">
      <x:c r="M1821" s="300"/>
      <x:c r="T1821" s="300"/>
    </x:row>
    <x:row r="1822">
      <x:c r="M1822" s="300"/>
      <x:c r="T1822" s="300"/>
    </x:row>
    <x:row r="1823">
      <x:c r="M1823" s="300"/>
      <x:c r="T1823" s="300"/>
    </x:row>
    <x:row r="1824">
      <x:c r="M1824" s="300"/>
      <x:c r="T1824" s="300"/>
    </x:row>
    <x:row r="1825">
      <x:c r="M1825" s="300"/>
      <x:c r="T1825" s="300"/>
    </x:row>
    <x:row r="1826">
      <x:c r="M1826" s="300"/>
      <x:c r="T1826" s="300"/>
    </x:row>
    <x:row r="1827">
      <x:c r="M1827" s="300"/>
      <x:c r="T1827" s="300"/>
    </x:row>
    <x:row r="1828">
      <x:c r="M1828" s="300"/>
      <x:c r="T1828" s="300"/>
    </x:row>
    <x:row r="1829">
      <x:c r="M1829" s="300"/>
      <x:c r="T1829" s="300"/>
    </x:row>
    <x:row r="1830">
      <x:c r="M1830" s="300"/>
      <x:c r="T1830" s="300"/>
    </x:row>
    <x:row r="1831">
      <x:c r="M1831" s="300"/>
      <x:c r="T1831" s="300"/>
    </x:row>
    <x:row r="1832">
      <x:c r="M1832" s="300"/>
      <x:c r="T1832" s="300"/>
    </x:row>
    <x:row r="1833">
      <x:c r="M1833" s="300"/>
      <x:c r="T1833" s="300"/>
    </x:row>
    <x:row r="1834">
      <x:c r="M1834" s="300"/>
      <x:c r="T1834" s="300"/>
    </x:row>
    <x:row r="1835">
      <x:c r="M1835" s="300"/>
      <x:c r="T1835" s="300"/>
    </x:row>
    <x:row r="1836">
      <x:c r="M1836" s="300"/>
      <x:c r="T1836" s="300"/>
    </x:row>
    <x:row r="1837">
      <x:c r="M1837" s="300"/>
      <x:c r="T1837" s="300"/>
    </x:row>
    <x:row r="1838">
      <x:c r="M1838" s="300"/>
      <x:c r="T1838" s="300"/>
    </x:row>
    <x:row r="1839">
      <x:c r="M1839" s="300"/>
      <x:c r="T1839" s="300"/>
    </x:row>
    <x:row r="1840">
      <x:c r="M1840" s="300"/>
      <x:c r="T1840" s="300"/>
    </x:row>
    <x:row r="1841">
      <x:c r="M1841" s="300"/>
      <x:c r="T1841" s="300"/>
    </x:row>
    <x:row r="1842">
      <x:c r="M1842" s="300"/>
      <x:c r="T1842" s="300"/>
    </x:row>
    <x:row r="1843">
      <x:c r="M1843" s="300"/>
      <x:c r="T1843" s="300"/>
    </x:row>
    <x:row r="1844">
      <x:c r="M1844" s="300"/>
      <x:c r="T1844" s="300"/>
    </x:row>
    <x:row r="1845">
      <x:c r="M1845" s="300"/>
      <x:c r="T1845" s="300"/>
    </x:row>
    <x:row r="1846">
      <x:c r="M1846" s="300"/>
      <x:c r="T1846" s="300"/>
    </x:row>
    <x:row r="1847">
      <x:c r="M1847" s="300"/>
      <x:c r="T1847" s="300"/>
    </x:row>
    <x:row r="1848">
      <x:c r="M1848" s="300"/>
      <x:c r="T1848" s="300"/>
    </x:row>
    <x:row r="1849">
      <x:c r="M1849" s="300"/>
      <x:c r="T1849" s="300"/>
    </x:row>
    <x:row r="1850">
      <x:c r="M1850" s="300"/>
      <x:c r="T1850" s="300"/>
    </x:row>
    <x:row r="1851">
      <x:c r="M1851" s="300"/>
      <x:c r="T1851" s="300"/>
    </x:row>
    <x:row r="1852">
      <x:c r="M1852" s="300"/>
      <x:c r="T1852" s="300"/>
    </x:row>
    <x:row r="1853">
      <x:c r="M1853" s="300"/>
      <x:c r="T1853" s="300"/>
    </x:row>
    <x:row r="1854">
      <x:c r="M1854" s="300"/>
      <x:c r="T1854" s="300"/>
    </x:row>
    <x:row r="1855">
      <x:c r="M1855" s="300"/>
      <x:c r="T1855" s="300"/>
    </x:row>
    <x:row r="1856">
      <x:c r="M1856" s="300"/>
      <x:c r="T1856" s="300"/>
    </x:row>
    <x:row r="1857">
      <x:c r="M1857" s="300"/>
      <x:c r="T1857" s="300"/>
    </x:row>
    <x:row r="1858">
      <x:c r="M1858" s="300"/>
      <x:c r="T1858" s="300"/>
    </x:row>
    <x:row r="1859">
      <x:c r="M1859" s="300"/>
      <x:c r="T1859" s="300"/>
    </x:row>
    <x:row r="1860">
      <x:c r="M1860" s="300"/>
      <x:c r="T1860" s="300"/>
    </x:row>
    <x:row r="1861">
      <x:c r="M1861" s="300"/>
      <x:c r="T1861" s="300"/>
    </x:row>
    <x:row r="1862">
      <x:c r="M1862" s="300"/>
      <x:c r="T1862" s="300"/>
    </x:row>
    <x:row r="1863">
      <x:c r="M1863" s="300"/>
      <x:c r="T1863" s="300"/>
    </x:row>
    <x:row r="1864">
      <x:c r="M1864" s="300"/>
      <x:c r="T1864" s="300"/>
    </x:row>
    <x:row r="1865">
      <x:c r="M1865" s="300"/>
      <x:c r="T1865" s="300"/>
    </x:row>
    <x:row r="1866">
      <x:c r="M1866" s="300"/>
      <x:c r="T1866" s="300"/>
    </x:row>
    <x:row r="1867">
      <x:c r="M1867" s="300"/>
      <x:c r="T1867" s="300"/>
    </x:row>
    <x:row r="1868">
      <x:c r="M1868" s="300"/>
      <x:c r="T1868" s="300"/>
    </x:row>
    <x:row r="1869">
      <x:c r="M1869" s="300"/>
      <x:c r="T1869" s="300"/>
    </x:row>
    <x:row r="1870">
      <x:c r="M1870" s="300"/>
      <x:c r="T1870" s="300"/>
    </x:row>
    <x:row r="1871">
      <x:c r="M1871" s="300"/>
      <x:c r="T1871" s="300"/>
    </x:row>
    <x:row r="1872">
      <x:c r="M1872" s="300"/>
      <x:c r="T1872" s="300"/>
    </x:row>
    <x:row r="1873">
      <x:c r="M1873" s="300"/>
      <x:c r="T1873" s="300"/>
    </x:row>
    <x:row r="1874">
      <x:c r="M1874" s="300"/>
      <x:c r="T1874" s="300"/>
    </x:row>
    <x:row r="1875">
      <x:c r="M1875" s="300"/>
      <x:c r="T1875" s="300"/>
    </x:row>
    <x:row r="1876">
      <x:c r="M1876" s="300"/>
      <x:c r="T1876" s="300"/>
    </x:row>
    <x:row r="1877">
      <x:c r="M1877" s="300"/>
      <x:c r="T1877" s="300"/>
    </x:row>
    <x:row r="1878">
      <x:c r="M1878" s="300"/>
      <x:c r="T1878" s="300"/>
    </x:row>
    <x:row r="1879">
      <x:c r="M1879" s="300"/>
      <x:c r="T1879" s="300"/>
    </x:row>
    <x:row r="1880">
      <x:c r="M1880" s="300"/>
      <x:c r="T1880" s="300"/>
    </x:row>
    <x:row r="1881">
      <x:c r="M1881" s="300"/>
      <x:c r="T1881" s="300"/>
    </x:row>
    <x:row r="1882">
      <x:c r="M1882" s="300"/>
      <x:c r="T1882" s="300"/>
    </x:row>
    <x:row r="1883">
      <x:c r="M1883" s="300"/>
      <x:c r="T1883" s="300"/>
    </x:row>
    <x:row r="1884">
      <x:c r="M1884" s="300"/>
      <x:c r="T1884" s="300"/>
    </x:row>
    <x:row r="1885">
      <x:c r="M1885" s="300"/>
      <x:c r="T1885" s="300"/>
    </x:row>
    <x:row r="1886">
      <x:c r="M1886" s="300"/>
      <x:c r="T1886" s="300"/>
    </x:row>
    <x:row r="1887">
      <x:c r="M1887" s="300"/>
      <x:c r="T1887" s="300"/>
    </x:row>
    <x:row r="1888">
      <x:c r="M1888" s="300"/>
      <x:c r="T1888" s="300"/>
    </x:row>
    <x:row r="1889">
      <x:c r="M1889" s="300"/>
      <x:c r="T1889" s="300"/>
    </x:row>
    <x:row r="1890">
      <x:c r="M1890" s="300"/>
      <x:c r="T1890" s="300"/>
    </x:row>
    <x:row r="1891">
      <x:c r="M1891" s="300"/>
      <x:c r="T1891" s="300"/>
    </x:row>
    <x:row r="1892">
      <x:c r="M1892" s="300"/>
      <x:c r="T1892" s="300"/>
    </x:row>
    <x:row r="1893">
      <x:c r="M1893" s="300"/>
      <x:c r="T1893" s="300"/>
    </x:row>
    <x:row r="1894">
      <x:c r="M1894" s="300"/>
      <x:c r="T1894" s="300"/>
    </x:row>
    <x:row r="1895">
      <x:c r="M1895" s="300"/>
      <x:c r="T1895" s="300"/>
    </x:row>
    <x:row r="1896">
      <x:c r="M1896" s="300"/>
      <x:c r="T1896" s="300"/>
    </x:row>
    <x:row r="1897">
      <x:c r="M1897" s="300"/>
      <x:c r="T1897" s="300"/>
    </x:row>
    <x:row r="1898">
      <x:c r="M1898" s="300"/>
      <x:c r="T1898" s="300"/>
    </x:row>
    <x:row r="1899">
      <x:c r="M1899" s="300"/>
      <x:c r="T1899" s="300"/>
    </x:row>
    <x:row r="1900">
      <x:c r="M1900" s="300"/>
      <x:c r="T1900" s="300"/>
    </x:row>
    <x:row r="1901">
      <x:c r="M1901" s="300"/>
      <x:c r="T1901" s="300"/>
    </x:row>
    <x:row r="1902">
      <x:c r="M1902" s="300"/>
      <x:c r="T1902" s="300"/>
    </x:row>
    <x:row r="1903">
      <x:c r="M1903" s="300"/>
      <x:c r="T1903" s="300"/>
    </x:row>
    <x:row r="1904">
      <x:c r="M1904" s="300"/>
      <x:c r="T1904" s="300"/>
    </x:row>
    <x:row r="1905">
      <x:c r="M1905" s="300"/>
      <x:c r="T1905" s="300"/>
    </x:row>
    <x:row r="1906">
      <x:c r="M1906" s="300"/>
      <x:c r="T1906" s="300"/>
    </x:row>
    <x:row r="1907">
      <x:c r="M1907" s="300"/>
      <x:c r="T1907" s="300"/>
    </x:row>
    <x:row r="1908">
      <x:c r="M1908" s="300"/>
      <x:c r="T1908" s="300"/>
    </x:row>
    <x:row r="1909">
      <x:c r="M1909" s="300"/>
      <x:c r="T1909" s="300"/>
    </x:row>
    <x:row r="1910">
      <x:c r="M1910" s="300"/>
      <x:c r="T1910" s="300"/>
    </x:row>
    <x:row r="1911">
      <x:c r="M1911" s="300"/>
      <x:c r="T1911" s="300"/>
    </x:row>
    <x:row r="1912">
      <x:c r="M1912" s="300"/>
      <x:c r="T1912" s="300"/>
    </x:row>
    <x:row r="1913">
      <x:c r="M1913" s="300"/>
      <x:c r="T1913" s="300"/>
    </x:row>
    <x:row r="1914">
      <x:c r="M1914" s="300"/>
      <x:c r="T1914" s="300"/>
    </x:row>
    <x:row r="1915">
      <x:c r="M1915" s="300"/>
      <x:c r="T1915" s="300"/>
    </x:row>
    <x:row r="1916">
      <x:c r="M1916" s="300"/>
      <x:c r="T1916" s="300"/>
    </x:row>
    <x:row r="1917">
      <x:c r="M1917" s="300"/>
      <x:c r="T1917" s="300"/>
    </x:row>
    <x:row r="1918">
      <x:c r="M1918" s="300"/>
      <x:c r="T1918" s="300"/>
    </x:row>
    <x:row r="1919">
      <x:c r="M1919" s="300"/>
      <x:c r="T1919" s="300"/>
    </x:row>
    <x:row r="1920">
      <x:c r="M1920" s="300"/>
      <x:c r="T1920" s="300"/>
    </x:row>
    <x:row r="1921">
      <x:c r="M1921" s="300"/>
      <x:c r="T1921" s="300"/>
    </x:row>
    <x:row r="1922">
      <x:c r="M1922" s="300"/>
      <x:c r="T1922" s="300"/>
    </x:row>
    <x:row r="1923">
      <x:c r="M1923" s="300"/>
      <x:c r="T1923" s="300"/>
    </x:row>
    <x:row r="1924">
      <x:c r="M1924" s="300"/>
      <x:c r="T1924" s="300"/>
    </x:row>
    <x:row r="1925">
      <x:c r="M1925" s="300"/>
      <x:c r="T1925" s="300"/>
    </x:row>
    <x:row r="1926">
      <x:c r="M1926" s="300"/>
      <x:c r="T1926" s="300"/>
    </x:row>
    <x:row r="1927">
      <x:c r="M1927" s="300"/>
      <x:c r="T1927" s="300"/>
    </x:row>
    <x:row r="1928">
      <x:c r="M1928" s="300"/>
      <x:c r="T1928" s="300"/>
    </x:row>
    <x:row r="1929">
      <x:c r="M1929" s="300"/>
      <x:c r="T1929" s="300"/>
    </x:row>
    <x:row r="1930">
      <x:c r="M1930" s="300"/>
      <x:c r="T1930" s="300"/>
    </x:row>
    <x:row r="1931">
      <x:c r="M1931" s="300"/>
      <x:c r="T1931" s="300"/>
    </x:row>
    <x:row r="1932">
      <x:c r="M1932" s="300"/>
      <x:c r="T1932" s="300"/>
    </x:row>
    <x:row r="1933">
      <x:c r="M1933" s="300"/>
      <x:c r="T1933" s="300"/>
    </x:row>
    <x:row r="1934">
      <x:c r="M1934" s="300"/>
      <x:c r="T1934" s="300"/>
    </x:row>
    <x:row r="1935">
      <x:c r="M1935" s="300"/>
      <x:c r="T1935" s="300"/>
    </x:row>
    <x:row r="1936">
      <x:c r="M1936" s="300"/>
      <x:c r="T1936" s="300"/>
    </x:row>
    <x:row r="1937">
      <x:c r="M1937" s="300"/>
      <x:c r="T1937" s="300"/>
    </x:row>
    <x:row r="1938">
      <x:c r="M1938" s="300"/>
      <x:c r="T1938" s="300"/>
    </x:row>
    <x:row r="1939">
      <x:c r="M1939" s="300"/>
      <x:c r="T1939" s="300"/>
    </x:row>
    <x:row r="1940">
      <x:c r="M1940" s="300"/>
      <x:c r="T1940" s="300"/>
    </x:row>
    <x:row r="1941">
      <x:c r="M1941" s="300"/>
      <x:c r="T1941" s="300"/>
    </x:row>
    <x:row r="1942">
      <x:c r="M1942" s="300"/>
      <x:c r="T1942" s="300"/>
    </x:row>
    <x:row r="1943">
      <x:c r="M1943" s="300"/>
      <x:c r="T1943" s="300"/>
    </x:row>
    <x:row r="1944">
      <x:c r="M1944" s="300"/>
      <x:c r="T1944" s="300"/>
    </x:row>
    <x:row r="1945">
      <x:c r="M1945" s="300"/>
      <x:c r="T1945" s="300"/>
    </x:row>
    <x:row r="1946">
      <x:c r="M1946" s="300"/>
      <x:c r="T1946" s="300"/>
    </x:row>
    <x:row r="1947">
      <x:c r="M1947" s="300"/>
      <x:c r="T1947" s="300"/>
    </x:row>
    <x:row r="1948">
      <x:c r="M1948" s="300"/>
      <x:c r="T1948" s="300"/>
    </x:row>
    <x:row r="1949">
      <x:c r="M1949" s="300"/>
      <x:c r="T1949" s="300"/>
    </x:row>
    <x:row r="1950">
      <x:c r="M1950" s="300"/>
      <x:c r="T1950" s="300"/>
    </x:row>
    <x:row r="1951">
      <x:c r="M1951" s="300"/>
      <x:c r="T1951" s="300"/>
    </x:row>
    <x:row r="1952">
      <x:c r="M1952" s="300"/>
      <x:c r="T1952" s="300"/>
    </x:row>
    <x:row r="1953">
      <x:c r="M1953" s="300"/>
      <x:c r="T1953" s="300"/>
    </x:row>
    <x:row r="1954">
      <x:c r="M1954" s="300"/>
      <x:c r="T1954" s="300"/>
    </x:row>
    <x:row r="1955">
      <x:c r="M1955" s="300"/>
      <x:c r="T1955" s="300"/>
    </x:row>
    <x:row r="1956">
      <x:c r="M1956" s="300"/>
      <x:c r="T1956" s="300"/>
    </x:row>
    <x:row r="1957">
      <x:c r="M1957" s="300"/>
      <x:c r="T1957" s="300"/>
    </x:row>
    <x:row r="1958">
      <x:c r="M1958" s="300"/>
      <x:c r="T1958" s="300"/>
    </x:row>
    <x:row r="1959">
      <x:c r="M1959" s="300"/>
      <x:c r="T1959" s="300"/>
    </x:row>
    <x:row r="1960">
      <x:c r="M1960" s="300"/>
      <x:c r="T1960" s="300"/>
    </x:row>
    <x:row r="1961">
      <x:c r="M1961" s="300"/>
      <x:c r="T1961" s="300"/>
    </x:row>
    <x:row r="1962">
      <x:c r="M1962" s="300"/>
      <x:c r="T1962" s="300"/>
    </x:row>
    <x:row r="1963">
      <x:c r="M1963" s="300"/>
      <x:c r="T1963" s="300"/>
    </x:row>
    <x:row r="1964">
      <x:c r="M1964" s="300"/>
      <x:c r="T1964" s="300"/>
    </x:row>
    <x:row r="1965">
      <x:c r="M1965" s="300"/>
      <x:c r="T1965" s="300"/>
    </x:row>
    <x:row r="1966">
      <x:c r="M1966" s="300"/>
      <x:c r="T1966" s="300"/>
    </x:row>
    <x:row r="1967">
      <x:c r="M1967" s="300"/>
      <x:c r="T1967" s="300"/>
    </x:row>
    <x:row r="1968">
      <x:c r="M1968" s="300"/>
      <x:c r="T1968" s="300"/>
    </x:row>
    <x:row r="1969">
      <x:c r="M1969" s="300"/>
      <x:c r="T1969" s="300"/>
    </x:row>
    <x:row r="1970">
      <x:c r="M1970" s="300"/>
      <x:c r="T1970" s="300"/>
    </x:row>
    <x:row r="1971">
      <x:c r="M1971" s="300"/>
      <x:c r="T1971" s="300"/>
    </x:row>
    <x:row r="1972">
      <x:c r="M1972" s="300"/>
      <x:c r="T1972" s="300"/>
    </x:row>
    <x:row r="1973">
      <x:c r="M1973" s="300"/>
      <x:c r="T1973" s="300"/>
    </x:row>
    <x:row r="1974">
      <x:c r="M1974" s="300"/>
      <x:c r="T1974" s="300"/>
    </x:row>
    <x:row r="1975">
      <x:c r="M1975" s="300"/>
      <x:c r="T1975" s="300"/>
    </x:row>
    <x:row r="1976">
      <x:c r="M1976" s="300"/>
      <x:c r="T1976" s="300"/>
    </x:row>
    <x:row r="1977">
      <x:c r="M1977" s="300"/>
      <x:c r="T1977" s="300"/>
    </x:row>
    <x:row r="1978">
      <x:c r="M1978" s="300"/>
      <x:c r="T1978" s="300"/>
    </x:row>
    <x:row r="1979">
      <x:c r="M1979" s="300"/>
      <x:c r="T1979" s="300"/>
    </x:row>
    <x:row r="1980">
      <x:c r="M1980" s="300"/>
      <x:c r="T1980" s="300"/>
    </x:row>
    <x:row r="1981">
      <x:c r="M1981" s="300"/>
      <x:c r="T1981" s="300"/>
    </x:row>
    <x:row r="1982">
      <x:c r="M1982" s="300"/>
      <x:c r="T1982" s="300"/>
    </x:row>
    <x:row r="1983">
      <x:c r="M1983" s="300"/>
      <x:c r="T1983" s="300"/>
    </x:row>
    <x:row r="1984">
      <x:c r="M1984" s="300"/>
      <x:c r="T1984" s="300"/>
    </x:row>
    <x:row r="1985">
      <x:c r="M1985" s="300"/>
      <x:c r="T1985" s="300"/>
    </x:row>
    <x:row r="1986">
      <x:c r="M1986" s="300"/>
      <x:c r="T1986" s="300"/>
    </x:row>
    <x:row r="1987">
      <x:c r="M1987" s="300"/>
      <x:c r="T1987" s="300"/>
    </x:row>
    <x:row r="1988">
      <x:c r="M1988" s="300"/>
      <x:c r="T1988" s="300"/>
    </x:row>
    <x:row r="1989">
      <x:c r="M1989" s="300"/>
      <x:c r="T1989" s="300"/>
    </x:row>
    <x:row r="1990">
      <x:c r="M1990" s="300"/>
      <x:c r="T1990" s="300"/>
    </x:row>
    <x:row r="1991">
      <x:c r="M1991" s="300"/>
      <x:c r="T1991" s="300"/>
    </x:row>
    <x:row r="1992">
      <x:c r="M1992" s="300"/>
      <x:c r="T1992" s="300"/>
    </x:row>
    <x:row r="1993">
      <x:c r="M1993" s="300"/>
      <x:c r="T1993" s="300"/>
    </x:row>
    <x:row r="1994">
      <x:c r="M1994" s="300"/>
      <x:c r="T1994" s="300"/>
    </x:row>
    <x:row r="1995">
      <x:c r="M1995" s="300"/>
      <x:c r="T1995" s="300"/>
    </x:row>
    <x:row r="1996">
      <x:c r="M1996" s="300"/>
      <x:c r="T1996" s="300"/>
    </x:row>
    <x:row r="1997">
      <x:c r="M1997" s="300"/>
      <x:c r="T1997" s="300"/>
    </x:row>
    <x:row r="1998">
      <x:c r="M1998" s="300"/>
      <x:c r="T1998" s="300"/>
    </x:row>
    <x:row r="1999">
      <x:c r="M1999" s="300"/>
      <x:c r="T1999" s="300"/>
    </x:row>
    <x:row r="2000">
      <x:c r="M2000" s="300"/>
      <x:c r="T2000" s="300"/>
    </x:row>
  </x:sheetData>
  <x:dataValidations count="1">
    <x:dataValidation type="list" sqref="V2:V2000">
      <x:formula1>"ЧЕРНОВИК,ПОДТВЕРЖДЕНО,ОТКЛОНЕНО,ДЕМО"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7b4d637da8427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2" hidden="0" customWidth="1"/>
    <x:col min="4" max="4" width="34" hidden="0" customWidth="1"/>
    <x:col min="5" max="5" width="18" hidden="0" customWidth="1"/>
    <x:col min="6" max="6" width="24" hidden="0" customWidth="1"/>
    <x:col min="7" max="7" width="12" hidden="0" customWidth="1"/>
    <x:col min="8" max="8" width="18" hidden="0" customWidth="1"/>
    <x:col min="9" max="9" width="60" hidden="0" customWidth="1"/>
    <x:col min="10" max="10" width="12" hidden="0" customWidth="1"/>
  </x:cols>
  <x:sheetData>
    <x:row r="1">
      <x:c r="A1" s="38" t="str">
        <x:v>Impact_ID</x:v>
      </x:c>
      <x:c r="B1" s="38" t="str">
        <x:v>Период</x:v>
      </x:c>
      <x:c r="C1" s="38" t="str">
        <x:v>Код строки</x:v>
      </x:c>
      <x:c r="D1" s="38" t="str">
        <x:v>Корректировка_ID</x:v>
      </x:c>
      <x:c r="E1" s="38" t="str">
        <x:v>Тип влияния</x:v>
      </x:c>
      <x:c r="F1" s="38" t="str">
        <x:v>Сумма влияния на строку ОПИУ</x:v>
      </x:c>
      <x:c r="G1" s="38" t="str">
        <x:v>Учитывать</x:v>
      </x:c>
      <x:c r="H1" s="38" t="str">
        <x:v>Статус</x:v>
      </x:c>
      <x:c r="I1" s="38" t="str">
        <x:v>Основание</x:v>
      </x:c>
      <x:c r="J1" s="38" t="str">
        <x:v>Версия</x:v>
      </x:c>
    </x:row>
    <x:row r="2">
      <x:c r="A2" s="164" t="str"/>
      <x:c r="B2" s="164" t="str"/>
      <x:c r="C2" s="164" t="str"/>
      <x:c r="D2" s="164" t="str"/>
      <x:c r="E2" s="164" t="str"/>
      <x:c r="F2" s="292" t="str"/>
      <x:c r="G2" s="164" t="str">
        <x:v>Нет</x:v>
      </x:c>
      <x:c r="H2" s="164" t="str">
        <x:v>ЧЕРНОВИК</x:v>
      </x:c>
      <x:c r="I2" s="164" t="str"/>
      <x:c r="J2" s="164" t="str">
        <x:v>v01</x:v>
      </x:c>
    </x:row>
    <x:row r="3">
      <x:c r="A3" s="164"/>
      <x:c r="B3" s="164"/>
      <x:c r="C3" s="164"/>
      <x:c r="D3" s="164"/>
      <x:c r="E3" s="164"/>
      <x:c r="F3" s="292"/>
      <x:c r="G3" s="164"/>
      <x:c r="H3" s="164"/>
      <x:c r="I3" s="164"/>
      <x:c r="J3" s="164"/>
    </x:row>
    <x:row r="4">
      <x:c r="A4" s="164"/>
      <x:c r="B4" s="164"/>
      <x:c r="C4" s="164"/>
      <x:c r="D4" s="164"/>
      <x:c r="E4" s="164"/>
      <x:c r="F4" s="292"/>
      <x:c r="G4" s="164"/>
      <x:c r="H4" s="164"/>
      <x:c r="I4" s="164"/>
      <x:c r="J4" s="164"/>
    </x:row>
    <x:row r="5">
      <x:c r="A5" s="164"/>
      <x:c r="B5" s="164"/>
      <x:c r="C5" s="164"/>
      <x:c r="D5" s="164"/>
      <x:c r="E5" s="164"/>
      <x:c r="F5" s="292"/>
      <x:c r="G5" s="164"/>
      <x:c r="H5" s="164"/>
      <x:c r="I5" s="164"/>
      <x:c r="J5" s="164"/>
    </x:row>
    <x:row r="6">
      <x:c r="A6" s="164"/>
      <x:c r="B6" s="164"/>
      <x:c r="C6" s="164"/>
      <x:c r="D6" s="164"/>
      <x:c r="E6" s="164"/>
      <x:c r="F6" s="292"/>
      <x:c r="G6" s="164"/>
      <x:c r="H6" s="164"/>
      <x:c r="I6" s="164"/>
      <x:c r="J6" s="164"/>
    </x:row>
    <x:row r="7">
      <x:c r="A7" s="164"/>
      <x:c r="B7" s="164"/>
      <x:c r="C7" s="164"/>
      <x:c r="D7" s="164"/>
      <x:c r="E7" s="164"/>
      <x:c r="F7" s="292"/>
      <x:c r="G7" s="164"/>
      <x:c r="H7" s="164"/>
      <x:c r="I7" s="164"/>
      <x:c r="J7" s="164"/>
    </x:row>
    <x:row r="8">
      <x:c r="A8" s="164"/>
      <x:c r="B8" s="164"/>
      <x:c r="C8" s="164"/>
      <x:c r="D8" s="164"/>
      <x:c r="E8" s="164"/>
      <x:c r="F8" s="292"/>
      <x:c r="G8" s="164"/>
      <x:c r="H8" s="164"/>
      <x:c r="I8" s="164"/>
      <x:c r="J8" s="164"/>
    </x:row>
    <x:row r="9">
      <x:c r="A9" s="164"/>
      <x:c r="B9" s="164"/>
      <x:c r="C9" s="164"/>
      <x:c r="D9" s="164"/>
      <x:c r="E9" s="164"/>
      <x:c r="F9" s="292"/>
      <x:c r="G9" s="164"/>
      <x:c r="H9" s="164"/>
      <x:c r="I9" s="164"/>
      <x:c r="J9" s="164"/>
    </x:row>
    <x:row r="10">
      <x:c r="A10" s="164"/>
      <x:c r="B10" s="164"/>
      <x:c r="C10" s="164"/>
      <x:c r="D10" s="164"/>
      <x:c r="E10" s="164"/>
      <x:c r="F10" s="292"/>
      <x:c r="G10" s="164"/>
      <x:c r="H10" s="164"/>
      <x:c r="I10" s="164"/>
      <x:c r="J10" s="164"/>
    </x:row>
    <x:row r="11">
      <x:c r="A11" s="164"/>
      <x:c r="B11" s="164"/>
      <x:c r="C11" s="164"/>
      <x:c r="D11" s="164"/>
      <x:c r="E11" s="164"/>
      <x:c r="F11" s="292"/>
      <x:c r="G11" s="164"/>
      <x:c r="H11" s="164"/>
      <x:c r="I11" s="164"/>
      <x:c r="J11" s="164"/>
    </x:row>
    <x:row r="12">
      <x:c r="A12" s="164"/>
      <x:c r="B12" s="164"/>
      <x:c r="C12" s="164"/>
      <x:c r="D12" s="164"/>
      <x:c r="E12" s="164"/>
      <x:c r="F12" s="292"/>
      <x:c r="G12" s="164"/>
      <x:c r="H12" s="164"/>
      <x:c r="I12" s="164"/>
      <x:c r="J12" s="164"/>
    </x:row>
    <x:row r="13">
      <x:c r="A13" s="164"/>
      <x:c r="B13" s="164"/>
      <x:c r="C13" s="164"/>
      <x:c r="D13" s="164"/>
      <x:c r="E13" s="164"/>
      <x:c r="F13" s="292"/>
      <x:c r="G13" s="164"/>
      <x:c r="H13" s="164"/>
      <x:c r="I13" s="164"/>
      <x:c r="J13" s="164"/>
    </x:row>
    <x:row r="14">
      <x:c r="A14" s="164"/>
      <x:c r="B14" s="164"/>
      <x:c r="C14" s="164"/>
      <x:c r="D14" s="164"/>
      <x:c r="E14" s="164"/>
      <x:c r="F14" s="292"/>
      <x:c r="G14" s="164"/>
      <x:c r="H14" s="164"/>
      <x:c r="I14" s="164"/>
      <x:c r="J14" s="164"/>
    </x:row>
    <x:row r="15">
      <x:c r="A15" s="164"/>
      <x:c r="B15" s="164"/>
      <x:c r="C15" s="164"/>
      <x:c r="D15" s="164"/>
      <x:c r="E15" s="164"/>
      <x:c r="F15" s="292"/>
      <x:c r="G15" s="164"/>
      <x:c r="H15" s="164"/>
      <x:c r="I15" s="164"/>
      <x:c r="J15" s="164"/>
    </x:row>
    <x:row r="16">
      <x:c r="A16" s="164"/>
      <x:c r="B16" s="164"/>
      <x:c r="C16" s="164"/>
      <x:c r="D16" s="164"/>
      <x:c r="E16" s="164"/>
      <x:c r="F16" s="292"/>
      <x:c r="G16" s="164"/>
      <x:c r="H16" s="164"/>
      <x:c r="I16" s="164"/>
      <x:c r="J16" s="164"/>
    </x:row>
    <x:row r="17">
      <x:c r="A17" s="164"/>
      <x:c r="B17" s="164"/>
      <x:c r="C17" s="164"/>
      <x:c r="D17" s="164"/>
      <x:c r="E17" s="164"/>
      <x:c r="F17" s="292"/>
      <x:c r="G17" s="164"/>
      <x:c r="H17" s="164"/>
      <x:c r="I17" s="164"/>
      <x:c r="J17" s="164"/>
    </x:row>
    <x:row r="18">
      <x:c r="A18" s="164"/>
      <x:c r="B18" s="164"/>
      <x:c r="C18" s="164"/>
      <x:c r="D18" s="164"/>
      <x:c r="E18" s="164"/>
      <x:c r="F18" s="292"/>
      <x:c r="G18" s="164"/>
      <x:c r="H18" s="164"/>
      <x:c r="I18" s="164"/>
      <x:c r="J18" s="164"/>
    </x:row>
    <x:row r="19">
      <x:c r="A19" s="164"/>
      <x:c r="B19" s="164"/>
      <x:c r="C19" s="164"/>
      <x:c r="D19" s="164"/>
      <x:c r="E19" s="164"/>
      <x:c r="F19" s="292"/>
      <x:c r="G19" s="164"/>
      <x:c r="H19" s="164"/>
      <x:c r="I19" s="164"/>
      <x:c r="J19" s="164"/>
    </x:row>
    <x:row r="20">
      <x:c r="A20" s="164"/>
      <x:c r="B20" s="164"/>
      <x:c r="C20" s="164"/>
      <x:c r="D20" s="164"/>
      <x:c r="E20" s="164"/>
      <x:c r="F20" s="292"/>
      <x:c r="G20" s="164"/>
      <x:c r="H20" s="164"/>
      <x:c r="I20" s="164"/>
      <x:c r="J20" s="164"/>
    </x:row>
    <x:row r="21">
      <x:c r="A21" s="164"/>
      <x:c r="B21" s="164"/>
      <x:c r="C21" s="164"/>
      <x:c r="D21" s="164"/>
      <x:c r="E21" s="164"/>
      <x:c r="F21" s="292"/>
      <x:c r="G21" s="164"/>
      <x:c r="H21" s="164"/>
      <x:c r="I21" s="164"/>
      <x:c r="J21" s="164"/>
    </x:row>
    <x:row r="22">
      <x:c r="A22" s="164"/>
      <x:c r="B22" s="164"/>
      <x:c r="C22" s="164"/>
      <x:c r="D22" s="164"/>
      <x:c r="E22" s="164"/>
      <x:c r="F22" s="292"/>
      <x:c r="G22" s="164"/>
      <x:c r="H22" s="164"/>
      <x:c r="I22" s="164"/>
      <x:c r="J22" s="164"/>
    </x:row>
    <x:row r="23">
      <x:c r="A23" s="164"/>
      <x:c r="B23" s="164"/>
      <x:c r="C23" s="164"/>
      <x:c r="D23" s="164"/>
      <x:c r="E23" s="164"/>
      <x:c r="F23" s="292"/>
      <x:c r="G23" s="164"/>
      <x:c r="H23" s="164"/>
      <x:c r="I23" s="164"/>
      <x:c r="J23" s="164"/>
    </x:row>
    <x:row r="24">
      <x:c r="A24" s="164"/>
      <x:c r="B24" s="164"/>
      <x:c r="C24" s="164"/>
      <x:c r="D24" s="164"/>
      <x:c r="E24" s="164"/>
      <x:c r="F24" s="292"/>
      <x:c r="G24" s="164"/>
      <x:c r="H24" s="164"/>
      <x:c r="I24" s="164"/>
      <x:c r="J24" s="164"/>
    </x:row>
    <x:row r="25">
      <x:c r="A25" s="164"/>
      <x:c r="B25" s="164"/>
      <x:c r="C25" s="164"/>
      <x:c r="D25" s="164"/>
      <x:c r="E25" s="164"/>
      <x:c r="F25" s="292"/>
      <x:c r="G25" s="164"/>
      <x:c r="H25" s="164"/>
      <x:c r="I25" s="164"/>
      <x:c r="J25" s="164"/>
    </x:row>
    <x:row r="26">
      <x:c r="A26" s="164"/>
      <x:c r="B26" s="164"/>
      <x:c r="C26" s="164"/>
      <x:c r="D26" s="164"/>
      <x:c r="E26" s="164"/>
      <x:c r="F26" s="292"/>
      <x:c r="G26" s="164"/>
      <x:c r="H26" s="164"/>
      <x:c r="I26" s="164"/>
      <x:c r="J26" s="164"/>
    </x:row>
    <x:row r="27">
      <x:c r="A27" s="164"/>
      <x:c r="B27" s="164"/>
      <x:c r="C27" s="164"/>
      <x:c r="D27" s="164"/>
      <x:c r="E27" s="164"/>
      <x:c r="F27" s="292"/>
      <x:c r="G27" s="164"/>
      <x:c r="H27" s="164"/>
      <x:c r="I27" s="164"/>
      <x:c r="J27" s="164"/>
    </x:row>
    <x:row r="28">
      <x:c r="A28" s="164"/>
      <x:c r="B28" s="164"/>
      <x:c r="C28" s="164"/>
      <x:c r="D28" s="164"/>
      <x:c r="E28" s="164"/>
      <x:c r="F28" s="292"/>
      <x:c r="G28" s="164"/>
      <x:c r="H28" s="164"/>
      <x:c r="I28" s="164"/>
      <x:c r="J28" s="164"/>
    </x:row>
    <x:row r="29">
      <x:c r="A29" s="164"/>
      <x:c r="B29" s="164"/>
      <x:c r="C29" s="164"/>
      <x:c r="D29" s="164"/>
      <x:c r="E29" s="164"/>
      <x:c r="F29" s="292"/>
      <x:c r="G29" s="164"/>
      <x:c r="H29" s="164"/>
      <x:c r="I29" s="164"/>
      <x:c r="J29" s="164"/>
    </x:row>
    <x:row r="30">
      <x:c r="A30" s="164"/>
      <x:c r="B30" s="164"/>
      <x:c r="C30" s="164"/>
      <x:c r="D30" s="164"/>
      <x:c r="E30" s="164"/>
      <x:c r="F30" s="292"/>
      <x:c r="G30" s="164"/>
      <x:c r="H30" s="164"/>
      <x:c r="I30" s="164"/>
      <x:c r="J30" s="164"/>
    </x:row>
    <x:row r="31">
      <x:c r="A31" s="164"/>
      <x:c r="B31" s="164"/>
      <x:c r="C31" s="164"/>
      <x:c r="D31" s="164"/>
      <x:c r="E31" s="164"/>
      <x:c r="F31" s="292"/>
      <x:c r="G31" s="164"/>
      <x:c r="H31" s="164"/>
      <x:c r="I31" s="164"/>
      <x:c r="J31" s="164"/>
    </x:row>
    <x:row r="32">
      <x:c r="A32" s="164"/>
      <x:c r="B32" s="164"/>
      <x:c r="C32" s="164"/>
      <x:c r="D32" s="164"/>
      <x:c r="E32" s="164"/>
      <x:c r="F32" s="292"/>
      <x:c r="G32" s="164"/>
      <x:c r="H32" s="164"/>
      <x:c r="I32" s="164"/>
      <x:c r="J32" s="164"/>
    </x:row>
    <x:row r="33">
      <x:c r="A33" s="164"/>
      <x:c r="B33" s="164"/>
      <x:c r="C33" s="164"/>
      <x:c r="D33" s="164"/>
      <x:c r="E33" s="164"/>
      <x:c r="F33" s="292"/>
      <x:c r="G33" s="164"/>
      <x:c r="H33" s="164"/>
      <x:c r="I33" s="164"/>
      <x:c r="J33" s="164"/>
    </x:row>
    <x:row r="34">
      <x:c r="A34" s="164"/>
      <x:c r="B34" s="164"/>
      <x:c r="C34" s="164"/>
      <x:c r="D34" s="164"/>
      <x:c r="E34" s="164"/>
      <x:c r="F34" s="292"/>
      <x:c r="G34" s="164"/>
      <x:c r="H34" s="164"/>
      <x:c r="I34" s="164"/>
      <x:c r="J34" s="164"/>
    </x:row>
    <x:row r="35">
      <x:c r="A35" s="164"/>
      <x:c r="B35" s="164"/>
      <x:c r="C35" s="164"/>
      <x:c r="D35" s="164"/>
      <x:c r="E35" s="164"/>
      <x:c r="F35" s="292"/>
      <x:c r="G35" s="164"/>
      <x:c r="H35" s="164"/>
      <x:c r="I35" s="164"/>
      <x:c r="J35" s="164"/>
    </x:row>
    <x:row r="36">
      <x:c r="A36" s="164"/>
      <x:c r="B36" s="164"/>
      <x:c r="C36" s="164"/>
      <x:c r="D36" s="164"/>
      <x:c r="E36" s="164"/>
      <x:c r="F36" s="292"/>
      <x:c r="G36" s="164"/>
      <x:c r="H36" s="164"/>
      <x:c r="I36" s="164"/>
      <x:c r="J36" s="164"/>
    </x:row>
    <x:row r="37">
      <x:c r="A37" s="164"/>
      <x:c r="B37" s="164"/>
      <x:c r="C37" s="164"/>
      <x:c r="D37" s="164"/>
      <x:c r="E37" s="164"/>
      <x:c r="F37" s="292"/>
      <x:c r="G37" s="164"/>
      <x:c r="H37" s="164"/>
      <x:c r="I37" s="164"/>
      <x:c r="J37" s="164"/>
    </x:row>
    <x:row r="38">
      <x:c r="A38" s="164"/>
      <x:c r="B38" s="164"/>
      <x:c r="C38" s="164"/>
      <x:c r="D38" s="164"/>
      <x:c r="E38" s="164"/>
      <x:c r="F38" s="292"/>
      <x:c r="G38" s="164"/>
      <x:c r="H38" s="164"/>
      <x:c r="I38" s="164"/>
      <x:c r="J38" s="164"/>
    </x:row>
    <x:row r="39">
      <x:c r="A39" s="164"/>
      <x:c r="B39" s="164"/>
      <x:c r="C39" s="164"/>
      <x:c r="D39" s="164"/>
      <x:c r="E39" s="164"/>
      <x:c r="F39" s="292"/>
      <x:c r="G39" s="164"/>
      <x:c r="H39" s="164"/>
      <x:c r="I39" s="164"/>
      <x:c r="J39" s="164"/>
    </x:row>
    <x:row r="40">
      <x:c r="A40" s="164"/>
      <x:c r="B40" s="164"/>
      <x:c r="C40" s="164"/>
      <x:c r="D40" s="164"/>
      <x:c r="E40" s="164"/>
      <x:c r="F40" s="292"/>
      <x:c r="G40" s="164"/>
      <x:c r="H40" s="164"/>
      <x:c r="I40" s="164"/>
      <x:c r="J40" s="164"/>
    </x:row>
    <x:row r="41">
      <x:c r="A41" s="164"/>
      <x:c r="B41" s="164"/>
      <x:c r="C41" s="164"/>
      <x:c r="D41" s="164"/>
      <x:c r="E41" s="164"/>
      <x:c r="F41" s="292"/>
      <x:c r="G41" s="164"/>
      <x:c r="H41" s="164"/>
      <x:c r="I41" s="164"/>
      <x:c r="J41" s="164"/>
    </x:row>
    <x:row r="42">
      <x:c r="A42" s="164"/>
      <x:c r="B42" s="164"/>
      <x:c r="C42" s="164"/>
      <x:c r="D42" s="164"/>
      <x:c r="E42" s="164"/>
      <x:c r="F42" s="292"/>
      <x:c r="G42" s="164"/>
      <x:c r="H42" s="164"/>
      <x:c r="I42" s="164"/>
      <x:c r="J42" s="164"/>
    </x:row>
    <x:row r="43">
      <x:c r="A43" s="164"/>
      <x:c r="B43" s="164"/>
      <x:c r="C43" s="164"/>
      <x:c r="D43" s="164"/>
      <x:c r="E43" s="164"/>
      <x:c r="F43" s="292"/>
      <x:c r="G43" s="164"/>
      <x:c r="H43" s="164"/>
      <x:c r="I43" s="164"/>
      <x:c r="J43" s="164"/>
    </x:row>
    <x:row r="44">
      <x:c r="A44" s="164"/>
      <x:c r="B44" s="164"/>
      <x:c r="C44" s="164"/>
      <x:c r="D44" s="164"/>
      <x:c r="E44" s="164"/>
      <x:c r="F44" s="292"/>
      <x:c r="G44" s="164"/>
      <x:c r="H44" s="164"/>
      <x:c r="I44" s="164"/>
      <x:c r="J44" s="164"/>
    </x:row>
    <x:row r="45">
      <x:c r="A45" s="164"/>
      <x:c r="B45" s="164"/>
      <x:c r="C45" s="164"/>
      <x:c r="D45" s="164"/>
      <x:c r="E45" s="164"/>
      <x:c r="F45" s="292"/>
      <x:c r="G45" s="164"/>
      <x:c r="H45" s="164"/>
      <x:c r="I45" s="164"/>
      <x:c r="J45" s="164"/>
    </x:row>
    <x:row r="46">
      <x:c r="A46" s="164"/>
      <x:c r="B46" s="164"/>
      <x:c r="C46" s="164"/>
      <x:c r="D46" s="164"/>
      <x:c r="E46" s="164"/>
      <x:c r="F46" s="292"/>
      <x:c r="G46" s="164"/>
      <x:c r="H46" s="164"/>
      <x:c r="I46" s="164"/>
      <x:c r="J46" s="164"/>
    </x:row>
    <x:row r="47">
      <x:c r="A47" s="164"/>
      <x:c r="B47" s="164"/>
      <x:c r="C47" s="164"/>
      <x:c r="D47" s="164"/>
      <x:c r="E47" s="164"/>
      <x:c r="F47" s="292"/>
      <x:c r="G47" s="164"/>
      <x:c r="H47" s="164"/>
      <x:c r="I47" s="164"/>
      <x:c r="J47" s="164"/>
    </x:row>
    <x:row r="48">
      <x:c r="A48" s="164"/>
      <x:c r="B48" s="164"/>
      <x:c r="C48" s="164"/>
      <x:c r="D48" s="164"/>
      <x:c r="E48" s="164"/>
      <x:c r="F48" s="292"/>
      <x:c r="G48" s="164"/>
      <x:c r="H48" s="164"/>
      <x:c r="I48" s="164"/>
      <x:c r="J48" s="164"/>
    </x:row>
    <x:row r="49">
      <x:c r="A49" s="164"/>
      <x:c r="B49" s="164"/>
      <x:c r="C49" s="164"/>
      <x:c r="D49" s="164"/>
      <x:c r="E49" s="164"/>
      <x:c r="F49" s="292"/>
      <x:c r="G49" s="164"/>
      <x:c r="H49" s="164"/>
      <x:c r="I49" s="164"/>
      <x:c r="J49" s="164"/>
    </x:row>
    <x:row r="50">
      <x:c r="A50" s="164"/>
      <x:c r="B50" s="164"/>
      <x:c r="C50" s="164"/>
      <x:c r="D50" s="164"/>
      <x:c r="E50" s="164"/>
      <x:c r="F50" s="292"/>
      <x:c r="G50" s="164"/>
      <x:c r="H50" s="164"/>
      <x:c r="I50" s="164"/>
      <x:c r="J50" s="164"/>
    </x:row>
    <x:row r="51">
      <x:c r="F51" s="300"/>
    </x:row>
    <x:row r="52">
      <x:c r="F52" s="300"/>
    </x:row>
    <x:row r="53">
      <x:c r="F53" s="300"/>
    </x:row>
    <x:row r="54">
      <x:c r="F54" s="300"/>
    </x:row>
    <x:row r="55">
      <x:c r="F55" s="300"/>
    </x:row>
    <x:row r="56">
      <x:c r="F56" s="300"/>
    </x:row>
    <x:row r="57">
      <x:c r="F57" s="300"/>
    </x:row>
    <x:row r="58">
      <x:c r="F58" s="300"/>
    </x:row>
    <x:row r="59">
      <x:c r="F59" s="300"/>
    </x:row>
    <x:row r="60">
      <x:c r="F60" s="300"/>
    </x:row>
    <x:row r="61">
      <x:c r="F61" s="300"/>
    </x:row>
    <x:row r="62">
      <x:c r="F62" s="300"/>
    </x:row>
    <x:row r="63">
      <x:c r="F63" s="300"/>
    </x:row>
    <x:row r="64">
      <x:c r="F64" s="300"/>
    </x:row>
    <x:row r="65">
      <x:c r="F65" s="300"/>
    </x:row>
    <x:row r="66">
      <x:c r="F66" s="300"/>
    </x:row>
    <x:row r="67">
      <x:c r="F67" s="300"/>
    </x:row>
    <x:row r="68">
      <x:c r="F68" s="300"/>
    </x:row>
    <x:row r="69">
      <x:c r="F69" s="300"/>
    </x:row>
    <x:row r="70">
      <x:c r="F70" s="300"/>
    </x:row>
    <x:row r="71">
      <x:c r="F71" s="300"/>
    </x:row>
    <x:row r="72">
      <x:c r="F72" s="300"/>
    </x:row>
    <x:row r="73">
      <x:c r="F73" s="300"/>
    </x:row>
    <x:row r="74">
      <x:c r="F74" s="300"/>
    </x:row>
    <x:row r="75">
      <x:c r="F75" s="300"/>
    </x:row>
    <x:row r="76">
      <x:c r="F76" s="300"/>
    </x:row>
    <x:row r="77">
      <x:c r="F77" s="300"/>
    </x:row>
    <x:row r="78">
      <x:c r="F78" s="300"/>
    </x:row>
    <x:row r="79">
      <x:c r="F79" s="300"/>
    </x:row>
    <x:row r="80">
      <x:c r="F80" s="300"/>
    </x:row>
    <x:row r="81">
      <x:c r="F81" s="300"/>
    </x:row>
    <x:row r="82">
      <x:c r="F82" s="300"/>
    </x:row>
    <x:row r="83">
      <x:c r="F83" s="300"/>
    </x:row>
    <x:row r="84">
      <x:c r="F84" s="300"/>
    </x:row>
    <x:row r="85">
      <x:c r="F85" s="300"/>
    </x:row>
    <x:row r="86">
      <x:c r="F86" s="300"/>
    </x:row>
    <x:row r="87">
      <x:c r="F87" s="300"/>
    </x:row>
    <x:row r="88">
      <x:c r="F88" s="300"/>
    </x:row>
    <x:row r="89">
      <x:c r="F89" s="300"/>
    </x:row>
    <x:row r="90">
      <x:c r="F90" s="300"/>
    </x:row>
    <x:row r="91">
      <x:c r="F91" s="300"/>
    </x:row>
    <x:row r="92">
      <x:c r="F92" s="300"/>
    </x:row>
    <x:row r="93">
      <x:c r="F93" s="300"/>
    </x:row>
    <x:row r="94">
      <x:c r="F94" s="300"/>
    </x:row>
    <x:row r="95">
      <x:c r="F95" s="300"/>
    </x:row>
    <x:row r="96">
      <x:c r="F96" s="300"/>
    </x:row>
    <x:row r="97">
      <x:c r="F97" s="300"/>
    </x:row>
    <x:row r="98">
      <x:c r="F98" s="300"/>
    </x:row>
    <x:row r="99">
      <x:c r="F99" s="300"/>
    </x:row>
    <x:row r="100">
      <x:c r="F100" s="300"/>
    </x:row>
    <x:row r="101">
      <x:c r="F101" s="300"/>
    </x:row>
    <x:row r="102">
      <x:c r="F102" s="300"/>
    </x:row>
    <x:row r="103">
      <x:c r="F103" s="300"/>
    </x:row>
    <x:row r="104">
      <x:c r="F104" s="300"/>
    </x:row>
    <x:row r="105">
      <x:c r="F105" s="300"/>
    </x:row>
    <x:row r="106">
      <x:c r="F106" s="300"/>
    </x:row>
    <x:row r="107">
      <x:c r="F107" s="300"/>
    </x:row>
    <x:row r="108">
      <x:c r="F108" s="300"/>
    </x:row>
    <x:row r="109">
      <x:c r="F109" s="300"/>
    </x:row>
    <x:row r="110">
      <x:c r="F110" s="300"/>
    </x:row>
    <x:row r="111">
      <x:c r="F111" s="300"/>
    </x:row>
    <x:row r="112">
      <x:c r="F112" s="300"/>
    </x:row>
    <x:row r="113">
      <x:c r="F113" s="300"/>
    </x:row>
    <x:row r="114">
      <x:c r="F114" s="300"/>
    </x:row>
    <x:row r="115">
      <x:c r="F115" s="300"/>
    </x:row>
    <x:row r="116">
      <x:c r="F116" s="300"/>
    </x:row>
    <x:row r="117">
      <x:c r="F117" s="300"/>
    </x:row>
    <x:row r="118">
      <x:c r="F118" s="300"/>
    </x:row>
    <x:row r="119">
      <x:c r="F119" s="300"/>
    </x:row>
    <x:row r="120">
      <x:c r="F120" s="300"/>
    </x:row>
    <x:row r="121">
      <x:c r="F121" s="300"/>
    </x:row>
    <x:row r="122">
      <x:c r="F122" s="300"/>
    </x:row>
    <x:row r="123">
      <x:c r="F123" s="300"/>
    </x:row>
    <x:row r="124">
      <x:c r="F124" s="300"/>
    </x:row>
    <x:row r="125">
      <x:c r="F125" s="300"/>
    </x:row>
    <x:row r="126">
      <x:c r="F126" s="300"/>
    </x:row>
    <x:row r="127">
      <x:c r="F127" s="300"/>
    </x:row>
    <x:row r="128">
      <x:c r="F128" s="300"/>
    </x:row>
    <x:row r="129">
      <x:c r="F129" s="300"/>
    </x:row>
    <x:row r="130">
      <x:c r="F130" s="300"/>
    </x:row>
    <x:row r="131">
      <x:c r="F131" s="300"/>
    </x:row>
    <x:row r="132">
      <x:c r="F132" s="300"/>
    </x:row>
    <x:row r="133">
      <x:c r="F133" s="300"/>
    </x:row>
    <x:row r="134">
      <x:c r="F134" s="300"/>
    </x:row>
    <x:row r="135">
      <x:c r="F135" s="300"/>
    </x:row>
    <x:row r="136">
      <x:c r="F136" s="300"/>
    </x:row>
    <x:row r="137">
      <x:c r="F137" s="300"/>
    </x:row>
    <x:row r="138">
      <x:c r="F138" s="300"/>
    </x:row>
    <x:row r="139">
      <x:c r="F139" s="300"/>
    </x:row>
    <x:row r="140">
      <x:c r="F140" s="300"/>
    </x:row>
    <x:row r="141">
      <x:c r="F141" s="300"/>
    </x:row>
    <x:row r="142">
      <x:c r="F142" s="300"/>
    </x:row>
    <x:row r="143">
      <x:c r="F143" s="300"/>
    </x:row>
    <x:row r="144">
      <x:c r="F144" s="300"/>
    </x:row>
    <x:row r="145">
      <x:c r="F145" s="300"/>
    </x:row>
    <x:row r="146">
      <x:c r="F146" s="300"/>
    </x:row>
    <x:row r="147">
      <x:c r="F147" s="300"/>
    </x:row>
    <x:row r="148">
      <x:c r="F148" s="300"/>
    </x:row>
    <x:row r="149">
      <x:c r="F149" s="300"/>
    </x:row>
    <x:row r="150">
      <x:c r="F150" s="300"/>
    </x:row>
    <x:row r="151">
      <x:c r="F151" s="300"/>
    </x:row>
    <x:row r="152">
      <x:c r="F152" s="300"/>
    </x:row>
    <x:row r="153">
      <x:c r="F153" s="300"/>
    </x:row>
    <x:row r="154">
      <x:c r="F154" s="300"/>
    </x:row>
    <x:row r="155">
      <x:c r="F155" s="300"/>
    </x:row>
    <x:row r="156">
      <x:c r="F156" s="300"/>
    </x:row>
    <x:row r="157">
      <x:c r="F157" s="300"/>
    </x:row>
    <x:row r="158">
      <x:c r="F158" s="300"/>
    </x:row>
    <x:row r="159">
      <x:c r="F159" s="300"/>
    </x:row>
    <x:row r="160">
      <x:c r="F160" s="300"/>
    </x:row>
    <x:row r="161">
      <x:c r="F161" s="300"/>
    </x:row>
    <x:row r="162">
      <x:c r="F162" s="300"/>
    </x:row>
    <x:row r="163">
      <x:c r="F163" s="300"/>
    </x:row>
    <x:row r="164">
      <x:c r="F164" s="300"/>
    </x:row>
    <x:row r="165">
      <x:c r="F165" s="300"/>
    </x:row>
    <x:row r="166">
      <x:c r="F166" s="300"/>
    </x:row>
    <x:row r="167">
      <x:c r="F167" s="300"/>
    </x:row>
    <x:row r="168">
      <x:c r="F168" s="300"/>
    </x:row>
    <x:row r="169">
      <x:c r="F169" s="300"/>
    </x:row>
    <x:row r="170">
      <x:c r="F170" s="300"/>
    </x:row>
    <x:row r="171">
      <x:c r="F171" s="300"/>
    </x:row>
    <x:row r="172">
      <x:c r="F172" s="300"/>
    </x:row>
    <x:row r="173">
      <x:c r="F173" s="300"/>
    </x:row>
    <x:row r="174">
      <x:c r="F174" s="300"/>
    </x:row>
    <x:row r="175">
      <x:c r="F175" s="300"/>
    </x:row>
    <x:row r="176">
      <x:c r="F176" s="300"/>
    </x:row>
    <x:row r="177">
      <x:c r="F177" s="300"/>
    </x:row>
    <x:row r="178">
      <x:c r="F178" s="300"/>
    </x:row>
    <x:row r="179">
      <x:c r="F179" s="300"/>
    </x:row>
    <x:row r="180">
      <x:c r="F180" s="300"/>
    </x:row>
    <x:row r="181">
      <x:c r="F181" s="300"/>
    </x:row>
    <x:row r="182">
      <x:c r="F182" s="300"/>
    </x:row>
    <x:row r="183">
      <x:c r="F183" s="300"/>
    </x:row>
    <x:row r="184">
      <x:c r="F184" s="300"/>
    </x:row>
    <x:row r="185">
      <x:c r="F185" s="300"/>
    </x:row>
    <x:row r="186">
      <x:c r="F186" s="300"/>
    </x:row>
    <x:row r="187">
      <x:c r="F187" s="300"/>
    </x:row>
    <x:row r="188">
      <x:c r="F188" s="300"/>
    </x:row>
    <x:row r="189">
      <x:c r="F189" s="300"/>
    </x:row>
    <x:row r="190">
      <x:c r="F190" s="300"/>
    </x:row>
    <x:row r="191">
      <x:c r="F191" s="300"/>
    </x:row>
    <x:row r="192">
      <x:c r="F192" s="300"/>
    </x:row>
    <x:row r="193">
      <x:c r="F193" s="300"/>
    </x:row>
    <x:row r="194">
      <x:c r="F194" s="300"/>
    </x:row>
    <x:row r="195">
      <x:c r="F195" s="300"/>
    </x:row>
    <x:row r="196">
      <x:c r="F196" s="300"/>
    </x:row>
    <x:row r="197">
      <x:c r="F197" s="300"/>
    </x:row>
    <x:row r="198">
      <x:c r="F198" s="300"/>
    </x:row>
    <x:row r="199">
      <x:c r="F199" s="300"/>
    </x:row>
    <x:row r="200">
      <x:c r="F200" s="300"/>
    </x:row>
    <x:row r="201">
      <x:c r="F201" s="300"/>
    </x:row>
    <x:row r="202">
      <x:c r="F202" s="300"/>
    </x:row>
    <x:row r="203">
      <x:c r="F203" s="300"/>
    </x:row>
    <x:row r="204">
      <x:c r="F204" s="300"/>
    </x:row>
    <x:row r="205">
      <x:c r="F205" s="300"/>
    </x:row>
    <x:row r="206">
      <x:c r="F206" s="300"/>
    </x:row>
    <x:row r="207">
      <x:c r="F207" s="300"/>
    </x:row>
    <x:row r="208">
      <x:c r="F208" s="300"/>
    </x:row>
    <x:row r="209">
      <x:c r="F209" s="300"/>
    </x:row>
    <x:row r="210">
      <x:c r="F210" s="300"/>
    </x:row>
    <x:row r="211">
      <x:c r="F211" s="300"/>
    </x:row>
    <x:row r="212">
      <x:c r="F212" s="300"/>
    </x:row>
    <x:row r="213">
      <x:c r="F213" s="300"/>
    </x:row>
    <x:row r="214">
      <x:c r="F214" s="300"/>
    </x:row>
    <x:row r="215">
      <x:c r="F215" s="300"/>
    </x:row>
    <x:row r="216">
      <x:c r="F216" s="300"/>
    </x:row>
    <x:row r="217">
      <x:c r="F217" s="300"/>
    </x:row>
    <x:row r="218">
      <x:c r="F218" s="300"/>
    </x:row>
    <x:row r="219">
      <x:c r="F219" s="300"/>
    </x:row>
    <x:row r="220">
      <x:c r="F220" s="300"/>
    </x:row>
    <x:row r="221">
      <x:c r="F221" s="300"/>
    </x:row>
    <x:row r="222">
      <x:c r="F222" s="300"/>
    </x:row>
    <x:row r="223">
      <x:c r="F223" s="300"/>
    </x:row>
    <x:row r="224">
      <x:c r="F224" s="300"/>
    </x:row>
    <x:row r="225">
      <x:c r="F225" s="300"/>
    </x:row>
    <x:row r="226">
      <x:c r="F226" s="300"/>
    </x:row>
    <x:row r="227">
      <x:c r="F227" s="300"/>
    </x:row>
    <x:row r="228">
      <x:c r="F228" s="300"/>
    </x:row>
    <x:row r="229">
      <x:c r="F229" s="300"/>
    </x:row>
    <x:row r="230">
      <x:c r="F230" s="300"/>
    </x:row>
    <x:row r="231">
      <x:c r="F231" s="300"/>
    </x:row>
    <x:row r="232">
      <x:c r="F232" s="300"/>
    </x:row>
    <x:row r="233">
      <x:c r="F233" s="300"/>
    </x:row>
    <x:row r="234">
      <x:c r="F234" s="300"/>
    </x:row>
    <x:row r="235">
      <x:c r="F235" s="300"/>
    </x:row>
    <x:row r="236">
      <x:c r="F236" s="300"/>
    </x:row>
    <x:row r="237">
      <x:c r="F237" s="300"/>
    </x:row>
    <x:row r="238">
      <x:c r="F238" s="300"/>
    </x:row>
    <x:row r="239">
      <x:c r="F239" s="300"/>
    </x:row>
    <x:row r="240">
      <x:c r="F240" s="300"/>
    </x:row>
    <x:row r="241">
      <x:c r="F241" s="300"/>
    </x:row>
    <x:row r="242">
      <x:c r="F242" s="300"/>
    </x:row>
    <x:row r="243">
      <x:c r="F243" s="300"/>
    </x:row>
    <x:row r="244">
      <x:c r="F244" s="300"/>
    </x:row>
    <x:row r="245">
      <x:c r="F245" s="300"/>
    </x:row>
    <x:row r="246">
      <x:c r="F246" s="300"/>
    </x:row>
    <x:row r="247">
      <x:c r="F247" s="300"/>
    </x:row>
    <x:row r="248">
      <x:c r="F248" s="300"/>
    </x:row>
    <x:row r="249">
      <x:c r="F249" s="300"/>
    </x:row>
    <x:row r="250">
      <x:c r="F250" s="300"/>
    </x:row>
    <x:row r="251">
      <x:c r="F251" s="300"/>
    </x:row>
    <x:row r="252">
      <x:c r="F252" s="300"/>
    </x:row>
    <x:row r="253">
      <x:c r="F253" s="300"/>
    </x:row>
    <x:row r="254">
      <x:c r="F254" s="300"/>
    </x:row>
    <x:row r="255">
      <x:c r="F255" s="300"/>
    </x:row>
    <x:row r="256">
      <x:c r="F256" s="300"/>
    </x:row>
    <x:row r="257">
      <x:c r="F257" s="300"/>
    </x:row>
    <x:row r="258">
      <x:c r="F258" s="300"/>
    </x:row>
    <x:row r="259">
      <x:c r="F259" s="300"/>
    </x:row>
    <x:row r="260">
      <x:c r="F260" s="300"/>
    </x:row>
    <x:row r="261">
      <x:c r="F261" s="300"/>
    </x:row>
    <x:row r="262">
      <x:c r="F262" s="300"/>
    </x:row>
    <x:row r="263">
      <x:c r="F263" s="300"/>
    </x:row>
    <x:row r="264">
      <x:c r="F264" s="300"/>
    </x:row>
    <x:row r="265">
      <x:c r="F265" s="300"/>
    </x:row>
    <x:row r="266">
      <x:c r="F266" s="300"/>
    </x:row>
    <x:row r="267">
      <x:c r="F267" s="300"/>
    </x:row>
    <x:row r="268">
      <x:c r="F268" s="300"/>
    </x:row>
    <x:row r="269">
      <x:c r="F269" s="300"/>
    </x:row>
    <x:row r="270">
      <x:c r="F270" s="300"/>
    </x:row>
    <x:row r="271">
      <x:c r="F271" s="300"/>
    </x:row>
    <x:row r="272">
      <x:c r="F272" s="300"/>
    </x:row>
    <x:row r="273">
      <x:c r="F273" s="300"/>
    </x:row>
    <x:row r="274">
      <x:c r="F274" s="300"/>
    </x:row>
    <x:row r="275">
      <x:c r="F275" s="300"/>
    </x:row>
    <x:row r="276">
      <x:c r="F276" s="300"/>
    </x:row>
    <x:row r="277">
      <x:c r="F277" s="300"/>
    </x:row>
    <x:row r="278">
      <x:c r="F278" s="300"/>
    </x:row>
    <x:row r="279">
      <x:c r="F279" s="300"/>
    </x:row>
    <x:row r="280">
      <x:c r="F280" s="300"/>
    </x:row>
    <x:row r="281">
      <x:c r="F281" s="300"/>
    </x:row>
    <x:row r="282">
      <x:c r="F282" s="300"/>
    </x:row>
    <x:row r="283">
      <x:c r="F283" s="300"/>
    </x:row>
    <x:row r="284">
      <x:c r="F284" s="300"/>
    </x:row>
    <x:row r="285">
      <x:c r="F285" s="300"/>
    </x:row>
    <x:row r="286">
      <x:c r="F286" s="300"/>
    </x:row>
    <x:row r="287">
      <x:c r="F287" s="300"/>
    </x:row>
    <x:row r="288">
      <x:c r="F288" s="300"/>
    </x:row>
    <x:row r="289">
      <x:c r="F289" s="300"/>
    </x:row>
    <x:row r="290">
      <x:c r="F290" s="300"/>
    </x:row>
    <x:row r="291">
      <x:c r="F291" s="300"/>
    </x:row>
    <x:row r="292">
      <x:c r="F292" s="300"/>
    </x:row>
    <x:row r="293">
      <x:c r="F293" s="300"/>
    </x:row>
    <x:row r="294">
      <x:c r="F294" s="300"/>
    </x:row>
    <x:row r="295">
      <x:c r="F295" s="300"/>
    </x:row>
    <x:row r="296">
      <x:c r="F296" s="300"/>
    </x:row>
    <x:row r="297">
      <x:c r="F297" s="300"/>
    </x:row>
    <x:row r="298">
      <x:c r="F298" s="300"/>
    </x:row>
    <x:row r="299">
      <x:c r="F299" s="300"/>
    </x:row>
    <x:row r="300">
      <x:c r="F300" s="300"/>
    </x:row>
    <x:row r="301">
      <x:c r="F301" s="300"/>
    </x:row>
    <x:row r="302">
      <x:c r="F302" s="300"/>
    </x:row>
    <x:row r="303">
      <x:c r="F303" s="300"/>
    </x:row>
    <x:row r="304">
      <x:c r="F304" s="300"/>
    </x:row>
    <x:row r="305">
      <x:c r="F305" s="300"/>
    </x:row>
    <x:row r="306">
      <x:c r="F306" s="300"/>
    </x:row>
    <x:row r="307">
      <x:c r="F307" s="300"/>
    </x:row>
    <x:row r="308">
      <x:c r="F308" s="300"/>
    </x:row>
    <x:row r="309">
      <x:c r="F309" s="300"/>
    </x:row>
    <x:row r="310">
      <x:c r="F310" s="300"/>
    </x:row>
    <x:row r="311">
      <x:c r="F311" s="300"/>
    </x:row>
    <x:row r="312">
      <x:c r="F312" s="300"/>
    </x:row>
    <x:row r="313">
      <x:c r="F313" s="300"/>
    </x:row>
    <x:row r="314">
      <x:c r="F314" s="300"/>
    </x:row>
    <x:row r="315">
      <x:c r="F315" s="300"/>
    </x:row>
    <x:row r="316">
      <x:c r="F316" s="300"/>
    </x:row>
    <x:row r="317">
      <x:c r="F317" s="300"/>
    </x:row>
    <x:row r="318">
      <x:c r="F318" s="300"/>
    </x:row>
    <x:row r="319">
      <x:c r="F319" s="300"/>
    </x:row>
    <x:row r="320">
      <x:c r="F320" s="300"/>
    </x:row>
    <x:row r="321">
      <x:c r="F321" s="300"/>
    </x:row>
    <x:row r="322">
      <x:c r="F322" s="300"/>
    </x:row>
    <x:row r="323">
      <x:c r="F323" s="300"/>
    </x:row>
    <x:row r="324">
      <x:c r="F324" s="300"/>
    </x:row>
    <x:row r="325">
      <x:c r="F325" s="300"/>
    </x:row>
    <x:row r="326">
      <x:c r="F326" s="300"/>
    </x:row>
    <x:row r="327">
      <x:c r="F327" s="300"/>
    </x:row>
    <x:row r="328">
      <x:c r="F328" s="300"/>
    </x:row>
    <x:row r="329">
      <x:c r="F329" s="300"/>
    </x:row>
    <x:row r="330">
      <x:c r="F330" s="300"/>
    </x:row>
    <x:row r="331">
      <x:c r="F331" s="300"/>
    </x:row>
    <x:row r="332">
      <x:c r="F332" s="300"/>
    </x:row>
    <x:row r="333">
      <x:c r="F333" s="300"/>
    </x:row>
    <x:row r="334">
      <x:c r="F334" s="300"/>
    </x:row>
    <x:row r="335">
      <x:c r="F335" s="300"/>
    </x:row>
    <x:row r="336">
      <x:c r="F336" s="300"/>
    </x:row>
    <x:row r="337">
      <x:c r="F337" s="300"/>
    </x:row>
    <x:row r="338">
      <x:c r="F338" s="300"/>
    </x:row>
    <x:row r="339">
      <x:c r="F339" s="300"/>
    </x:row>
    <x:row r="340">
      <x:c r="F340" s="300"/>
    </x:row>
    <x:row r="341">
      <x:c r="F341" s="300"/>
    </x:row>
    <x:row r="342">
      <x:c r="F342" s="300"/>
    </x:row>
    <x:row r="343">
      <x:c r="F343" s="300"/>
    </x:row>
    <x:row r="344">
      <x:c r="F344" s="300"/>
    </x:row>
    <x:row r="345">
      <x:c r="F345" s="300"/>
    </x:row>
    <x:row r="346">
      <x:c r="F346" s="300"/>
    </x:row>
    <x:row r="347">
      <x:c r="F347" s="300"/>
    </x:row>
    <x:row r="348">
      <x:c r="F348" s="300"/>
    </x:row>
    <x:row r="349">
      <x:c r="F349" s="300"/>
    </x:row>
    <x:row r="350">
      <x:c r="F350" s="300"/>
    </x:row>
    <x:row r="351">
      <x:c r="F351" s="300"/>
    </x:row>
    <x:row r="352">
      <x:c r="F352" s="300"/>
    </x:row>
    <x:row r="353">
      <x:c r="F353" s="300"/>
    </x:row>
    <x:row r="354">
      <x:c r="F354" s="300"/>
    </x:row>
    <x:row r="355">
      <x:c r="F355" s="300"/>
    </x:row>
    <x:row r="356">
      <x:c r="F356" s="300"/>
    </x:row>
    <x:row r="357">
      <x:c r="F357" s="300"/>
    </x:row>
    <x:row r="358">
      <x:c r="F358" s="300"/>
    </x:row>
    <x:row r="359">
      <x:c r="F359" s="300"/>
    </x:row>
    <x:row r="360">
      <x:c r="F360" s="300"/>
    </x:row>
    <x:row r="361">
      <x:c r="F361" s="300"/>
    </x:row>
    <x:row r="362">
      <x:c r="F362" s="300"/>
    </x:row>
    <x:row r="363">
      <x:c r="F363" s="300"/>
    </x:row>
    <x:row r="364">
      <x:c r="F364" s="300"/>
    </x:row>
    <x:row r="365">
      <x:c r="F365" s="300"/>
    </x:row>
    <x:row r="366">
      <x:c r="F366" s="300"/>
    </x:row>
    <x:row r="367">
      <x:c r="F367" s="300"/>
    </x:row>
    <x:row r="368">
      <x:c r="F368" s="300"/>
    </x:row>
    <x:row r="369">
      <x:c r="F369" s="300"/>
    </x:row>
    <x:row r="370">
      <x:c r="F370" s="300"/>
    </x:row>
    <x:row r="371">
      <x:c r="F371" s="300"/>
    </x:row>
    <x:row r="372">
      <x:c r="F372" s="300"/>
    </x:row>
    <x:row r="373">
      <x:c r="F373" s="300"/>
    </x:row>
    <x:row r="374">
      <x:c r="F374" s="300"/>
    </x:row>
    <x:row r="375">
      <x:c r="F375" s="300"/>
    </x:row>
    <x:row r="376">
      <x:c r="F376" s="300"/>
    </x:row>
    <x:row r="377">
      <x:c r="F377" s="300"/>
    </x:row>
    <x:row r="378">
      <x:c r="F378" s="300"/>
    </x:row>
    <x:row r="379">
      <x:c r="F379" s="300"/>
    </x:row>
    <x:row r="380">
      <x:c r="F380" s="300"/>
    </x:row>
    <x:row r="381">
      <x:c r="F381" s="300"/>
    </x:row>
    <x:row r="382">
      <x:c r="F382" s="300"/>
    </x:row>
    <x:row r="383">
      <x:c r="F383" s="300"/>
    </x:row>
    <x:row r="384">
      <x:c r="F384" s="300"/>
    </x:row>
    <x:row r="385">
      <x:c r="F385" s="300"/>
    </x:row>
    <x:row r="386">
      <x:c r="F386" s="300"/>
    </x:row>
    <x:row r="387">
      <x:c r="F387" s="300"/>
    </x:row>
    <x:row r="388">
      <x:c r="F388" s="300"/>
    </x:row>
    <x:row r="389">
      <x:c r="F389" s="300"/>
    </x:row>
    <x:row r="390">
      <x:c r="F390" s="300"/>
    </x:row>
    <x:row r="391">
      <x:c r="F391" s="300"/>
    </x:row>
    <x:row r="392">
      <x:c r="F392" s="300"/>
    </x:row>
    <x:row r="393">
      <x:c r="F393" s="300"/>
    </x:row>
    <x:row r="394">
      <x:c r="F394" s="300"/>
    </x:row>
    <x:row r="395">
      <x:c r="F395" s="300"/>
    </x:row>
    <x:row r="396">
      <x:c r="F396" s="300"/>
    </x:row>
    <x:row r="397">
      <x:c r="F397" s="300"/>
    </x:row>
    <x:row r="398">
      <x:c r="F398" s="300"/>
    </x:row>
    <x:row r="399">
      <x:c r="F399" s="300"/>
    </x:row>
    <x:row r="400">
      <x:c r="F400" s="300"/>
    </x:row>
    <x:row r="401">
      <x:c r="F401" s="300"/>
    </x:row>
    <x:row r="402">
      <x:c r="F402" s="300"/>
    </x:row>
    <x:row r="403">
      <x:c r="F403" s="300"/>
    </x:row>
    <x:row r="404">
      <x:c r="F404" s="300"/>
    </x:row>
    <x:row r="405">
      <x:c r="F405" s="300"/>
    </x:row>
    <x:row r="406">
      <x:c r="F406" s="300"/>
    </x:row>
    <x:row r="407">
      <x:c r="F407" s="300"/>
    </x:row>
    <x:row r="408">
      <x:c r="F408" s="300"/>
    </x:row>
    <x:row r="409">
      <x:c r="F409" s="300"/>
    </x:row>
    <x:row r="410">
      <x:c r="F410" s="300"/>
    </x:row>
    <x:row r="411">
      <x:c r="F411" s="300"/>
    </x:row>
    <x:row r="412">
      <x:c r="F412" s="300"/>
    </x:row>
    <x:row r="413">
      <x:c r="F413" s="300"/>
    </x:row>
    <x:row r="414">
      <x:c r="F414" s="300"/>
    </x:row>
    <x:row r="415">
      <x:c r="F415" s="300"/>
    </x:row>
    <x:row r="416">
      <x:c r="F416" s="300"/>
    </x:row>
    <x:row r="417">
      <x:c r="F417" s="300"/>
    </x:row>
    <x:row r="418">
      <x:c r="F418" s="300"/>
    </x:row>
    <x:row r="419">
      <x:c r="F419" s="300"/>
    </x:row>
    <x:row r="420">
      <x:c r="F420" s="300"/>
    </x:row>
    <x:row r="421">
      <x:c r="F421" s="300"/>
    </x:row>
    <x:row r="422">
      <x:c r="F422" s="300"/>
    </x:row>
    <x:row r="423">
      <x:c r="F423" s="300"/>
    </x:row>
    <x:row r="424">
      <x:c r="F424" s="300"/>
    </x:row>
    <x:row r="425">
      <x:c r="F425" s="300"/>
    </x:row>
    <x:row r="426">
      <x:c r="F426" s="300"/>
    </x:row>
    <x:row r="427">
      <x:c r="F427" s="300"/>
    </x:row>
    <x:row r="428">
      <x:c r="F428" s="300"/>
    </x:row>
    <x:row r="429">
      <x:c r="F429" s="300"/>
    </x:row>
    <x:row r="430">
      <x:c r="F430" s="300"/>
    </x:row>
    <x:row r="431">
      <x:c r="F431" s="300"/>
    </x:row>
    <x:row r="432">
      <x:c r="F432" s="300"/>
    </x:row>
    <x:row r="433">
      <x:c r="F433" s="300"/>
    </x:row>
    <x:row r="434">
      <x:c r="F434" s="300"/>
    </x:row>
    <x:row r="435">
      <x:c r="F435" s="300"/>
    </x:row>
    <x:row r="436">
      <x:c r="F436" s="300"/>
    </x:row>
    <x:row r="437">
      <x:c r="F437" s="300"/>
    </x:row>
    <x:row r="438">
      <x:c r="F438" s="300"/>
    </x:row>
    <x:row r="439">
      <x:c r="F439" s="300"/>
    </x:row>
    <x:row r="440">
      <x:c r="F440" s="300"/>
    </x:row>
    <x:row r="441">
      <x:c r="F441" s="300"/>
    </x:row>
    <x:row r="442">
      <x:c r="F442" s="300"/>
    </x:row>
    <x:row r="443">
      <x:c r="F443" s="300"/>
    </x:row>
    <x:row r="444">
      <x:c r="F444" s="300"/>
    </x:row>
    <x:row r="445">
      <x:c r="F445" s="300"/>
    </x:row>
    <x:row r="446">
      <x:c r="F446" s="300"/>
    </x:row>
    <x:row r="447">
      <x:c r="F447" s="300"/>
    </x:row>
    <x:row r="448">
      <x:c r="F448" s="300"/>
    </x:row>
    <x:row r="449">
      <x:c r="F449" s="300"/>
    </x:row>
    <x:row r="450">
      <x:c r="F450" s="300"/>
    </x:row>
    <x:row r="451">
      <x:c r="F451" s="300"/>
    </x:row>
    <x:row r="452">
      <x:c r="F452" s="300"/>
    </x:row>
    <x:row r="453">
      <x:c r="F453" s="300"/>
    </x:row>
    <x:row r="454">
      <x:c r="F454" s="300"/>
    </x:row>
    <x:row r="455">
      <x:c r="F455" s="300"/>
    </x:row>
    <x:row r="456">
      <x:c r="F456" s="300"/>
    </x:row>
    <x:row r="457">
      <x:c r="F457" s="300"/>
    </x:row>
    <x:row r="458">
      <x:c r="F458" s="300"/>
    </x:row>
    <x:row r="459">
      <x:c r="F459" s="300"/>
    </x:row>
    <x:row r="460">
      <x:c r="F460" s="300"/>
    </x:row>
    <x:row r="461">
      <x:c r="F461" s="300"/>
    </x:row>
    <x:row r="462">
      <x:c r="F462" s="300"/>
    </x:row>
    <x:row r="463">
      <x:c r="F463" s="300"/>
    </x:row>
    <x:row r="464">
      <x:c r="F464" s="300"/>
    </x:row>
    <x:row r="465">
      <x:c r="F465" s="300"/>
    </x:row>
    <x:row r="466">
      <x:c r="F466" s="300"/>
    </x:row>
    <x:row r="467">
      <x:c r="F467" s="300"/>
    </x:row>
    <x:row r="468">
      <x:c r="F468" s="300"/>
    </x:row>
    <x:row r="469">
      <x:c r="F469" s="300"/>
    </x:row>
    <x:row r="470">
      <x:c r="F470" s="300"/>
    </x:row>
    <x:row r="471">
      <x:c r="F471" s="300"/>
    </x:row>
    <x:row r="472">
      <x:c r="F472" s="300"/>
    </x:row>
    <x:row r="473">
      <x:c r="F473" s="300"/>
    </x:row>
    <x:row r="474">
      <x:c r="F474" s="300"/>
    </x:row>
    <x:row r="475">
      <x:c r="F475" s="300"/>
    </x:row>
    <x:row r="476">
      <x:c r="F476" s="300"/>
    </x:row>
    <x:row r="477">
      <x:c r="F477" s="300"/>
    </x:row>
    <x:row r="478">
      <x:c r="F478" s="300"/>
    </x:row>
    <x:row r="479">
      <x:c r="F479" s="300"/>
    </x:row>
    <x:row r="480">
      <x:c r="F480" s="300"/>
    </x:row>
    <x:row r="481">
      <x:c r="F481" s="300"/>
    </x:row>
    <x:row r="482">
      <x:c r="F482" s="300"/>
    </x:row>
    <x:row r="483">
      <x:c r="F483" s="300"/>
    </x:row>
    <x:row r="484">
      <x:c r="F484" s="300"/>
    </x:row>
    <x:row r="485">
      <x:c r="F485" s="300"/>
    </x:row>
    <x:row r="486">
      <x:c r="F486" s="300"/>
    </x:row>
    <x:row r="487">
      <x:c r="F487" s="300"/>
    </x:row>
    <x:row r="488">
      <x:c r="F488" s="300"/>
    </x:row>
    <x:row r="489">
      <x:c r="F489" s="300"/>
    </x:row>
    <x:row r="490">
      <x:c r="F490" s="300"/>
    </x:row>
    <x:row r="491">
      <x:c r="F491" s="300"/>
    </x:row>
    <x:row r="492">
      <x:c r="F492" s="300"/>
    </x:row>
    <x:row r="493">
      <x:c r="F493" s="300"/>
    </x:row>
    <x:row r="494">
      <x:c r="F494" s="300"/>
    </x:row>
    <x:row r="495">
      <x:c r="F495" s="300"/>
    </x:row>
    <x:row r="496">
      <x:c r="F496" s="300"/>
    </x:row>
    <x:row r="497">
      <x:c r="F497" s="300"/>
    </x:row>
    <x:row r="498">
      <x:c r="F498" s="300"/>
    </x:row>
    <x:row r="499">
      <x:c r="F499" s="300"/>
    </x:row>
    <x:row r="500">
      <x:c r="F500" s="300"/>
    </x:row>
    <x:row r="501">
      <x:c r="F501" s="300"/>
    </x:row>
    <x:row r="502">
      <x:c r="F502" s="300"/>
    </x:row>
    <x:row r="503">
      <x:c r="F503" s="300"/>
    </x:row>
    <x:row r="504">
      <x:c r="F504" s="300"/>
    </x:row>
    <x:row r="505">
      <x:c r="F505" s="300"/>
    </x:row>
    <x:row r="506">
      <x:c r="F506" s="300"/>
    </x:row>
    <x:row r="507">
      <x:c r="F507" s="300"/>
    </x:row>
    <x:row r="508">
      <x:c r="F508" s="300"/>
    </x:row>
    <x:row r="509">
      <x:c r="F509" s="300"/>
    </x:row>
    <x:row r="510">
      <x:c r="F510" s="300"/>
    </x:row>
    <x:row r="511">
      <x:c r="F511" s="300"/>
    </x:row>
    <x:row r="512">
      <x:c r="F512" s="300"/>
    </x:row>
    <x:row r="513">
      <x:c r="F513" s="300"/>
    </x:row>
    <x:row r="514">
      <x:c r="F514" s="300"/>
    </x:row>
    <x:row r="515">
      <x:c r="F515" s="300"/>
    </x:row>
    <x:row r="516">
      <x:c r="F516" s="300"/>
    </x:row>
    <x:row r="517">
      <x:c r="F517" s="300"/>
    </x:row>
    <x:row r="518">
      <x:c r="F518" s="300"/>
    </x:row>
    <x:row r="519">
      <x:c r="F519" s="300"/>
    </x:row>
    <x:row r="520">
      <x:c r="F520" s="300"/>
    </x:row>
    <x:row r="521">
      <x:c r="F521" s="300"/>
    </x:row>
    <x:row r="522">
      <x:c r="F522" s="300"/>
    </x:row>
    <x:row r="523">
      <x:c r="F523" s="300"/>
    </x:row>
    <x:row r="524">
      <x:c r="F524" s="300"/>
    </x:row>
    <x:row r="525">
      <x:c r="F525" s="300"/>
    </x:row>
    <x:row r="526">
      <x:c r="F526" s="300"/>
    </x:row>
    <x:row r="527">
      <x:c r="F527" s="300"/>
    </x:row>
    <x:row r="528">
      <x:c r="F528" s="300"/>
    </x:row>
    <x:row r="529">
      <x:c r="F529" s="300"/>
    </x:row>
    <x:row r="530">
      <x:c r="F530" s="300"/>
    </x:row>
    <x:row r="531">
      <x:c r="F531" s="300"/>
    </x:row>
    <x:row r="532">
      <x:c r="F532" s="300"/>
    </x:row>
    <x:row r="533">
      <x:c r="F533" s="300"/>
    </x:row>
    <x:row r="534">
      <x:c r="F534" s="300"/>
    </x:row>
    <x:row r="535">
      <x:c r="F535" s="300"/>
    </x:row>
    <x:row r="536">
      <x:c r="F536" s="300"/>
    </x:row>
    <x:row r="537">
      <x:c r="F537" s="300"/>
    </x:row>
    <x:row r="538">
      <x:c r="F538" s="300"/>
    </x:row>
    <x:row r="539">
      <x:c r="F539" s="300"/>
    </x:row>
    <x:row r="540">
      <x:c r="F540" s="300"/>
    </x:row>
    <x:row r="541">
      <x:c r="F541" s="300"/>
    </x:row>
    <x:row r="542">
      <x:c r="F542" s="300"/>
    </x:row>
    <x:row r="543">
      <x:c r="F543" s="300"/>
    </x:row>
    <x:row r="544">
      <x:c r="F544" s="300"/>
    </x:row>
    <x:row r="545">
      <x:c r="F545" s="300"/>
    </x:row>
    <x:row r="546">
      <x:c r="F546" s="300"/>
    </x:row>
    <x:row r="547">
      <x:c r="F547" s="300"/>
    </x:row>
    <x:row r="548">
      <x:c r="F548" s="300"/>
    </x:row>
    <x:row r="549">
      <x:c r="F549" s="300"/>
    </x:row>
    <x:row r="550">
      <x:c r="F550" s="300"/>
    </x:row>
    <x:row r="551">
      <x:c r="F551" s="300"/>
    </x:row>
    <x:row r="552">
      <x:c r="F552" s="300"/>
    </x:row>
    <x:row r="553">
      <x:c r="F553" s="300"/>
    </x:row>
    <x:row r="554">
      <x:c r="F554" s="300"/>
    </x:row>
    <x:row r="555">
      <x:c r="F555" s="300"/>
    </x:row>
    <x:row r="556">
      <x:c r="F556" s="300"/>
    </x:row>
    <x:row r="557">
      <x:c r="F557" s="300"/>
    </x:row>
    <x:row r="558">
      <x:c r="F558" s="300"/>
    </x:row>
    <x:row r="559">
      <x:c r="F559" s="300"/>
    </x:row>
    <x:row r="560">
      <x:c r="F560" s="300"/>
    </x:row>
    <x:row r="561">
      <x:c r="F561" s="300"/>
    </x:row>
    <x:row r="562">
      <x:c r="F562" s="300"/>
    </x:row>
    <x:row r="563">
      <x:c r="F563" s="300"/>
    </x:row>
    <x:row r="564">
      <x:c r="F564" s="300"/>
    </x:row>
    <x:row r="565">
      <x:c r="F565" s="300"/>
    </x:row>
    <x:row r="566">
      <x:c r="F566" s="300"/>
    </x:row>
    <x:row r="567">
      <x:c r="F567" s="300"/>
    </x:row>
    <x:row r="568">
      <x:c r="F568" s="300"/>
    </x:row>
    <x:row r="569">
      <x:c r="F569" s="300"/>
    </x:row>
    <x:row r="570">
      <x:c r="F570" s="300"/>
    </x:row>
    <x:row r="571">
      <x:c r="F571" s="300"/>
    </x:row>
    <x:row r="572">
      <x:c r="F572" s="300"/>
    </x:row>
    <x:row r="573">
      <x:c r="F573" s="300"/>
    </x:row>
    <x:row r="574">
      <x:c r="F574" s="300"/>
    </x:row>
    <x:row r="575">
      <x:c r="F575" s="300"/>
    </x:row>
    <x:row r="576">
      <x:c r="F576" s="300"/>
    </x:row>
    <x:row r="577">
      <x:c r="F577" s="300"/>
    </x:row>
    <x:row r="578">
      <x:c r="F578" s="300"/>
    </x:row>
    <x:row r="579">
      <x:c r="F579" s="300"/>
    </x:row>
    <x:row r="580">
      <x:c r="F580" s="300"/>
    </x:row>
    <x:row r="581">
      <x:c r="F581" s="300"/>
    </x:row>
    <x:row r="582">
      <x:c r="F582" s="300"/>
    </x:row>
    <x:row r="583">
      <x:c r="F583" s="300"/>
    </x:row>
    <x:row r="584">
      <x:c r="F584" s="300"/>
    </x:row>
    <x:row r="585">
      <x:c r="F585" s="300"/>
    </x:row>
    <x:row r="586">
      <x:c r="F586" s="300"/>
    </x:row>
    <x:row r="587">
      <x:c r="F587" s="300"/>
    </x:row>
    <x:row r="588">
      <x:c r="F588" s="300"/>
    </x:row>
    <x:row r="589">
      <x:c r="F589" s="300"/>
    </x:row>
    <x:row r="590">
      <x:c r="F590" s="300"/>
    </x:row>
    <x:row r="591">
      <x:c r="F591" s="300"/>
    </x:row>
    <x:row r="592">
      <x:c r="F592" s="300"/>
    </x:row>
    <x:row r="593">
      <x:c r="F593" s="300"/>
    </x:row>
    <x:row r="594">
      <x:c r="F594" s="300"/>
    </x:row>
    <x:row r="595">
      <x:c r="F595" s="300"/>
    </x:row>
    <x:row r="596">
      <x:c r="F596" s="300"/>
    </x:row>
    <x:row r="597">
      <x:c r="F597" s="300"/>
    </x:row>
    <x:row r="598">
      <x:c r="F598" s="300"/>
    </x:row>
    <x:row r="599">
      <x:c r="F599" s="300"/>
    </x:row>
    <x:row r="600">
      <x:c r="F600" s="300"/>
    </x:row>
    <x:row r="601">
      <x:c r="F601" s="300"/>
    </x:row>
    <x:row r="602">
      <x:c r="F602" s="300"/>
    </x:row>
    <x:row r="603">
      <x:c r="F603" s="300"/>
    </x:row>
    <x:row r="604">
      <x:c r="F604" s="300"/>
    </x:row>
    <x:row r="605">
      <x:c r="F605" s="300"/>
    </x:row>
    <x:row r="606">
      <x:c r="F606" s="300"/>
    </x:row>
    <x:row r="607">
      <x:c r="F607" s="300"/>
    </x:row>
    <x:row r="608">
      <x:c r="F608" s="300"/>
    </x:row>
    <x:row r="609">
      <x:c r="F609" s="300"/>
    </x:row>
    <x:row r="610">
      <x:c r="F610" s="300"/>
    </x:row>
    <x:row r="611">
      <x:c r="F611" s="300"/>
    </x:row>
    <x:row r="612">
      <x:c r="F612" s="300"/>
    </x:row>
    <x:row r="613">
      <x:c r="F613" s="300"/>
    </x:row>
    <x:row r="614">
      <x:c r="F614" s="300"/>
    </x:row>
    <x:row r="615">
      <x:c r="F615" s="300"/>
    </x:row>
    <x:row r="616">
      <x:c r="F616" s="300"/>
    </x:row>
    <x:row r="617">
      <x:c r="F617" s="300"/>
    </x:row>
    <x:row r="618">
      <x:c r="F618" s="300"/>
    </x:row>
    <x:row r="619">
      <x:c r="F619" s="300"/>
    </x:row>
    <x:row r="620">
      <x:c r="F620" s="300"/>
    </x:row>
    <x:row r="621">
      <x:c r="F621" s="300"/>
    </x:row>
    <x:row r="622">
      <x:c r="F622" s="300"/>
    </x:row>
    <x:row r="623">
      <x:c r="F623" s="300"/>
    </x:row>
    <x:row r="624">
      <x:c r="F624" s="300"/>
    </x:row>
    <x:row r="625">
      <x:c r="F625" s="300"/>
    </x:row>
    <x:row r="626">
      <x:c r="F626" s="300"/>
    </x:row>
    <x:row r="627">
      <x:c r="F627" s="300"/>
    </x:row>
    <x:row r="628">
      <x:c r="F628" s="300"/>
    </x:row>
    <x:row r="629">
      <x:c r="F629" s="300"/>
    </x:row>
    <x:row r="630">
      <x:c r="F630" s="300"/>
    </x:row>
    <x:row r="631">
      <x:c r="F631" s="300"/>
    </x:row>
    <x:row r="632">
      <x:c r="F632" s="300"/>
    </x:row>
    <x:row r="633">
      <x:c r="F633" s="300"/>
    </x:row>
    <x:row r="634">
      <x:c r="F634" s="300"/>
    </x:row>
    <x:row r="635">
      <x:c r="F635" s="300"/>
    </x:row>
    <x:row r="636">
      <x:c r="F636" s="300"/>
    </x:row>
    <x:row r="637">
      <x:c r="F637" s="300"/>
    </x:row>
    <x:row r="638">
      <x:c r="F638" s="300"/>
    </x:row>
    <x:row r="639">
      <x:c r="F639" s="300"/>
    </x:row>
    <x:row r="640">
      <x:c r="F640" s="300"/>
    </x:row>
    <x:row r="641">
      <x:c r="F641" s="300"/>
    </x:row>
    <x:row r="642">
      <x:c r="F642" s="300"/>
    </x:row>
    <x:row r="643">
      <x:c r="F643" s="300"/>
    </x:row>
    <x:row r="644">
      <x:c r="F644" s="300"/>
    </x:row>
    <x:row r="645">
      <x:c r="F645" s="300"/>
    </x:row>
    <x:row r="646">
      <x:c r="F646" s="300"/>
    </x:row>
    <x:row r="647">
      <x:c r="F647" s="300"/>
    </x:row>
    <x:row r="648">
      <x:c r="F648" s="300"/>
    </x:row>
    <x:row r="649">
      <x:c r="F649" s="300"/>
    </x:row>
    <x:row r="650">
      <x:c r="F650" s="300"/>
    </x:row>
    <x:row r="651">
      <x:c r="F651" s="300"/>
    </x:row>
    <x:row r="652">
      <x:c r="F652" s="300"/>
    </x:row>
    <x:row r="653">
      <x:c r="F653" s="300"/>
    </x:row>
    <x:row r="654">
      <x:c r="F654" s="300"/>
    </x:row>
    <x:row r="655">
      <x:c r="F655" s="300"/>
    </x:row>
    <x:row r="656">
      <x:c r="F656" s="300"/>
    </x:row>
    <x:row r="657">
      <x:c r="F657" s="300"/>
    </x:row>
    <x:row r="658">
      <x:c r="F658" s="300"/>
    </x:row>
    <x:row r="659">
      <x:c r="F659" s="300"/>
    </x:row>
    <x:row r="660">
      <x:c r="F660" s="300"/>
    </x:row>
    <x:row r="661">
      <x:c r="F661" s="300"/>
    </x:row>
    <x:row r="662">
      <x:c r="F662" s="300"/>
    </x:row>
    <x:row r="663">
      <x:c r="F663" s="300"/>
    </x:row>
    <x:row r="664">
      <x:c r="F664" s="300"/>
    </x:row>
    <x:row r="665">
      <x:c r="F665" s="300"/>
    </x:row>
    <x:row r="666">
      <x:c r="F666" s="300"/>
    </x:row>
    <x:row r="667">
      <x:c r="F667" s="300"/>
    </x:row>
    <x:row r="668">
      <x:c r="F668" s="300"/>
    </x:row>
    <x:row r="669">
      <x:c r="F669" s="300"/>
    </x:row>
    <x:row r="670">
      <x:c r="F670" s="300"/>
    </x:row>
    <x:row r="671">
      <x:c r="F671" s="300"/>
    </x:row>
    <x:row r="672">
      <x:c r="F672" s="300"/>
    </x:row>
    <x:row r="673">
      <x:c r="F673" s="300"/>
    </x:row>
    <x:row r="674">
      <x:c r="F674" s="300"/>
    </x:row>
    <x:row r="675">
      <x:c r="F675" s="300"/>
    </x:row>
    <x:row r="676">
      <x:c r="F676" s="300"/>
    </x:row>
    <x:row r="677">
      <x:c r="F677" s="300"/>
    </x:row>
    <x:row r="678">
      <x:c r="F678" s="300"/>
    </x:row>
    <x:row r="679">
      <x:c r="F679" s="300"/>
    </x:row>
    <x:row r="680">
      <x:c r="F680" s="300"/>
    </x:row>
    <x:row r="681">
      <x:c r="F681" s="300"/>
    </x:row>
    <x:row r="682">
      <x:c r="F682" s="300"/>
    </x:row>
    <x:row r="683">
      <x:c r="F683" s="300"/>
    </x:row>
    <x:row r="684">
      <x:c r="F684" s="300"/>
    </x:row>
    <x:row r="685">
      <x:c r="F685" s="300"/>
    </x:row>
    <x:row r="686">
      <x:c r="F686" s="300"/>
    </x:row>
    <x:row r="687">
      <x:c r="F687" s="300"/>
    </x:row>
    <x:row r="688">
      <x:c r="F688" s="300"/>
    </x:row>
    <x:row r="689">
      <x:c r="F689" s="300"/>
    </x:row>
    <x:row r="690">
      <x:c r="F690" s="300"/>
    </x:row>
    <x:row r="691">
      <x:c r="F691" s="300"/>
    </x:row>
    <x:row r="692">
      <x:c r="F692" s="300"/>
    </x:row>
    <x:row r="693">
      <x:c r="F693" s="300"/>
    </x:row>
    <x:row r="694">
      <x:c r="F694" s="300"/>
    </x:row>
    <x:row r="695">
      <x:c r="F695" s="300"/>
    </x:row>
    <x:row r="696">
      <x:c r="F696" s="300"/>
    </x:row>
    <x:row r="697">
      <x:c r="F697" s="300"/>
    </x:row>
    <x:row r="698">
      <x:c r="F698" s="300"/>
    </x:row>
    <x:row r="699">
      <x:c r="F699" s="300"/>
    </x:row>
    <x:row r="700">
      <x:c r="F700" s="300"/>
    </x:row>
    <x:row r="701">
      <x:c r="F701" s="300"/>
    </x:row>
    <x:row r="702">
      <x:c r="F702" s="300"/>
    </x:row>
    <x:row r="703">
      <x:c r="F703" s="300"/>
    </x:row>
    <x:row r="704">
      <x:c r="F704" s="300"/>
    </x:row>
    <x:row r="705">
      <x:c r="F705" s="300"/>
    </x:row>
    <x:row r="706">
      <x:c r="F706" s="300"/>
    </x:row>
    <x:row r="707">
      <x:c r="F707" s="300"/>
    </x:row>
    <x:row r="708">
      <x:c r="F708" s="300"/>
    </x:row>
    <x:row r="709">
      <x:c r="F709" s="300"/>
    </x:row>
    <x:row r="710">
      <x:c r="F710" s="300"/>
    </x:row>
    <x:row r="711">
      <x:c r="F711" s="300"/>
    </x:row>
    <x:row r="712">
      <x:c r="F712" s="300"/>
    </x:row>
    <x:row r="713">
      <x:c r="F713" s="300"/>
    </x:row>
    <x:row r="714">
      <x:c r="F714" s="300"/>
    </x:row>
    <x:row r="715">
      <x:c r="F715" s="300"/>
    </x:row>
    <x:row r="716">
      <x:c r="F716" s="300"/>
    </x:row>
    <x:row r="717">
      <x:c r="F717" s="300"/>
    </x:row>
    <x:row r="718">
      <x:c r="F718" s="300"/>
    </x:row>
    <x:row r="719">
      <x:c r="F719" s="300"/>
    </x:row>
    <x:row r="720">
      <x:c r="F720" s="300"/>
    </x:row>
    <x:row r="721">
      <x:c r="F721" s="300"/>
    </x:row>
    <x:row r="722">
      <x:c r="F722" s="300"/>
    </x:row>
    <x:row r="723">
      <x:c r="F723" s="300"/>
    </x:row>
    <x:row r="724">
      <x:c r="F724" s="300"/>
    </x:row>
    <x:row r="725">
      <x:c r="F725" s="300"/>
    </x:row>
    <x:row r="726">
      <x:c r="F726" s="300"/>
    </x:row>
    <x:row r="727">
      <x:c r="F727" s="300"/>
    </x:row>
    <x:row r="728">
      <x:c r="F728" s="300"/>
    </x:row>
    <x:row r="729">
      <x:c r="F729" s="300"/>
    </x:row>
    <x:row r="730">
      <x:c r="F730" s="300"/>
    </x:row>
    <x:row r="731">
      <x:c r="F731" s="300"/>
    </x:row>
    <x:row r="732">
      <x:c r="F732" s="300"/>
    </x:row>
    <x:row r="733">
      <x:c r="F733" s="300"/>
    </x:row>
    <x:row r="734">
      <x:c r="F734" s="300"/>
    </x:row>
    <x:row r="735">
      <x:c r="F735" s="300"/>
    </x:row>
    <x:row r="736">
      <x:c r="F736" s="300"/>
    </x:row>
    <x:row r="737">
      <x:c r="F737" s="300"/>
    </x:row>
    <x:row r="738">
      <x:c r="F738" s="300"/>
    </x:row>
    <x:row r="739">
      <x:c r="F739" s="300"/>
    </x:row>
    <x:row r="740">
      <x:c r="F740" s="300"/>
    </x:row>
    <x:row r="741">
      <x:c r="F741" s="300"/>
    </x:row>
    <x:row r="742">
      <x:c r="F742" s="300"/>
    </x:row>
    <x:row r="743">
      <x:c r="F743" s="300"/>
    </x:row>
    <x:row r="744">
      <x:c r="F744" s="300"/>
    </x:row>
    <x:row r="745">
      <x:c r="F745" s="300"/>
    </x:row>
    <x:row r="746">
      <x:c r="F746" s="300"/>
    </x:row>
    <x:row r="747">
      <x:c r="F747" s="300"/>
    </x:row>
    <x:row r="748">
      <x:c r="F748" s="300"/>
    </x:row>
    <x:row r="749">
      <x:c r="F749" s="300"/>
    </x:row>
    <x:row r="750">
      <x:c r="F750" s="300"/>
    </x:row>
    <x:row r="751">
      <x:c r="F751" s="300"/>
    </x:row>
    <x:row r="752">
      <x:c r="F752" s="300"/>
    </x:row>
    <x:row r="753">
      <x:c r="F753" s="300"/>
    </x:row>
    <x:row r="754">
      <x:c r="F754" s="300"/>
    </x:row>
    <x:row r="755">
      <x:c r="F755" s="300"/>
    </x:row>
    <x:row r="756">
      <x:c r="F756" s="300"/>
    </x:row>
    <x:row r="757">
      <x:c r="F757" s="300"/>
    </x:row>
    <x:row r="758">
      <x:c r="F758" s="300"/>
    </x:row>
    <x:row r="759">
      <x:c r="F759" s="300"/>
    </x:row>
    <x:row r="760">
      <x:c r="F760" s="300"/>
    </x:row>
    <x:row r="761">
      <x:c r="F761" s="300"/>
    </x:row>
    <x:row r="762">
      <x:c r="F762" s="300"/>
    </x:row>
    <x:row r="763">
      <x:c r="F763" s="300"/>
    </x:row>
    <x:row r="764">
      <x:c r="F764" s="300"/>
    </x:row>
    <x:row r="765">
      <x:c r="F765" s="300"/>
    </x:row>
    <x:row r="766">
      <x:c r="F766" s="300"/>
    </x:row>
    <x:row r="767">
      <x:c r="F767" s="300"/>
    </x:row>
    <x:row r="768">
      <x:c r="F768" s="300"/>
    </x:row>
    <x:row r="769">
      <x:c r="F769" s="300"/>
    </x:row>
    <x:row r="770">
      <x:c r="F770" s="300"/>
    </x:row>
    <x:row r="771">
      <x:c r="F771" s="300"/>
    </x:row>
    <x:row r="772">
      <x:c r="F772" s="300"/>
    </x:row>
    <x:row r="773">
      <x:c r="F773" s="300"/>
    </x:row>
    <x:row r="774">
      <x:c r="F774" s="300"/>
    </x:row>
    <x:row r="775">
      <x:c r="F775" s="300"/>
    </x:row>
    <x:row r="776">
      <x:c r="F776" s="300"/>
    </x:row>
    <x:row r="777">
      <x:c r="F777" s="300"/>
    </x:row>
    <x:row r="778">
      <x:c r="F778" s="300"/>
    </x:row>
    <x:row r="779">
      <x:c r="F779" s="300"/>
    </x:row>
    <x:row r="780">
      <x:c r="F780" s="300"/>
    </x:row>
    <x:row r="781">
      <x:c r="F781" s="300"/>
    </x:row>
    <x:row r="782">
      <x:c r="F782" s="300"/>
    </x:row>
    <x:row r="783">
      <x:c r="F783" s="300"/>
    </x:row>
    <x:row r="784">
      <x:c r="F784" s="300"/>
    </x:row>
    <x:row r="785">
      <x:c r="F785" s="300"/>
    </x:row>
    <x:row r="786">
      <x:c r="F786" s="300"/>
    </x:row>
    <x:row r="787">
      <x:c r="F787" s="300"/>
    </x:row>
    <x:row r="788">
      <x:c r="F788" s="300"/>
    </x:row>
    <x:row r="789">
      <x:c r="F789" s="300"/>
    </x:row>
    <x:row r="790">
      <x:c r="F790" s="300"/>
    </x:row>
    <x:row r="791">
      <x:c r="F791" s="300"/>
    </x:row>
    <x:row r="792">
      <x:c r="F792" s="300"/>
    </x:row>
    <x:row r="793">
      <x:c r="F793" s="300"/>
    </x:row>
    <x:row r="794">
      <x:c r="F794" s="300"/>
    </x:row>
    <x:row r="795">
      <x:c r="F795" s="300"/>
    </x:row>
    <x:row r="796">
      <x:c r="F796" s="300"/>
    </x:row>
    <x:row r="797">
      <x:c r="F797" s="300"/>
    </x:row>
    <x:row r="798">
      <x:c r="F798" s="300"/>
    </x:row>
    <x:row r="799">
      <x:c r="F799" s="300"/>
    </x:row>
    <x:row r="800">
      <x:c r="F800" s="300"/>
    </x:row>
    <x:row r="801">
      <x:c r="F801" s="300"/>
    </x:row>
    <x:row r="802">
      <x:c r="F802" s="300"/>
    </x:row>
    <x:row r="803">
      <x:c r="F803" s="300"/>
    </x:row>
    <x:row r="804">
      <x:c r="F804" s="300"/>
    </x:row>
    <x:row r="805">
      <x:c r="F805" s="300"/>
    </x:row>
    <x:row r="806">
      <x:c r="F806" s="300"/>
    </x:row>
    <x:row r="807">
      <x:c r="F807" s="300"/>
    </x:row>
    <x:row r="808">
      <x:c r="F808" s="300"/>
    </x:row>
    <x:row r="809">
      <x:c r="F809" s="300"/>
    </x:row>
    <x:row r="810">
      <x:c r="F810" s="300"/>
    </x:row>
    <x:row r="811">
      <x:c r="F811" s="300"/>
    </x:row>
    <x:row r="812">
      <x:c r="F812" s="300"/>
    </x:row>
    <x:row r="813">
      <x:c r="F813" s="300"/>
    </x:row>
    <x:row r="814">
      <x:c r="F814" s="300"/>
    </x:row>
    <x:row r="815">
      <x:c r="F815" s="300"/>
    </x:row>
    <x:row r="816">
      <x:c r="F816" s="300"/>
    </x:row>
    <x:row r="817">
      <x:c r="F817" s="300"/>
    </x:row>
    <x:row r="818">
      <x:c r="F818" s="300"/>
    </x:row>
    <x:row r="819">
      <x:c r="F819" s="300"/>
    </x:row>
    <x:row r="820">
      <x:c r="F820" s="300"/>
    </x:row>
    <x:row r="821">
      <x:c r="F821" s="300"/>
    </x:row>
    <x:row r="822">
      <x:c r="F822" s="300"/>
    </x:row>
    <x:row r="823">
      <x:c r="F823" s="300"/>
    </x:row>
    <x:row r="824">
      <x:c r="F824" s="300"/>
    </x:row>
    <x:row r="825">
      <x:c r="F825" s="300"/>
    </x:row>
    <x:row r="826">
      <x:c r="F826" s="300"/>
    </x:row>
    <x:row r="827">
      <x:c r="F827" s="300"/>
    </x:row>
    <x:row r="828">
      <x:c r="F828" s="300"/>
    </x:row>
    <x:row r="829">
      <x:c r="F829" s="300"/>
    </x:row>
    <x:row r="830">
      <x:c r="F830" s="300"/>
    </x:row>
    <x:row r="831">
      <x:c r="F831" s="300"/>
    </x:row>
    <x:row r="832">
      <x:c r="F832" s="300"/>
    </x:row>
    <x:row r="833">
      <x:c r="F833" s="300"/>
    </x:row>
    <x:row r="834">
      <x:c r="F834" s="300"/>
    </x:row>
    <x:row r="835">
      <x:c r="F835" s="300"/>
    </x:row>
    <x:row r="836">
      <x:c r="F836" s="300"/>
    </x:row>
    <x:row r="837">
      <x:c r="F837" s="300"/>
    </x:row>
    <x:row r="838">
      <x:c r="F838" s="300"/>
    </x:row>
    <x:row r="839">
      <x:c r="F839" s="300"/>
    </x:row>
    <x:row r="840">
      <x:c r="F840" s="300"/>
    </x:row>
    <x:row r="841">
      <x:c r="F841" s="300"/>
    </x:row>
    <x:row r="842">
      <x:c r="F842" s="300"/>
    </x:row>
    <x:row r="843">
      <x:c r="F843" s="300"/>
    </x:row>
    <x:row r="844">
      <x:c r="F844" s="300"/>
    </x:row>
    <x:row r="845">
      <x:c r="F845" s="300"/>
    </x:row>
    <x:row r="846">
      <x:c r="F846" s="300"/>
    </x:row>
    <x:row r="847">
      <x:c r="F847" s="300"/>
    </x:row>
    <x:row r="848">
      <x:c r="F848" s="300"/>
    </x:row>
    <x:row r="849">
      <x:c r="F849" s="300"/>
    </x:row>
    <x:row r="850">
      <x:c r="F850" s="300"/>
    </x:row>
    <x:row r="851">
      <x:c r="F851" s="300"/>
    </x:row>
    <x:row r="852">
      <x:c r="F852" s="300"/>
    </x:row>
    <x:row r="853">
      <x:c r="F853" s="300"/>
    </x:row>
    <x:row r="854">
      <x:c r="F854" s="300"/>
    </x:row>
    <x:row r="855">
      <x:c r="F855" s="300"/>
    </x:row>
    <x:row r="856">
      <x:c r="F856" s="300"/>
    </x:row>
    <x:row r="857">
      <x:c r="F857" s="300"/>
    </x:row>
    <x:row r="858">
      <x:c r="F858" s="300"/>
    </x:row>
    <x:row r="859">
      <x:c r="F859" s="300"/>
    </x:row>
    <x:row r="860">
      <x:c r="F860" s="300"/>
    </x:row>
    <x:row r="861">
      <x:c r="F861" s="300"/>
    </x:row>
    <x:row r="862">
      <x:c r="F862" s="300"/>
    </x:row>
    <x:row r="863">
      <x:c r="F863" s="300"/>
    </x:row>
    <x:row r="864">
      <x:c r="F864" s="300"/>
    </x:row>
    <x:row r="865">
      <x:c r="F865" s="300"/>
    </x:row>
    <x:row r="866">
      <x:c r="F866" s="300"/>
    </x:row>
    <x:row r="867">
      <x:c r="F867" s="300"/>
    </x:row>
    <x:row r="868">
      <x:c r="F868" s="300"/>
    </x:row>
    <x:row r="869">
      <x:c r="F869" s="300"/>
    </x:row>
    <x:row r="870">
      <x:c r="F870" s="300"/>
    </x:row>
    <x:row r="871">
      <x:c r="F871" s="300"/>
    </x:row>
    <x:row r="872">
      <x:c r="F872" s="300"/>
    </x:row>
    <x:row r="873">
      <x:c r="F873" s="300"/>
    </x:row>
    <x:row r="874">
      <x:c r="F874" s="300"/>
    </x:row>
    <x:row r="875">
      <x:c r="F875" s="300"/>
    </x:row>
    <x:row r="876">
      <x:c r="F876" s="300"/>
    </x:row>
    <x:row r="877">
      <x:c r="F877" s="300"/>
    </x:row>
    <x:row r="878">
      <x:c r="F878" s="300"/>
    </x:row>
    <x:row r="879">
      <x:c r="F879" s="300"/>
    </x:row>
    <x:row r="880">
      <x:c r="F880" s="300"/>
    </x:row>
    <x:row r="881">
      <x:c r="F881" s="300"/>
    </x:row>
    <x:row r="882">
      <x:c r="F882" s="300"/>
    </x:row>
    <x:row r="883">
      <x:c r="F883" s="300"/>
    </x:row>
    <x:row r="884">
      <x:c r="F884" s="300"/>
    </x:row>
    <x:row r="885">
      <x:c r="F885" s="300"/>
    </x:row>
    <x:row r="886">
      <x:c r="F886" s="300"/>
    </x:row>
    <x:row r="887">
      <x:c r="F887" s="300"/>
    </x:row>
    <x:row r="888">
      <x:c r="F888" s="300"/>
    </x:row>
    <x:row r="889">
      <x:c r="F889" s="300"/>
    </x:row>
    <x:row r="890">
      <x:c r="F890" s="300"/>
    </x:row>
    <x:row r="891">
      <x:c r="F891" s="300"/>
    </x:row>
    <x:row r="892">
      <x:c r="F892" s="300"/>
    </x:row>
    <x:row r="893">
      <x:c r="F893" s="300"/>
    </x:row>
    <x:row r="894">
      <x:c r="F894" s="300"/>
    </x:row>
    <x:row r="895">
      <x:c r="F895" s="300"/>
    </x:row>
    <x:row r="896">
      <x:c r="F896" s="300"/>
    </x:row>
    <x:row r="897">
      <x:c r="F897" s="300"/>
    </x:row>
    <x:row r="898">
      <x:c r="F898" s="300"/>
    </x:row>
    <x:row r="899">
      <x:c r="F899" s="300"/>
    </x:row>
    <x:row r="900">
      <x:c r="F900" s="300"/>
    </x:row>
    <x:row r="901">
      <x:c r="F901" s="300"/>
    </x:row>
    <x:row r="902">
      <x:c r="F902" s="300"/>
    </x:row>
    <x:row r="903">
      <x:c r="F903" s="300"/>
    </x:row>
    <x:row r="904">
      <x:c r="F904" s="300"/>
    </x:row>
    <x:row r="905">
      <x:c r="F905" s="300"/>
    </x:row>
    <x:row r="906">
      <x:c r="F906" s="300"/>
    </x:row>
    <x:row r="907">
      <x:c r="F907" s="300"/>
    </x:row>
    <x:row r="908">
      <x:c r="F908" s="300"/>
    </x:row>
    <x:row r="909">
      <x:c r="F909" s="300"/>
    </x:row>
    <x:row r="910">
      <x:c r="F910" s="300"/>
    </x:row>
    <x:row r="911">
      <x:c r="F911" s="300"/>
    </x:row>
    <x:row r="912">
      <x:c r="F912" s="300"/>
    </x:row>
    <x:row r="913">
      <x:c r="F913" s="300"/>
    </x:row>
    <x:row r="914">
      <x:c r="F914" s="300"/>
    </x:row>
    <x:row r="915">
      <x:c r="F915" s="300"/>
    </x:row>
    <x:row r="916">
      <x:c r="F916" s="300"/>
    </x:row>
    <x:row r="917">
      <x:c r="F917" s="300"/>
    </x:row>
    <x:row r="918">
      <x:c r="F918" s="300"/>
    </x:row>
    <x:row r="919">
      <x:c r="F919" s="300"/>
    </x:row>
    <x:row r="920">
      <x:c r="F920" s="300"/>
    </x:row>
    <x:row r="921">
      <x:c r="F921" s="300"/>
    </x:row>
    <x:row r="922">
      <x:c r="F922" s="300"/>
    </x:row>
    <x:row r="923">
      <x:c r="F923" s="300"/>
    </x:row>
    <x:row r="924">
      <x:c r="F924" s="300"/>
    </x:row>
    <x:row r="925">
      <x:c r="F925" s="300"/>
    </x:row>
    <x:row r="926">
      <x:c r="F926" s="300"/>
    </x:row>
    <x:row r="927">
      <x:c r="F927" s="300"/>
    </x:row>
    <x:row r="928">
      <x:c r="F928" s="300"/>
    </x:row>
    <x:row r="929">
      <x:c r="F929" s="300"/>
    </x:row>
    <x:row r="930">
      <x:c r="F930" s="300"/>
    </x:row>
    <x:row r="931">
      <x:c r="F931" s="300"/>
    </x:row>
    <x:row r="932">
      <x:c r="F932" s="300"/>
    </x:row>
    <x:row r="933">
      <x:c r="F933" s="300"/>
    </x:row>
    <x:row r="934">
      <x:c r="F934" s="300"/>
    </x:row>
    <x:row r="935">
      <x:c r="F935" s="300"/>
    </x:row>
    <x:row r="936">
      <x:c r="F936" s="300"/>
    </x:row>
    <x:row r="937">
      <x:c r="F937" s="300"/>
    </x:row>
    <x:row r="938">
      <x:c r="F938" s="300"/>
    </x:row>
    <x:row r="939">
      <x:c r="F939" s="300"/>
    </x:row>
    <x:row r="940">
      <x:c r="F940" s="300"/>
    </x:row>
    <x:row r="941">
      <x:c r="F941" s="300"/>
    </x:row>
    <x:row r="942">
      <x:c r="F942" s="300"/>
    </x:row>
    <x:row r="943">
      <x:c r="F943" s="300"/>
    </x:row>
    <x:row r="944">
      <x:c r="F944" s="300"/>
    </x:row>
    <x:row r="945">
      <x:c r="F945" s="300"/>
    </x:row>
    <x:row r="946">
      <x:c r="F946" s="300"/>
    </x:row>
    <x:row r="947">
      <x:c r="F947" s="300"/>
    </x:row>
    <x:row r="948">
      <x:c r="F948" s="300"/>
    </x:row>
    <x:row r="949">
      <x:c r="F949" s="300"/>
    </x:row>
    <x:row r="950">
      <x:c r="F950" s="300"/>
    </x:row>
    <x:row r="951">
      <x:c r="F951" s="300"/>
    </x:row>
    <x:row r="952">
      <x:c r="F952" s="300"/>
    </x:row>
    <x:row r="953">
      <x:c r="F953" s="300"/>
    </x:row>
    <x:row r="954">
      <x:c r="F954" s="300"/>
    </x:row>
    <x:row r="955">
      <x:c r="F955" s="300"/>
    </x:row>
    <x:row r="956">
      <x:c r="F956" s="300"/>
    </x:row>
    <x:row r="957">
      <x:c r="F957" s="300"/>
    </x:row>
    <x:row r="958">
      <x:c r="F958" s="300"/>
    </x:row>
    <x:row r="959">
      <x:c r="F959" s="300"/>
    </x:row>
    <x:row r="960">
      <x:c r="F960" s="300"/>
    </x:row>
    <x:row r="961">
      <x:c r="F961" s="300"/>
    </x:row>
    <x:row r="962">
      <x:c r="F962" s="300"/>
    </x:row>
    <x:row r="963">
      <x:c r="F963" s="300"/>
    </x:row>
    <x:row r="964">
      <x:c r="F964" s="300"/>
    </x:row>
    <x:row r="965">
      <x:c r="F965" s="300"/>
    </x:row>
    <x:row r="966">
      <x:c r="F966" s="300"/>
    </x:row>
    <x:row r="967">
      <x:c r="F967" s="300"/>
    </x:row>
    <x:row r="968">
      <x:c r="F968" s="300"/>
    </x:row>
    <x:row r="969">
      <x:c r="F969" s="300"/>
    </x:row>
    <x:row r="970">
      <x:c r="F970" s="300"/>
    </x:row>
    <x:row r="971">
      <x:c r="F971" s="300"/>
    </x:row>
    <x:row r="972">
      <x:c r="F972" s="300"/>
    </x:row>
    <x:row r="973">
      <x:c r="F973" s="300"/>
    </x:row>
    <x:row r="974">
      <x:c r="F974" s="300"/>
    </x:row>
    <x:row r="975">
      <x:c r="F975" s="300"/>
    </x:row>
    <x:row r="976">
      <x:c r="F976" s="300"/>
    </x:row>
    <x:row r="977">
      <x:c r="F977" s="300"/>
    </x:row>
    <x:row r="978">
      <x:c r="F978" s="300"/>
    </x:row>
    <x:row r="979">
      <x:c r="F979" s="300"/>
    </x:row>
    <x:row r="980">
      <x:c r="F980" s="300"/>
    </x:row>
    <x:row r="981">
      <x:c r="F981" s="300"/>
    </x:row>
    <x:row r="982">
      <x:c r="F982" s="300"/>
    </x:row>
    <x:row r="983">
      <x:c r="F983" s="300"/>
    </x:row>
    <x:row r="984">
      <x:c r="F984" s="300"/>
    </x:row>
    <x:row r="985">
      <x:c r="F985" s="300"/>
    </x:row>
    <x:row r="986">
      <x:c r="F986" s="300"/>
    </x:row>
    <x:row r="987">
      <x:c r="F987" s="300"/>
    </x:row>
    <x:row r="988">
      <x:c r="F988" s="300"/>
    </x:row>
    <x:row r="989">
      <x:c r="F989" s="300"/>
    </x:row>
    <x:row r="990">
      <x:c r="F990" s="300"/>
    </x:row>
    <x:row r="991">
      <x:c r="F991" s="300"/>
    </x:row>
    <x:row r="992">
      <x:c r="F992" s="300"/>
    </x:row>
    <x:row r="993">
      <x:c r="F993" s="300"/>
    </x:row>
    <x:row r="994">
      <x:c r="F994" s="300"/>
    </x:row>
    <x:row r="995">
      <x:c r="F995" s="300"/>
    </x:row>
    <x:row r="996">
      <x:c r="F996" s="300"/>
    </x:row>
    <x:row r="997">
      <x:c r="F997" s="300"/>
    </x:row>
    <x:row r="998">
      <x:c r="F998" s="300"/>
    </x:row>
    <x:row r="999">
      <x:c r="F999" s="300"/>
    </x:row>
    <x:row r="1000">
      <x:c r="F1000" s="300"/>
    </x:row>
    <x:row r="1001">
      <x:c r="F1001" s="300"/>
    </x:row>
    <x:row r="1002">
      <x:c r="F1002" s="300"/>
    </x:row>
    <x:row r="1003">
      <x:c r="F1003" s="300"/>
    </x:row>
    <x:row r="1004">
      <x:c r="F1004" s="300"/>
    </x:row>
    <x:row r="1005">
      <x:c r="F1005" s="300"/>
    </x:row>
    <x:row r="1006">
      <x:c r="F1006" s="300"/>
    </x:row>
    <x:row r="1007">
      <x:c r="F1007" s="300"/>
    </x:row>
    <x:row r="1008">
      <x:c r="F1008" s="300"/>
    </x:row>
    <x:row r="1009">
      <x:c r="F1009" s="300"/>
    </x:row>
    <x:row r="1010">
      <x:c r="F1010" s="300"/>
    </x:row>
    <x:row r="1011">
      <x:c r="F1011" s="300"/>
    </x:row>
    <x:row r="1012">
      <x:c r="F1012" s="300"/>
    </x:row>
    <x:row r="1013">
      <x:c r="F1013" s="300"/>
    </x:row>
    <x:row r="1014">
      <x:c r="F1014" s="300"/>
    </x:row>
    <x:row r="1015">
      <x:c r="F1015" s="300"/>
    </x:row>
    <x:row r="1016">
      <x:c r="F1016" s="300"/>
    </x:row>
    <x:row r="1017">
      <x:c r="F1017" s="300"/>
    </x:row>
    <x:row r="1018">
      <x:c r="F1018" s="300"/>
    </x:row>
    <x:row r="1019">
      <x:c r="F1019" s="300"/>
    </x:row>
    <x:row r="1020">
      <x:c r="F1020" s="300"/>
    </x:row>
    <x:row r="1021">
      <x:c r="F1021" s="300"/>
    </x:row>
    <x:row r="1022">
      <x:c r="F1022" s="300"/>
    </x:row>
    <x:row r="1023">
      <x:c r="F1023" s="300"/>
    </x:row>
    <x:row r="1024">
      <x:c r="F1024" s="300"/>
    </x:row>
    <x:row r="1025">
      <x:c r="F1025" s="300"/>
    </x:row>
    <x:row r="1026">
      <x:c r="F1026" s="300"/>
    </x:row>
    <x:row r="1027">
      <x:c r="F1027" s="300"/>
    </x:row>
    <x:row r="1028">
      <x:c r="F1028" s="300"/>
    </x:row>
    <x:row r="1029">
      <x:c r="F1029" s="300"/>
    </x:row>
    <x:row r="1030">
      <x:c r="F1030" s="300"/>
    </x:row>
    <x:row r="1031">
      <x:c r="F1031" s="300"/>
    </x:row>
    <x:row r="1032">
      <x:c r="F1032" s="300"/>
    </x:row>
    <x:row r="1033">
      <x:c r="F1033" s="300"/>
    </x:row>
    <x:row r="1034">
      <x:c r="F1034" s="300"/>
    </x:row>
    <x:row r="1035">
      <x:c r="F1035" s="300"/>
    </x:row>
    <x:row r="1036">
      <x:c r="F1036" s="300"/>
    </x:row>
    <x:row r="1037">
      <x:c r="F1037" s="300"/>
    </x:row>
    <x:row r="1038">
      <x:c r="F1038" s="300"/>
    </x:row>
    <x:row r="1039">
      <x:c r="F1039" s="300"/>
    </x:row>
    <x:row r="1040">
      <x:c r="F1040" s="300"/>
    </x:row>
    <x:row r="1041">
      <x:c r="F1041" s="300"/>
    </x:row>
    <x:row r="1042">
      <x:c r="F1042" s="300"/>
    </x:row>
    <x:row r="1043">
      <x:c r="F1043" s="300"/>
    </x:row>
    <x:row r="1044">
      <x:c r="F1044" s="300"/>
    </x:row>
    <x:row r="1045">
      <x:c r="F1045" s="300"/>
    </x:row>
    <x:row r="1046">
      <x:c r="F1046" s="300"/>
    </x:row>
    <x:row r="1047">
      <x:c r="F1047" s="300"/>
    </x:row>
    <x:row r="1048">
      <x:c r="F1048" s="300"/>
    </x:row>
    <x:row r="1049">
      <x:c r="F1049" s="300"/>
    </x:row>
    <x:row r="1050">
      <x:c r="F1050" s="300"/>
    </x:row>
    <x:row r="1051">
      <x:c r="F1051" s="300"/>
    </x:row>
    <x:row r="1052">
      <x:c r="F1052" s="300"/>
    </x:row>
    <x:row r="1053">
      <x:c r="F1053" s="300"/>
    </x:row>
    <x:row r="1054">
      <x:c r="F1054" s="300"/>
    </x:row>
    <x:row r="1055">
      <x:c r="F1055" s="300"/>
    </x:row>
    <x:row r="1056">
      <x:c r="F1056" s="300"/>
    </x:row>
    <x:row r="1057">
      <x:c r="F1057" s="300"/>
    </x:row>
    <x:row r="1058">
      <x:c r="F1058" s="300"/>
    </x:row>
    <x:row r="1059">
      <x:c r="F1059" s="300"/>
    </x:row>
    <x:row r="1060">
      <x:c r="F1060" s="300"/>
    </x:row>
    <x:row r="1061">
      <x:c r="F1061" s="300"/>
    </x:row>
    <x:row r="1062">
      <x:c r="F1062" s="300"/>
    </x:row>
    <x:row r="1063">
      <x:c r="F1063" s="300"/>
    </x:row>
    <x:row r="1064">
      <x:c r="F1064" s="300"/>
    </x:row>
    <x:row r="1065">
      <x:c r="F1065" s="300"/>
    </x:row>
    <x:row r="1066">
      <x:c r="F1066" s="300"/>
    </x:row>
    <x:row r="1067">
      <x:c r="F1067" s="300"/>
    </x:row>
    <x:row r="1068">
      <x:c r="F1068" s="300"/>
    </x:row>
    <x:row r="1069">
      <x:c r="F1069" s="300"/>
    </x:row>
    <x:row r="1070">
      <x:c r="F1070" s="300"/>
    </x:row>
    <x:row r="1071">
      <x:c r="F1071" s="300"/>
    </x:row>
    <x:row r="1072">
      <x:c r="F1072" s="300"/>
    </x:row>
    <x:row r="1073">
      <x:c r="F1073" s="300"/>
    </x:row>
    <x:row r="1074">
      <x:c r="F1074" s="300"/>
    </x:row>
    <x:row r="1075">
      <x:c r="F1075" s="300"/>
    </x:row>
    <x:row r="1076">
      <x:c r="F1076" s="300"/>
    </x:row>
    <x:row r="1077">
      <x:c r="F1077" s="300"/>
    </x:row>
    <x:row r="1078">
      <x:c r="F1078" s="300"/>
    </x:row>
    <x:row r="1079">
      <x:c r="F1079" s="300"/>
    </x:row>
    <x:row r="1080">
      <x:c r="F1080" s="300"/>
    </x:row>
    <x:row r="1081">
      <x:c r="F1081" s="300"/>
    </x:row>
    <x:row r="1082">
      <x:c r="F1082" s="300"/>
    </x:row>
    <x:row r="1083">
      <x:c r="F1083" s="300"/>
    </x:row>
    <x:row r="1084">
      <x:c r="F1084" s="300"/>
    </x:row>
    <x:row r="1085">
      <x:c r="F1085" s="300"/>
    </x:row>
    <x:row r="1086">
      <x:c r="F1086" s="300"/>
    </x:row>
    <x:row r="1087">
      <x:c r="F1087" s="300"/>
    </x:row>
    <x:row r="1088">
      <x:c r="F1088" s="300"/>
    </x:row>
    <x:row r="1089">
      <x:c r="F1089" s="300"/>
    </x:row>
    <x:row r="1090">
      <x:c r="F1090" s="300"/>
    </x:row>
    <x:row r="1091">
      <x:c r="F1091" s="300"/>
    </x:row>
    <x:row r="1092">
      <x:c r="F1092" s="300"/>
    </x:row>
    <x:row r="1093">
      <x:c r="F1093" s="300"/>
    </x:row>
    <x:row r="1094">
      <x:c r="F1094" s="300"/>
    </x:row>
    <x:row r="1095">
      <x:c r="F1095" s="300"/>
    </x:row>
    <x:row r="1096">
      <x:c r="F1096" s="300"/>
    </x:row>
    <x:row r="1097">
      <x:c r="F1097" s="300"/>
    </x:row>
    <x:row r="1098">
      <x:c r="F1098" s="300"/>
    </x:row>
    <x:row r="1099">
      <x:c r="F1099" s="300"/>
    </x:row>
    <x:row r="1100">
      <x:c r="F1100" s="300"/>
    </x:row>
    <x:row r="1101">
      <x:c r="F1101" s="300"/>
    </x:row>
    <x:row r="1102">
      <x:c r="F1102" s="300"/>
    </x:row>
    <x:row r="1103">
      <x:c r="F1103" s="300"/>
    </x:row>
    <x:row r="1104">
      <x:c r="F1104" s="300"/>
    </x:row>
    <x:row r="1105">
      <x:c r="F1105" s="300"/>
    </x:row>
    <x:row r="1106">
      <x:c r="F1106" s="300"/>
    </x:row>
    <x:row r="1107">
      <x:c r="F1107" s="300"/>
    </x:row>
    <x:row r="1108">
      <x:c r="F1108" s="300"/>
    </x:row>
    <x:row r="1109">
      <x:c r="F1109" s="300"/>
    </x:row>
    <x:row r="1110">
      <x:c r="F1110" s="300"/>
    </x:row>
    <x:row r="1111">
      <x:c r="F1111" s="300"/>
    </x:row>
    <x:row r="1112">
      <x:c r="F1112" s="300"/>
    </x:row>
    <x:row r="1113">
      <x:c r="F1113" s="300"/>
    </x:row>
    <x:row r="1114">
      <x:c r="F1114" s="300"/>
    </x:row>
    <x:row r="1115">
      <x:c r="F1115" s="300"/>
    </x:row>
    <x:row r="1116">
      <x:c r="F1116" s="300"/>
    </x:row>
    <x:row r="1117">
      <x:c r="F1117" s="300"/>
    </x:row>
    <x:row r="1118">
      <x:c r="F1118" s="300"/>
    </x:row>
    <x:row r="1119">
      <x:c r="F1119" s="300"/>
    </x:row>
    <x:row r="1120">
      <x:c r="F1120" s="300"/>
    </x:row>
    <x:row r="1121">
      <x:c r="F1121" s="300"/>
    </x:row>
    <x:row r="1122">
      <x:c r="F1122" s="300"/>
    </x:row>
    <x:row r="1123">
      <x:c r="F1123" s="300"/>
    </x:row>
    <x:row r="1124">
      <x:c r="F1124" s="300"/>
    </x:row>
    <x:row r="1125">
      <x:c r="F1125" s="300"/>
    </x:row>
    <x:row r="1126">
      <x:c r="F1126" s="300"/>
    </x:row>
    <x:row r="1127">
      <x:c r="F1127" s="300"/>
    </x:row>
    <x:row r="1128">
      <x:c r="F1128" s="300"/>
    </x:row>
    <x:row r="1129">
      <x:c r="F1129" s="300"/>
    </x:row>
    <x:row r="1130">
      <x:c r="F1130" s="300"/>
    </x:row>
    <x:row r="1131">
      <x:c r="F1131" s="300"/>
    </x:row>
    <x:row r="1132">
      <x:c r="F1132" s="300"/>
    </x:row>
    <x:row r="1133">
      <x:c r="F1133" s="300"/>
    </x:row>
    <x:row r="1134">
      <x:c r="F1134" s="300"/>
    </x:row>
    <x:row r="1135">
      <x:c r="F1135" s="300"/>
    </x:row>
    <x:row r="1136">
      <x:c r="F1136" s="300"/>
    </x:row>
    <x:row r="1137">
      <x:c r="F1137" s="300"/>
    </x:row>
    <x:row r="1138">
      <x:c r="F1138" s="300"/>
    </x:row>
    <x:row r="1139">
      <x:c r="F1139" s="300"/>
    </x:row>
    <x:row r="1140">
      <x:c r="F1140" s="300"/>
    </x:row>
    <x:row r="1141">
      <x:c r="F1141" s="300"/>
    </x:row>
    <x:row r="1142">
      <x:c r="F1142" s="300"/>
    </x:row>
    <x:row r="1143">
      <x:c r="F1143" s="300"/>
    </x:row>
    <x:row r="1144">
      <x:c r="F1144" s="300"/>
    </x:row>
    <x:row r="1145">
      <x:c r="F1145" s="300"/>
    </x:row>
    <x:row r="1146">
      <x:c r="F1146" s="300"/>
    </x:row>
    <x:row r="1147">
      <x:c r="F1147" s="300"/>
    </x:row>
    <x:row r="1148">
      <x:c r="F1148" s="300"/>
    </x:row>
    <x:row r="1149">
      <x:c r="F1149" s="300"/>
    </x:row>
    <x:row r="1150">
      <x:c r="F1150" s="300"/>
    </x:row>
    <x:row r="1151">
      <x:c r="F1151" s="300"/>
    </x:row>
    <x:row r="1152">
      <x:c r="F1152" s="300"/>
    </x:row>
    <x:row r="1153">
      <x:c r="F1153" s="300"/>
    </x:row>
    <x:row r="1154">
      <x:c r="F1154" s="300"/>
    </x:row>
    <x:row r="1155">
      <x:c r="F1155" s="300"/>
    </x:row>
    <x:row r="1156">
      <x:c r="F1156" s="300"/>
    </x:row>
    <x:row r="1157">
      <x:c r="F1157" s="300"/>
    </x:row>
    <x:row r="1158">
      <x:c r="F1158" s="300"/>
    </x:row>
    <x:row r="1159">
      <x:c r="F1159" s="300"/>
    </x:row>
    <x:row r="1160">
      <x:c r="F1160" s="300"/>
    </x:row>
    <x:row r="1161">
      <x:c r="F1161" s="300"/>
    </x:row>
    <x:row r="1162">
      <x:c r="F1162" s="300"/>
    </x:row>
    <x:row r="1163">
      <x:c r="F1163" s="300"/>
    </x:row>
    <x:row r="1164">
      <x:c r="F1164" s="300"/>
    </x:row>
    <x:row r="1165">
      <x:c r="F1165" s="300"/>
    </x:row>
    <x:row r="1166">
      <x:c r="F1166" s="300"/>
    </x:row>
    <x:row r="1167">
      <x:c r="F1167" s="300"/>
    </x:row>
    <x:row r="1168">
      <x:c r="F1168" s="300"/>
    </x:row>
    <x:row r="1169">
      <x:c r="F1169" s="300"/>
    </x:row>
    <x:row r="1170">
      <x:c r="F1170" s="300"/>
    </x:row>
    <x:row r="1171">
      <x:c r="F1171" s="300"/>
    </x:row>
    <x:row r="1172">
      <x:c r="F1172" s="300"/>
    </x:row>
    <x:row r="1173">
      <x:c r="F1173" s="300"/>
    </x:row>
    <x:row r="1174">
      <x:c r="F1174" s="300"/>
    </x:row>
    <x:row r="1175">
      <x:c r="F1175" s="300"/>
    </x:row>
    <x:row r="1176">
      <x:c r="F1176" s="300"/>
    </x:row>
    <x:row r="1177">
      <x:c r="F1177" s="300"/>
    </x:row>
    <x:row r="1178">
      <x:c r="F1178" s="300"/>
    </x:row>
    <x:row r="1179">
      <x:c r="F1179" s="300"/>
    </x:row>
    <x:row r="1180">
      <x:c r="F1180" s="300"/>
    </x:row>
    <x:row r="1181">
      <x:c r="F1181" s="300"/>
    </x:row>
    <x:row r="1182">
      <x:c r="F1182" s="300"/>
    </x:row>
    <x:row r="1183">
      <x:c r="F1183" s="300"/>
    </x:row>
    <x:row r="1184">
      <x:c r="F1184" s="300"/>
    </x:row>
    <x:row r="1185">
      <x:c r="F1185" s="300"/>
    </x:row>
    <x:row r="1186">
      <x:c r="F1186" s="300"/>
    </x:row>
    <x:row r="1187">
      <x:c r="F1187" s="300"/>
    </x:row>
    <x:row r="1188">
      <x:c r="F1188" s="300"/>
    </x:row>
    <x:row r="1189">
      <x:c r="F1189" s="300"/>
    </x:row>
    <x:row r="1190">
      <x:c r="F1190" s="300"/>
    </x:row>
    <x:row r="1191">
      <x:c r="F1191" s="300"/>
    </x:row>
    <x:row r="1192">
      <x:c r="F1192" s="300"/>
    </x:row>
    <x:row r="1193">
      <x:c r="F1193" s="300"/>
    </x:row>
    <x:row r="1194">
      <x:c r="F1194" s="300"/>
    </x:row>
    <x:row r="1195">
      <x:c r="F1195" s="300"/>
    </x:row>
    <x:row r="1196">
      <x:c r="F1196" s="300"/>
    </x:row>
    <x:row r="1197">
      <x:c r="F1197" s="300"/>
    </x:row>
    <x:row r="1198">
      <x:c r="F1198" s="300"/>
    </x:row>
    <x:row r="1199">
      <x:c r="F1199" s="300"/>
    </x:row>
    <x:row r="1200">
      <x:c r="F1200" s="300"/>
    </x:row>
    <x:row r="1201">
      <x:c r="F1201" s="300"/>
    </x:row>
    <x:row r="1202">
      <x:c r="F1202" s="300"/>
    </x:row>
    <x:row r="1203">
      <x:c r="F1203" s="300"/>
    </x:row>
    <x:row r="1204">
      <x:c r="F1204" s="300"/>
    </x:row>
    <x:row r="1205">
      <x:c r="F1205" s="300"/>
    </x:row>
    <x:row r="1206">
      <x:c r="F1206" s="300"/>
    </x:row>
    <x:row r="1207">
      <x:c r="F1207" s="300"/>
    </x:row>
    <x:row r="1208">
      <x:c r="F1208" s="300"/>
    </x:row>
    <x:row r="1209">
      <x:c r="F1209" s="300"/>
    </x:row>
    <x:row r="1210">
      <x:c r="F1210" s="300"/>
    </x:row>
    <x:row r="1211">
      <x:c r="F1211" s="300"/>
    </x:row>
    <x:row r="1212">
      <x:c r="F1212" s="300"/>
    </x:row>
    <x:row r="1213">
      <x:c r="F1213" s="300"/>
    </x:row>
    <x:row r="1214">
      <x:c r="F1214" s="300"/>
    </x:row>
    <x:row r="1215">
      <x:c r="F1215" s="300"/>
    </x:row>
    <x:row r="1216">
      <x:c r="F1216" s="300"/>
    </x:row>
    <x:row r="1217">
      <x:c r="F1217" s="300"/>
    </x:row>
    <x:row r="1218">
      <x:c r="F1218" s="300"/>
    </x:row>
    <x:row r="1219">
      <x:c r="F1219" s="300"/>
    </x:row>
    <x:row r="1220">
      <x:c r="F1220" s="300"/>
    </x:row>
    <x:row r="1221">
      <x:c r="F1221" s="300"/>
    </x:row>
    <x:row r="1222">
      <x:c r="F1222" s="300"/>
    </x:row>
    <x:row r="1223">
      <x:c r="F1223" s="300"/>
    </x:row>
    <x:row r="1224">
      <x:c r="F1224" s="300"/>
    </x:row>
    <x:row r="1225">
      <x:c r="F1225" s="300"/>
    </x:row>
    <x:row r="1226">
      <x:c r="F1226" s="300"/>
    </x:row>
    <x:row r="1227">
      <x:c r="F1227" s="300"/>
    </x:row>
    <x:row r="1228">
      <x:c r="F1228" s="300"/>
    </x:row>
    <x:row r="1229">
      <x:c r="F1229" s="300"/>
    </x:row>
    <x:row r="1230">
      <x:c r="F1230" s="300"/>
    </x:row>
    <x:row r="1231">
      <x:c r="F1231" s="300"/>
    </x:row>
    <x:row r="1232">
      <x:c r="F1232" s="300"/>
    </x:row>
    <x:row r="1233">
      <x:c r="F1233" s="300"/>
    </x:row>
    <x:row r="1234">
      <x:c r="F1234" s="300"/>
    </x:row>
    <x:row r="1235">
      <x:c r="F1235" s="300"/>
    </x:row>
    <x:row r="1236">
      <x:c r="F1236" s="300"/>
    </x:row>
    <x:row r="1237">
      <x:c r="F1237" s="300"/>
    </x:row>
    <x:row r="1238">
      <x:c r="F1238" s="300"/>
    </x:row>
    <x:row r="1239">
      <x:c r="F1239" s="300"/>
    </x:row>
    <x:row r="1240">
      <x:c r="F1240" s="300"/>
    </x:row>
    <x:row r="1241">
      <x:c r="F1241" s="300"/>
    </x:row>
    <x:row r="1242">
      <x:c r="F1242" s="300"/>
    </x:row>
    <x:row r="1243">
      <x:c r="F1243" s="300"/>
    </x:row>
    <x:row r="1244">
      <x:c r="F1244" s="300"/>
    </x:row>
    <x:row r="1245">
      <x:c r="F1245" s="300"/>
    </x:row>
    <x:row r="1246">
      <x:c r="F1246" s="300"/>
    </x:row>
    <x:row r="1247">
      <x:c r="F1247" s="300"/>
    </x:row>
    <x:row r="1248">
      <x:c r="F1248" s="300"/>
    </x:row>
    <x:row r="1249">
      <x:c r="F1249" s="300"/>
    </x:row>
    <x:row r="1250">
      <x:c r="F1250" s="300"/>
    </x:row>
    <x:row r="1251">
      <x:c r="F1251" s="300"/>
    </x:row>
    <x:row r="1252">
      <x:c r="F1252" s="300"/>
    </x:row>
    <x:row r="1253">
      <x:c r="F1253" s="300"/>
    </x:row>
    <x:row r="1254">
      <x:c r="F1254" s="300"/>
    </x:row>
    <x:row r="1255">
      <x:c r="F1255" s="300"/>
    </x:row>
    <x:row r="1256">
      <x:c r="F1256" s="300"/>
    </x:row>
    <x:row r="1257">
      <x:c r="F1257" s="300"/>
    </x:row>
    <x:row r="1258">
      <x:c r="F1258" s="300"/>
    </x:row>
    <x:row r="1259">
      <x:c r="F1259" s="300"/>
    </x:row>
    <x:row r="1260">
      <x:c r="F1260" s="300"/>
    </x:row>
    <x:row r="1261">
      <x:c r="F1261" s="300"/>
    </x:row>
    <x:row r="1262">
      <x:c r="F1262" s="300"/>
    </x:row>
    <x:row r="1263">
      <x:c r="F1263" s="300"/>
    </x:row>
    <x:row r="1264">
      <x:c r="F1264" s="300"/>
    </x:row>
    <x:row r="1265">
      <x:c r="F1265" s="300"/>
    </x:row>
    <x:row r="1266">
      <x:c r="F1266" s="300"/>
    </x:row>
    <x:row r="1267">
      <x:c r="F1267" s="300"/>
    </x:row>
    <x:row r="1268">
      <x:c r="F1268" s="300"/>
    </x:row>
    <x:row r="1269">
      <x:c r="F1269" s="300"/>
    </x:row>
    <x:row r="1270">
      <x:c r="F1270" s="300"/>
    </x:row>
    <x:row r="1271">
      <x:c r="F1271" s="300"/>
    </x:row>
    <x:row r="1272">
      <x:c r="F1272" s="300"/>
    </x:row>
    <x:row r="1273">
      <x:c r="F1273" s="300"/>
    </x:row>
    <x:row r="1274">
      <x:c r="F1274" s="300"/>
    </x:row>
    <x:row r="1275">
      <x:c r="F1275" s="300"/>
    </x:row>
    <x:row r="1276">
      <x:c r="F1276" s="300"/>
    </x:row>
    <x:row r="1277">
      <x:c r="F1277" s="300"/>
    </x:row>
    <x:row r="1278">
      <x:c r="F1278" s="300"/>
    </x:row>
    <x:row r="1279">
      <x:c r="F1279" s="300"/>
    </x:row>
    <x:row r="1280">
      <x:c r="F1280" s="300"/>
    </x:row>
    <x:row r="1281">
      <x:c r="F1281" s="300"/>
    </x:row>
    <x:row r="1282">
      <x:c r="F1282" s="300"/>
    </x:row>
    <x:row r="1283">
      <x:c r="F1283" s="300"/>
    </x:row>
    <x:row r="1284">
      <x:c r="F1284" s="300"/>
    </x:row>
    <x:row r="1285">
      <x:c r="F1285" s="300"/>
    </x:row>
    <x:row r="1286">
      <x:c r="F1286" s="300"/>
    </x:row>
    <x:row r="1287">
      <x:c r="F1287" s="300"/>
    </x:row>
    <x:row r="1288">
      <x:c r="F1288" s="300"/>
    </x:row>
    <x:row r="1289">
      <x:c r="F1289" s="300"/>
    </x:row>
    <x:row r="1290">
      <x:c r="F1290" s="300"/>
    </x:row>
    <x:row r="1291">
      <x:c r="F1291" s="300"/>
    </x:row>
    <x:row r="1292">
      <x:c r="F1292" s="300"/>
    </x:row>
    <x:row r="1293">
      <x:c r="F1293" s="300"/>
    </x:row>
    <x:row r="1294">
      <x:c r="F1294" s="300"/>
    </x:row>
    <x:row r="1295">
      <x:c r="F1295" s="300"/>
    </x:row>
    <x:row r="1296">
      <x:c r="F1296" s="300"/>
    </x:row>
    <x:row r="1297">
      <x:c r="F1297" s="300"/>
    </x:row>
    <x:row r="1298">
      <x:c r="F1298" s="300"/>
    </x:row>
    <x:row r="1299">
      <x:c r="F1299" s="300"/>
    </x:row>
    <x:row r="1300">
      <x:c r="F1300" s="300"/>
    </x:row>
    <x:row r="1301">
      <x:c r="F1301" s="300"/>
    </x:row>
    <x:row r="1302">
      <x:c r="F1302" s="300"/>
    </x:row>
    <x:row r="1303">
      <x:c r="F1303" s="300"/>
    </x:row>
    <x:row r="1304">
      <x:c r="F1304" s="300"/>
    </x:row>
    <x:row r="1305">
      <x:c r="F1305" s="300"/>
    </x:row>
    <x:row r="1306">
      <x:c r="F1306" s="300"/>
    </x:row>
    <x:row r="1307">
      <x:c r="F1307" s="300"/>
    </x:row>
    <x:row r="1308">
      <x:c r="F1308" s="300"/>
    </x:row>
    <x:row r="1309">
      <x:c r="F1309" s="300"/>
    </x:row>
    <x:row r="1310">
      <x:c r="F1310" s="300"/>
    </x:row>
    <x:row r="1311">
      <x:c r="F1311" s="300"/>
    </x:row>
    <x:row r="1312">
      <x:c r="F1312" s="300"/>
    </x:row>
    <x:row r="1313">
      <x:c r="F1313" s="300"/>
    </x:row>
    <x:row r="1314">
      <x:c r="F1314" s="300"/>
    </x:row>
    <x:row r="1315">
      <x:c r="F1315" s="300"/>
    </x:row>
    <x:row r="1316">
      <x:c r="F1316" s="300"/>
    </x:row>
    <x:row r="1317">
      <x:c r="F1317" s="300"/>
    </x:row>
    <x:row r="1318">
      <x:c r="F1318" s="300"/>
    </x:row>
    <x:row r="1319">
      <x:c r="F1319" s="300"/>
    </x:row>
    <x:row r="1320">
      <x:c r="F1320" s="300"/>
    </x:row>
    <x:row r="1321">
      <x:c r="F1321" s="300"/>
    </x:row>
    <x:row r="1322">
      <x:c r="F1322" s="300"/>
    </x:row>
    <x:row r="1323">
      <x:c r="F1323" s="300"/>
    </x:row>
    <x:row r="1324">
      <x:c r="F1324" s="300"/>
    </x:row>
    <x:row r="1325">
      <x:c r="F1325" s="300"/>
    </x:row>
    <x:row r="1326">
      <x:c r="F1326" s="300"/>
    </x:row>
    <x:row r="1327">
      <x:c r="F1327" s="300"/>
    </x:row>
    <x:row r="1328">
      <x:c r="F1328" s="300"/>
    </x:row>
    <x:row r="1329">
      <x:c r="F1329" s="300"/>
    </x:row>
    <x:row r="1330">
      <x:c r="F1330" s="300"/>
    </x:row>
    <x:row r="1331">
      <x:c r="F1331" s="300"/>
    </x:row>
    <x:row r="1332">
      <x:c r="F1332" s="300"/>
    </x:row>
    <x:row r="1333">
      <x:c r="F1333" s="300"/>
    </x:row>
    <x:row r="1334">
      <x:c r="F1334" s="300"/>
    </x:row>
    <x:row r="1335">
      <x:c r="F1335" s="300"/>
    </x:row>
    <x:row r="1336">
      <x:c r="F1336" s="300"/>
    </x:row>
    <x:row r="1337">
      <x:c r="F1337" s="300"/>
    </x:row>
    <x:row r="1338">
      <x:c r="F1338" s="300"/>
    </x:row>
    <x:row r="1339">
      <x:c r="F1339" s="300"/>
    </x:row>
    <x:row r="1340">
      <x:c r="F1340" s="300"/>
    </x:row>
    <x:row r="1341">
      <x:c r="F1341" s="300"/>
    </x:row>
    <x:row r="1342">
      <x:c r="F1342" s="300"/>
    </x:row>
    <x:row r="1343">
      <x:c r="F1343" s="300"/>
    </x:row>
    <x:row r="1344">
      <x:c r="F1344" s="300"/>
    </x:row>
    <x:row r="1345">
      <x:c r="F1345" s="300"/>
    </x:row>
    <x:row r="1346">
      <x:c r="F1346" s="300"/>
    </x:row>
    <x:row r="1347">
      <x:c r="F1347" s="300"/>
    </x:row>
    <x:row r="1348">
      <x:c r="F1348" s="300"/>
    </x:row>
    <x:row r="1349">
      <x:c r="F1349" s="300"/>
    </x:row>
    <x:row r="1350">
      <x:c r="F1350" s="300"/>
    </x:row>
    <x:row r="1351">
      <x:c r="F1351" s="300"/>
    </x:row>
    <x:row r="1352">
      <x:c r="F1352" s="300"/>
    </x:row>
    <x:row r="1353">
      <x:c r="F1353" s="300"/>
    </x:row>
    <x:row r="1354">
      <x:c r="F1354" s="300"/>
    </x:row>
    <x:row r="1355">
      <x:c r="F1355" s="300"/>
    </x:row>
    <x:row r="1356">
      <x:c r="F1356" s="300"/>
    </x:row>
    <x:row r="1357">
      <x:c r="F1357" s="300"/>
    </x:row>
    <x:row r="1358">
      <x:c r="F1358" s="300"/>
    </x:row>
    <x:row r="1359">
      <x:c r="F1359" s="300"/>
    </x:row>
    <x:row r="1360">
      <x:c r="F1360" s="300"/>
    </x:row>
    <x:row r="1361">
      <x:c r="F1361" s="300"/>
    </x:row>
    <x:row r="1362">
      <x:c r="F1362" s="300"/>
    </x:row>
    <x:row r="1363">
      <x:c r="F1363" s="300"/>
    </x:row>
    <x:row r="1364">
      <x:c r="F1364" s="300"/>
    </x:row>
    <x:row r="1365">
      <x:c r="F1365" s="300"/>
    </x:row>
    <x:row r="1366">
      <x:c r="F1366" s="300"/>
    </x:row>
    <x:row r="1367">
      <x:c r="F1367" s="300"/>
    </x:row>
    <x:row r="1368">
      <x:c r="F1368" s="300"/>
    </x:row>
    <x:row r="1369">
      <x:c r="F1369" s="300"/>
    </x:row>
    <x:row r="1370">
      <x:c r="F1370" s="300"/>
    </x:row>
    <x:row r="1371">
      <x:c r="F1371" s="300"/>
    </x:row>
    <x:row r="1372">
      <x:c r="F1372" s="300"/>
    </x:row>
    <x:row r="1373">
      <x:c r="F1373" s="300"/>
    </x:row>
    <x:row r="1374">
      <x:c r="F1374" s="300"/>
    </x:row>
    <x:row r="1375">
      <x:c r="F1375" s="300"/>
    </x:row>
    <x:row r="1376">
      <x:c r="F1376" s="300"/>
    </x:row>
    <x:row r="1377">
      <x:c r="F1377" s="300"/>
    </x:row>
    <x:row r="1378">
      <x:c r="F1378" s="300"/>
    </x:row>
    <x:row r="1379">
      <x:c r="F1379" s="300"/>
    </x:row>
    <x:row r="1380">
      <x:c r="F1380" s="300"/>
    </x:row>
    <x:row r="1381">
      <x:c r="F1381" s="300"/>
    </x:row>
    <x:row r="1382">
      <x:c r="F1382" s="300"/>
    </x:row>
    <x:row r="1383">
      <x:c r="F1383" s="300"/>
    </x:row>
    <x:row r="1384">
      <x:c r="F1384" s="300"/>
    </x:row>
    <x:row r="1385">
      <x:c r="F1385" s="300"/>
    </x:row>
    <x:row r="1386">
      <x:c r="F1386" s="300"/>
    </x:row>
    <x:row r="1387">
      <x:c r="F1387" s="300"/>
    </x:row>
    <x:row r="1388">
      <x:c r="F1388" s="300"/>
    </x:row>
    <x:row r="1389">
      <x:c r="F1389" s="300"/>
    </x:row>
    <x:row r="1390">
      <x:c r="F1390" s="300"/>
    </x:row>
    <x:row r="1391">
      <x:c r="F1391" s="300"/>
    </x:row>
    <x:row r="1392">
      <x:c r="F1392" s="300"/>
    </x:row>
    <x:row r="1393">
      <x:c r="F1393" s="300"/>
    </x:row>
    <x:row r="1394">
      <x:c r="F1394" s="300"/>
    </x:row>
    <x:row r="1395">
      <x:c r="F1395" s="300"/>
    </x:row>
    <x:row r="1396">
      <x:c r="F1396" s="300"/>
    </x:row>
    <x:row r="1397">
      <x:c r="F1397" s="300"/>
    </x:row>
    <x:row r="1398">
      <x:c r="F1398" s="300"/>
    </x:row>
    <x:row r="1399">
      <x:c r="F1399" s="300"/>
    </x:row>
    <x:row r="1400">
      <x:c r="F1400" s="300"/>
    </x:row>
    <x:row r="1401">
      <x:c r="F1401" s="300"/>
    </x:row>
    <x:row r="1402">
      <x:c r="F1402" s="300"/>
    </x:row>
    <x:row r="1403">
      <x:c r="F1403" s="300"/>
    </x:row>
    <x:row r="1404">
      <x:c r="F1404" s="300"/>
    </x:row>
    <x:row r="1405">
      <x:c r="F1405" s="300"/>
    </x:row>
    <x:row r="1406">
      <x:c r="F1406" s="300"/>
    </x:row>
    <x:row r="1407">
      <x:c r="F1407" s="300"/>
    </x:row>
    <x:row r="1408">
      <x:c r="F1408" s="300"/>
    </x:row>
    <x:row r="1409">
      <x:c r="F1409" s="300"/>
    </x:row>
    <x:row r="1410">
      <x:c r="F1410" s="300"/>
    </x:row>
    <x:row r="1411">
      <x:c r="F1411" s="300"/>
    </x:row>
    <x:row r="1412">
      <x:c r="F1412" s="300"/>
    </x:row>
    <x:row r="1413">
      <x:c r="F1413" s="300"/>
    </x:row>
    <x:row r="1414">
      <x:c r="F1414" s="300"/>
    </x:row>
    <x:row r="1415">
      <x:c r="F1415" s="300"/>
    </x:row>
    <x:row r="1416">
      <x:c r="F1416" s="300"/>
    </x:row>
    <x:row r="1417">
      <x:c r="F1417" s="300"/>
    </x:row>
    <x:row r="1418">
      <x:c r="F1418" s="300"/>
    </x:row>
    <x:row r="1419">
      <x:c r="F1419" s="300"/>
    </x:row>
    <x:row r="1420">
      <x:c r="F1420" s="300"/>
    </x:row>
    <x:row r="1421">
      <x:c r="F1421" s="300"/>
    </x:row>
    <x:row r="1422">
      <x:c r="F1422" s="300"/>
    </x:row>
    <x:row r="1423">
      <x:c r="F1423" s="300"/>
    </x:row>
    <x:row r="1424">
      <x:c r="F1424" s="300"/>
    </x:row>
    <x:row r="1425">
      <x:c r="F1425" s="300"/>
    </x:row>
    <x:row r="1426">
      <x:c r="F1426" s="300"/>
    </x:row>
    <x:row r="1427">
      <x:c r="F1427" s="300"/>
    </x:row>
    <x:row r="1428">
      <x:c r="F1428" s="300"/>
    </x:row>
    <x:row r="1429">
      <x:c r="F1429" s="300"/>
    </x:row>
    <x:row r="1430">
      <x:c r="F1430" s="300"/>
    </x:row>
    <x:row r="1431">
      <x:c r="F1431" s="300"/>
    </x:row>
    <x:row r="1432">
      <x:c r="F1432" s="300"/>
    </x:row>
    <x:row r="1433">
      <x:c r="F1433" s="300"/>
    </x:row>
    <x:row r="1434">
      <x:c r="F1434" s="300"/>
    </x:row>
    <x:row r="1435">
      <x:c r="F1435" s="300"/>
    </x:row>
    <x:row r="1436">
      <x:c r="F1436" s="300"/>
    </x:row>
    <x:row r="1437">
      <x:c r="F1437" s="300"/>
    </x:row>
    <x:row r="1438">
      <x:c r="F1438" s="300"/>
    </x:row>
    <x:row r="1439">
      <x:c r="F1439" s="300"/>
    </x:row>
    <x:row r="1440">
      <x:c r="F1440" s="300"/>
    </x:row>
    <x:row r="1441">
      <x:c r="F1441" s="300"/>
    </x:row>
    <x:row r="1442">
      <x:c r="F1442" s="300"/>
    </x:row>
    <x:row r="1443">
      <x:c r="F1443" s="300"/>
    </x:row>
    <x:row r="1444">
      <x:c r="F1444" s="300"/>
    </x:row>
    <x:row r="1445">
      <x:c r="F1445" s="300"/>
    </x:row>
    <x:row r="1446">
      <x:c r="F1446" s="300"/>
    </x:row>
    <x:row r="1447">
      <x:c r="F1447" s="300"/>
    </x:row>
    <x:row r="1448">
      <x:c r="F1448" s="300"/>
    </x:row>
    <x:row r="1449">
      <x:c r="F1449" s="300"/>
    </x:row>
    <x:row r="1450">
      <x:c r="F1450" s="300"/>
    </x:row>
    <x:row r="1451">
      <x:c r="F1451" s="300"/>
    </x:row>
    <x:row r="1452">
      <x:c r="F1452" s="300"/>
    </x:row>
    <x:row r="1453">
      <x:c r="F1453" s="300"/>
    </x:row>
    <x:row r="1454">
      <x:c r="F1454" s="300"/>
    </x:row>
    <x:row r="1455">
      <x:c r="F1455" s="300"/>
    </x:row>
    <x:row r="1456">
      <x:c r="F1456" s="300"/>
    </x:row>
    <x:row r="1457">
      <x:c r="F1457" s="300"/>
    </x:row>
    <x:row r="1458">
      <x:c r="F1458" s="300"/>
    </x:row>
    <x:row r="1459">
      <x:c r="F1459" s="300"/>
    </x:row>
    <x:row r="1460">
      <x:c r="F1460" s="300"/>
    </x:row>
    <x:row r="1461">
      <x:c r="F1461" s="300"/>
    </x:row>
    <x:row r="1462">
      <x:c r="F1462" s="300"/>
    </x:row>
    <x:row r="1463">
      <x:c r="F1463" s="300"/>
    </x:row>
    <x:row r="1464">
      <x:c r="F1464" s="300"/>
    </x:row>
    <x:row r="1465">
      <x:c r="F1465" s="300"/>
    </x:row>
    <x:row r="1466">
      <x:c r="F1466" s="300"/>
    </x:row>
    <x:row r="1467">
      <x:c r="F1467" s="300"/>
    </x:row>
    <x:row r="1468">
      <x:c r="F1468" s="300"/>
    </x:row>
    <x:row r="1469">
      <x:c r="F1469" s="300"/>
    </x:row>
    <x:row r="1470">
      <x:c r="F1470" s="300"/>
    </x:row>
    <x:row r="1471">
      <x:c r="F1471" s="300"/>
    </x:row>
    <x:row r="1472">
      <x:c r="F1472" s="300"/>
    </x:row>
    <x:row r="1473">
      <x:c r="F1473" s="300"/>
    </x:row>
    <x:row r="1474">
      <x:c r="F1474" s="300"/>
    </x:row>
    <x:row r="1475">
      <x:c r="F1475" s="300"/>
    </x:row>
    <x:row r="1476">
      <x:c r="F1476" s="300"/>
    </x:row>
    <x:row r="1477">
      <x:c r="F1477" s="300"/>
    </x:row>
    <x:row r="1478">
      <x:c r="F1478" s="300"/>
    </x:row>
    <x:row r="1479">
      <x:c r="F1479" s="300"/>
    </x:row>
    <x:row r="1480">
      <x:c r="F1480" s="300"/>
    </x:row>
    <x:row r="1481">
      <x:c r="F1481" s="300"/>
    </x:row>
    <x:row r="1482">
      <x:c r="F1482" s="300"/>
    </x:row>
    <x:row r="1483">
      <x:c r="F1483" s="300"/>
    </x:row>
    <x:row r="1484">
      <x:c r="F1484" s="300"/>
    </x:row>
    <x:row r="1485">
      <x:c r="F1485" s="300"/>
    </x:row>
    <x:row r="1486">
      <x:c r="F1486" s="300"/>
    </x:row>
    <x:row r="1487">
      <x:c r="F1487" s="300"/>
    </x:row>
    <x:row r="1488">
      <x:c r="F1488" s="300"/>
    </x:row>
    <x:row r="1489">
      <x:c r="F1489" s="300"/>
    </x:row>
    <x:row r="1490">
      <x:c r="F1490" s="300"/>
    </x:row>
    <x:row r="1491">
      <x:c r="F1491" s="300"/>
    </x:row>
    <x:row r="1492">
      <x:c r="F1492" s="300"/>
    </x:row>
    <x:row r="1493">
      <x:c r="F1493" s="300"/>
    </x:row>
    <x:row r="1494">
      <x:c r="F1494" s="300"/>
    </x:row>
    <x:row r="1495">
      <x:c r="F1495" s="300"/>
    </x:row>
    <x:row r="1496">
      <x:c r="F1496" s="300"/>
    </x:row>
    <x:row r="1497">
      <x:c r="F1497" s="300"/>
    </x:row>
    <x:row r="1498">
      <x:c r="F1498" s="300"/>
    </x:row>
    <x:row r="1499">
      <x:c r="F1499" s="300"/>
    </x:row>
    <x:row r="1500">
      <x:c r="F1500" s="300"/>
    </x:row>
    <x:row r="1501">
      <x:c r="F1501" s="300"/>
    </x:row>
    <x:row r="1502">
      <x:c r="F1502" s="300"/>
    </x:row>
    <x:row r="1503">
      <x:c r="F1503" s="300"/>
    </x:row>
    <x:row r="1504">
      <x:c r="F1504" s="300"/>
    </x:row>
    <x:row r="1505">
      <x:c r="F1505" s="300"/>
    </x:row>
    <x:row r="1506">
      <x:c r="F1506" s="300"/>
    </x:row>
    <x:row r="1507">
      <x:c r="F1507" s="300"/>
    </x:row>
    <x:row r="1508">
      <x:c r="F1508" s="300"/>
    </x:row>
    <x:row r="1509">
      <x:c r="F1509" s="300"/>
    </x:row>
    <x:row r="1510">
      <x:c r="F1510" s="300"/>
    </x:row>
    <x:row r="1511">
      <x:c r="F1511" s="300"/>
    </x:row>
    <x:row r="1512">
      <x:c r="F1512" s="300"/>
    </x:row>
    <x:row r="1513">
      <x:c r="F1513" s="300"/>
    </x:row>
    <x:row r="1514">
      <x:c r="F1514" s="300"/>
    </x:row>
    <x:row r="1515">
      <x:c r="F1515" s="300"/>
    </x:row>
    <x:row r="1516">
      <x:c r="F1516" s="300"/>
    </x:row>
    <x:row r="1517">
      <x:c r="F1517" s="300"/>
    </x:row>
    <x:row r="1518">
      <x:c r="F1518" s="300"/>
    </x:row>
    <x:row r="1519">
      <x:c r="F1519" s="300"/>
    </x:row>
    <x:row r="1520">
      <x:c r="F1520" s="300"/>
    </x:row>
    <x:row r="1521">
      <x:c r="F1521" s="300"/>
    </x:row>
    <x:row r="1522">
      <x:c r="F1522" s="300"/>
    </x:row>
    <x:row r="1523">
      <x:c r="F1523" s="300"/>
    </x:row>
    <x:row r="1524">
      <x:c r="F1524" s="300"/>
    </x:row>
    <x:row r="1525">
      <x:c r="F1525" s="300"/>
    </x:row>
    <x:row r="1526">
      <x:c r="F1526" s="300"/>
    </x:row>
    <x:row r="1527">
      <x:c r="F1527" s="300"/>
    </x:row>
    <x:row r="1528">
      <x:c r="F1528" s="300"/>
    </x:row>
    <x:row r="1529">
      <x:c r="F1529" s="300"/>
    </x:row>
    <x:row r="1530">
      <x:c r="F1530" s="300"/>
    </x:row>
    <x:row r="1531">
      <x:c r="F1531" s="300"/>
    </x:row>
    <x:row r="1532">
      <x:c r="F1532" s="300"/>
    </x:row>
    <x:row r="1533">
      <x:c r="F1533" s="300"/>
    </x:row>
    <x:row r="1534">
      <x:c r="F1534" s="300"/>
    </x:row>
    <x:row r="1535">
      <x:c r="F1535" s="300"/>
    </x:row>
    <x:row r="1536">
      <x:c r="F1536" s="300"/>
    </x:row>
    <x:row r="1537">
      <x:c r="F1537" s="300"/>
    </x:row>
    <x:row r="1538">
      <x:c r="F1538" s="300"/>
    </x:row>
    <x:row r="1539">
      <x:c r="F1539" s="300"/>
    </x:row>
    <x:row r="1540">
      <x:c r="F1540" s="300"/>
    </x:row>
    <x:row r="1541">
      <x:c r="F1541" s="300"/>
    </x:row>
    <x:row r="1542">
      <x:c r="F1542" s="300"/>
    </x:row>
    <x:row r="1543">
      <x:c r="F1543" s="300"/>
    </x:row>
    <x:row r="1544">
      <x:c r="F1544" s="300"/>
    </x:row>
    <x:row r="1545">
      <x:c r="F1545" s="300"/>
    </x:row>
    <x:row r="1546">
      <x:c r="F1546" s="300"/>
    </x:row>
    <x:row r="1547">
      <x:c r="F1547" s="300"/>
    </x:row>
    <x:row r="1548">
      <x:c r="F1548" s="300"/>
    </x:row>
    <x:row r="1549">
      <x:c r="F1549" s="300"/>
    </x:row>
    <x:row r="1550">
      <x:c r="F1550" s="300"/>
    </x:row>
    <x:row r="1551">
      <x:c r="F1551" s="300"/>
    </x:row>
    <x:row r="1552">
      <x:c r="F1552" s="300"/>
    </x:row>
    <x:row r="1553">
      <x:c r="F1553" s="300"/>
    </x:row>
    <x:row r="1554">
      <x:c r="F1554" s="300"/>
    </x:row>
    <x:row r="1555">
      <x:c r="F1555" s="300"/>
    </x:row>
    <x:row r="1556">
      <x:c r="F1556" s="300"/>
    </x:row>
    <x:row r="1557">
      <x:c r="F1557" s="300"/>
    </x:row>
    <x:row r="1558">
      <x:c r="F1558" s="300"/>
    </x:row>
    <x:row r="1559">
      <x:c r="F1559" s="300"/>
    </x:row>
    <x:row r="1560">
      <x:c r="F1560" s="300"/>
    </x:row>
    <x:row r="1561">
      <x:c r="F1561" s="300"/>
    </x:row>
    <x:row r="1562">
      <x:c r="F1562" s="300"/>
    </x:row>
    <x:row r="1563">
      <x:c r="F1563" s="300"/>
    </x:row>
    <x:row r="1564">
      <x:c r="F1564" s="300"/>
    </x:row>
    <x:row r="1565">
      <x:c r="F1565" s="300"/>
    </x:row>
    <x:row r="1566">
      <x:c r="F1566" s="300"/>
    </x:row>
    <x:row r="1567">
      <x:c r="F1567" s="300"/>
    </x:row>
    <x:row r="1568">
      <x:c r="F1568" s="300"/>
    </x:row>
    <x:row r="1569">
      <x:c r="F1569" s="300"/>
    </x:row>
    <x:row r="1570">
      <x:c r="F1570" s="300"/>
    </x:row>
    <x:row r="1571">
      <x:c r="F1571" s="300"/>
    </x:row>
    <x:row r="1572">
      <x:c r="F1572" s="300"/>
    </x:row>
    <x:row r="1573">
      <x:c r="F1573" s="300"/>
    </x:row>
    <x:row r="1574">
      <x:c r="F1574" s="300"/>
    </x:row>
    <x:row r="1575">
      <x:c r="F1575" s="300"/>
    </x:row>
    <x:row r="1576">
      <x:c r="F1576" s="300"/>
    </x:row>
    <x:row r="1577">
      <x:c r="F1577" s="300"/>
    </x:row>
    <x:row r="1578">
      <x:c r="F1578" s="300"/>
    </x:row>
    <x:row r="1579">
      <x:c r="F1579" s="300"/>
    </x:row>
    <x:row r="1580">
      <x:c r="F1580" s="300"/>
    </x:row>
    <x:row r="1581">
      <x:c r="F1581" s="300"/>
    </x:row>
    <x:row r="1582">
      <x:c r="F1582" s="300"/>
    </x:row>
    <x:row r="1583">
      <x:c r="F1583" s="300"/>
    </x:row>
    <x:row r="1584">
      <x:c r="F1584" s="300"/>
    </x:row>
    <x:row r="1585">
      <x:c r="F1585" s="300"/>
    </x:row>
    <x:row r="1586">
      <x:c r="F1586" s="300"/>
    </x:row>
    <x:row r="1587">
      <x:c r="F1587" s="300"/>
    </x:row>
    <x:row r="1588">
      <x:c r="F1588" s="300"/>
    </x:row>
    <x:row r="1589">
      <x:c r="F1589" s="300"/>
    </x:row>
    <x:row r="1590">
      <x:c r="F1590" s="300"/>
    </x:row>
    <x:row r="1591">
      <x:c r="F1591" s="300"/>
    </x:row>
    <x:row r="1592">
      <x:c r="F1592" s="300"/>
    </x:row>
    <x:row r="1593">
      <x:c r="F1593" s="300"/>
    </x:row>
    <x:row r="1594">
      <x:c r="F1594" s="300"/>
    </x:row>
    <x:row r="1595">
      <x:c r="F1595" s="300"/>
    </x:row>
    <x:row r="1596">
      <x:c r="F1596" s="300"/>
    </x:row>
    <x:row r="1597">
      <x:c r="F1597" s="300"/>
    </x:row>
    <x:row r="1598">
      <x:c r="F1598" s="300"/>
    </x:row>
    <x:row r="1599">
      <x:c r="F1599" s="300"/>
    </x:row>
    <x:row r="1600">
      <x:c r="F1600" s="300"/>
    </x:row>
    <x:row r="1601">
      <x:c r="F1601" s="300"/>
    </x:row>
    <x:row r="1602">
      <x:c r="F1602" s="300"/>
    </x:row>
    <x:row r="1603">
      <x:c r="F1603" s="300"/>
    </x:row>
    <x:row r="1604">
      <x:c r="F1604" s="300"/>
    </x:row>
    <x:row r="1605">
      <x:c r="F1605" s="300"/>
    </x:row>
    <x:row r="1606">
      <x:c r="F1606" s="300"/>
    </x:row>
    <x:row r="1607">
      <x:c r="F1607" s="300"/>
    </x:row>
    <x:row r="1608">
      <x:c r="F1608" s="300"/>
    </x:row>
    <x:row r="1609">
      <x:c r="F1609" s="300"/>
    </x:row>
    <x:row r="1610">
      <x:c r="F1610" s="300"/>
    </x:row>
    <x:row r="1611">
      <x:c r="F1611" s="300"/>
    </x:row>
    <x:row r="1612">
      <x:c r="F1612" s="300"/>
    </x:row>
    <x:row r="1613">
      <x:c r="F1613" s="300"/>
    </x:row>
    <x:row r="1614">
      <x:c r="F1614" s="300"/>
    </x:row>
    <x:row r="1615">
      <x:c r="F1615" s="300"/>
    </x:row>
    <x:row r="1616">
      <x:c r="F1616" s="300"/>
    </x:row>
    <x:row r="1617">
      <x:c r="F1617" s="300"/>
    </x:row>
    <x:row r="1618">
      <x:c r="F1618" s="300"/>
    </x:row>
    <x:row r="1619">
      <x:c r="F1619" s="300"/>
    </x:row>
    <x:row r="1620">
      <x:c r="F1620" s="300"/>
    </x:row>
    <x:row r="1621">
      <x:c r="F1621" s="300"/>
    </x:row>
    <x:row r="1622">
      <x:c r="F1622" s="300"/>
    </x:row>
    <x:row r="1623">
      <x:c r="F1623" s="300"/>
    </x:row>
    <x:row r="1624">
      <x:c r="F1624" s="300"/>
    </x:row>
    <x:row r="1625">
      <x:c r="F1625" s="300"/>
    </x:row>
    <x:row r="1626">
      <x:c r="F1626" s="300"/>
    </x:row>
    <x:row r="1627">
      <x:c r="F1627" s="300"/>
    </x:row>
    <x:row r="1628">
      <x:c r="F1628" s="300"/>
    </x:row>
    <x:row r="1629">
      <x:c r="F1629" s="300"/>
    </x:row>
    <x:row r="1630">
      <x:c r="F1630" s="300"/>
    </x:row>
    <x:row r="1631">
      <x:c r="F1631" s="300"/>
    </x:row>
    <x:row r="1632">
      <x:c r="F1632" s="300"/>
    </x:row>
    <x:row r="1633">
      <x:c r="F1633" s="300"/>
    </x:row>
    <x:row r="1634">
      <x:c r="F1634" s="300"/>
    </x:row>
    <x:row r="1635">
      <x:c r="F1635" s="300"/>
    </x:row>
    <x:row r="1636">
      <x:c r="F1636" s="300"/>
    </x:row>
    <x:row r="1637">
      <x:c r="F1637" s="300"/>
    </x:row>
    <x:row r="1638">
      <x:c r="F1638" s="300"/>
    </x:row>
    <x:row r="1639">
      <x:c r="F1639" s="300"/>
    </x:row>
    <x:row r="1640">
      <x:c r="F1640" s="300"/>
    </x:row>
    <x:row r="1641">
      <x:c r="F1641" s="300"/>
    </x:row>
    <x:row r="1642">
      <x:c r="F1642" s="300"/>
    </x:row>
    <x:row r="1643">
      <x:c r="F1643" s="300"/>
    </x:row>
    <x:row r="1644">
      <x:c r="F1644" s="300"/>
    </x:row>
    <x:row r="1645">
      <x:c r="F1645" s="300"/>
    </x:row>
    <x:row r="1646">
      <x:c r="F1646" s="300"/>
    </x:row>
    <x:row r="1647">
      <x:c r="F1647" s="300"/>
    </x:row>
    <x:row r="1648">
      <x:c r="F1648" s="300"/>
    </x:row>
    <x:row r="1649">
      <x:c r="F1649" s="300"/>
    </x:row>
    <x:row r="1650">
      <x:c r="F1650" s="300"/>
    </x:row>
    <x:row r="1651">
      <x:c r="F1651" s="300"/>
    </x:row>
    <x:row r="1652">
      <x:c r="F1652" s="300"/>
    </x:row>
    <x:row r="1653">
      <x:c r="F1653" s="300"/>
    </x:row>
    <x:row r="1654">
      <x:c r="F1654" s="300"/>
    </x:row>
    <x:row r="1655">
      <x:c r="F1655" s="300"/>
    </x:row>
    <x:row r="1656">
      <x:c r="F1656" s="300"/>
    </x:row>
    <x:row r="1657">
      <x:c r="F1657" s="300"/>
    </x:row>
    <x:row r="1658">
      <x:c r="F1658" s="300"/>
    </x:row>
    <x:row r="1659">
      <x:c r="F1659" s="300"/>
    </x:row>
    <x:row r="1660">
      <x:c r="F1660" s="300"/>
    </x:row>
    <x:row r="1661">
      <x:c r="F1661" s="300"/>
    </x:row>
    <x:row r="1662">
      <x:c r="F1662" s="300"/>
    </x:row>
    <x:row r="1663">
      <x:c r="F1663" s="300"/>
    </x:row>
    <x:row r="1664">
      <x:c r="F1664" s="300"/>
    </x:row>
    <x:row r="1665">
      <x:c r="F1665" s="300"/>
    </x:row>
    <x:row r="1666">
      <x:c r="F1666" s="300"/>
    </x:row>
    <x:row r="1667">
      <x:c r="F1667" s="300"/>
    </x:row>
    <x:row r="1668">
      <x:c r="F1668" s="300"/>
    </x:row>
    <x:row r="1669">
      <x:c r="F1669" s="300"/>
    </x:row>
    <x:row r="1670">
      <x:c r="F1670" s="300"/>
    </x:row>
    <x:row r="1671">
      <x:c r="F1671" s="300"/>
    </x:row>
    <x:row r="1672">
      <x:c r="F1672" s="300"/>
    </x:row>
    <x:row r="1673">
      <x:c r="F1673" s="300"/>
    </x:row>
    <x:row r="1674">
      <x:c r="F1674" s="300"/>
    </x:row>
    <x:row r="1675">
      <x:c r="F1675" s="300"/>
    </x:row>
    <x:row r="1676">
      <x:c r="F1676" s="300"/>
    </x:row>
    <x:row r="1677">
      <x:c r="F1677" s="300"/>
    </x:row>
    <x:row r="1678">
      <x:c r="F1678" s="300"/>
    </x:row>
    <x:row r="1679">
      <x:c r="F1679" s="300"/>
    </x:row>
    <x:row r="1680">
      <x:c r="F1680" s="300"/>
    </x:row>
    <x:row r="1681">
      <x:c r="F1681" s="300"/>
    </x:row>
    <x:row r="1682">
      <x:c r="F1682" s="300"/>
    </x:row>
    <x:row r="1683">
      <x:c r="F1683" s="300"/>
    </x:row>
    <x:row r="1684">
      <x:c r="F1684" s="300"/>
    </x:row>
    <x:row r="1685">
      <x:c r="F1685" s="300"/>
    </x:row>
    <x:row r="1686">
      <x:c r="F1686" s="300"/>
    </x:row>
    <x:row r="1687">
      <x:c r="F1687" s="300"/>
    </x:row>
    <x:row r="1688">
      <x:c r="F1688" s="300"/>
    </x:row>
    <x:row r="1689">
      <x:c r="F1689" s="300"/>
    </x:row>
    <x:row r="1690">
      <x:c r="F1690" s="300"/>
    </x:row>
    <x:row r="1691">
      <x:c r="F1691" s="300"/>
    </x:row>
    <x:row r="1692">
      <x:c r="F1692" s="300"/>
    </x:row>
    <x:row r="1693">
      <x:c r="F1693" s="300"/>
    </x:row>
    <x:row r="1694">
      <x:c r="F1694" s="300"/>
    </x:row>
    <x:row r="1695">
      <x:c r="F1695" s="300"/>
    </x:row>
    <x:row r="1696">
      <x:c r="F1696" s="300"/>
    </x:row>
    <x:row r="1697">
      <x:c r="F1697" s="300"/>
    </x:row>
    <x:row r="1698">
      <x:c r="F1698" s="300"/>
    </x:row>
    <x:row r="1699">
      <x:c r="F1699" s="300"/>
    </x:row>
    <x:row r="1700">
      <x:c r="F1700" s="300"/>
    </x:row>
    <x:row r="1701">
      <x:c r="F1701" s="300"/>
    </x:row>
    <x:row r="1702">
      <x:c r="F1702" s="300"/>
    </x:row>
    <x:row r="1703">
      <x:c r="F1703" s="300"/>
    </x:row>
    <x:row r="1704">
      <x:c r="F1704" s="300"/>
    </x:row>
    <x:row r="1705">
      <x:c r="F1705" s="300"/>
    </x:row>
    <x:row r="1706">
      <x:c r="F1706" s="300"/>
    </x:row>
    <x:row r="1707">
      <x:c r="F1707" s="300"/>
    </x:row>
    <x:row r="1708">
      <x:c r="F1708" s="300"/>
    </x:row>
    <x:row r="1709">
      <x:c r="F1709" s="300"/>
    </x:row>
    <x:row r="1710">
      <x:c r="F1710" s="300"/>
    </x:row>
    <x:row r="1711">
      <x:c r="F1711" s="300"/>
    </x:row>
    <x:row r="1712">
      <x:c r="F1712" s="300"/>
    </x:row>
    <x:row r="1713">
      <x:c r="F1713" s="300"/>
    </x:row>
    <x:row r="1714">
      <x:c r="F1714" s="300"/>
    </x:row>
    <x:row r="1715">
      <x:c r="F1715" s="300"/>
    </x:row>
    <x:row r="1716">
      <x:c r="F1716" s="300"/>
    </x:row>
    <x:row r="1717">
      <x:c r="F1717" s="300"/>
    </x:row>
    <x:row r="1718">
      <x:c r="F1718" s="300"/>
    </x:row>
    <x:row r="1719">
      <x:c r="F1719" s="300"/>
    </x:row>
    <x:row r="1720">
      <x:c r="F1720" s="300"/>
    </x:row>
    <x:row r="1721">
      <x:c r="F1721" s="300"/>
    </x:row>
    <x:row r="1722">
      <x:c r="F1722" s="300"/>
    </x:row>
    <x:row r="1723">
      <x:c r="F1723" s="300"/>
    </x:row>
    <x:row r="1724">
      <x:c r="F1724" s="300"/>
    </x:row>
    <x:row r="1725">
      <x:c r="F1725" s="300"/>
    </x:row>
    <x:row r="1726">
      <x:c r="F1726" s="300"/>
    </x:row>
    <x:row r="1727">
      <x:c r="F1727" s="300"/>
    </x:row>
    <x:row r="1728">
      <x:c r="F1728" s="300"/>
    </x:row>
    <x:row r="1729">
      <x:c r="F1729" s="300"/>
    </x:row>
    <x:row r="1730">
      <x:c r="F1730" s="300"/>
    </x:row>
    <x:row r="1731">
      <x:c r="F1731" s="300"/>
    </x:row>
    <x:row r="1732">
      <x:c r="F1732" s="300"/>
    </x:row>
    <x:row r="1733">
      <x:c r="F1733" s="300"/>
    </x:row>
    <x:row r="1734">
      <x:c r="F1734" s="300"/>
    </x:row>
    <x:row r="1735">
      <x:c r="F1735" s="300"/>
    </x:row>
    <x:row r="1736">
      <x:c r="F1736" s="300"/>
    </x:row>
    <x:row r="1737">
      <x:c r="F1737" s="300"/>
    </x:row>
    <x:row r="1738">
      <x:c r="F1738" s="300"/>
    </x:row>
    <x:row r="1739">
      <x:c r="F1739" s="300"/>
    </x:row>
    <x:row r="1740">
      <x:c r="F1740" s="300"/>
    </x:row>
    <x:row r="1741">
      <x:c r="F1741" s="300"/>
    </x:row>
    <x:row r="1742">
      <x:c r="F1742" s="300"/>
    </x:row>
    <x:row r="1743">
      <x:c r="F1743" s="300"/>
    </x:row>
    <x:row r="1744">
      <x:c r="F1744" s="300"/>
    </x:row>
    <x:row r="1745">
      <x:c r="F1745" s="300"/>
    </x:row>
    <x:row r="1746">
      <x:c r="F1746" s="300"/>
    </x:row>
    <x:row r="1747">
      <x:c r="F1747" s="300"/>
    </x:row>
    <x:row r="1748">
      <x:c r="F1748" s="300"/>
    </x:row>
    <x:row r="1749">
      <x:c r="F1749" s="300"/>
    </x:row>
    <x:row r="1750">
      <x:c r="F1750" s="300"/>
    </x:row>
    <x:row r="1751">
      <x:c r="F1751" s="300"/>
    </x:row>
    <x:row r="1752">
      <x:c r="F1752" s="300"/>
    </x:row>
    <x:row r="1753">
      <x:c r="F1753" s="300"/>
    </x:row>
    <x:row r="1754">
      <x:c r="F1754" s="300"/>
    </x:row>
    <x:row r="1755">
      <x:c r="F1755" s="300"/>
    </x:row>
    <x:row r="1756">
      <x:c r="F1756" s="300"/>
    </x:row>
    <x:row r="1757">
      <x:c r="F1757" s="300"/>
    </x:row>
    <x:row r="1758">
      <x:c r="F1758" s="300"/>
    </x:row>
    <x:row r="1759">
      <x:c r="F1759" s="300"/>
    </x:row>
    <x:row r="1760">
      <x:c r="F1760" s="300"/>
    </x:row>
    <x:row r="1761">
      <x:c r="F1761" s="300"/>
    </x:row>
    <x:row r="1762">
      <x:c r="F1762" s="300"/>
    </x:row>
    <x:row r="1763">
      <x:c r="F1763" s="300"/>
    </x:row>
    <x:row r="1764">
      <x:c r="F1764" s="300"/>
    </x:row>
    <x:row r="1765">
      <x:c r="F1765" s="300"/>
    </x:row>
    <x:row r="1766">
      <x:c r="F1766" s="300"/>
    </x:row>
    <x:row r="1767">
      <x:c r="F1767" s="300"/>
    </x:row>
    <x:row r="1768">
      <x:c r="F1768" s="300"/>
    </x:row>
    <x:row r="1769">
      <x:c r="F1769" s="300"/>
    </x:row>
    <x:row r="1770">
      <x:c r="F1770" s="300"/>
    </x:row>
    <x:row r="1771">
      <x:c r="F1771" s="300"/>
    </x:row>
    <x:row r="1772">
      <x:c r="F1772" s="300"/>
    </x:row>
    <x:row r="1773">
      <x:c r="F1773" s="300"/>
    </x:row>
    <x:row r="1774">
      <x:c r="F1774" s="300"/>
    </x:row>
    <x:row r="1775">
      <x:c r="F1775" s="300"/>
    </x:row>
    <x:row r="1776">
      <x:c r="F1776" s="300"/>
    </x:row>
    <x:row r="1777">
      <x:c r="F1777" s="300"/>
    </x:row>
    <x:row r="1778">
      <x:c r="F1778" s="300"/>
    </x:row>
    <x:row r="1779">
      <x:c r="F1779" s="300"/>
    </x:row>
    <x:row r="1780">
      <x:c r="F1780" s="300"/>
    </x:row>
    <x:row r="1781">
      <x:c r="F1781" s="300"/>
    </x:row>
    <x:row r="1782">
      <x:c r="F1782" s="300"/>
    </x:row>
    <x:row r="1783">
      <x:c r="F1783" s="300"/>
    </x:row>
    <x:row r="1784">
      <x:c r="F1784" s="300"/>
    </x:row>
    <x:row r="1785">
      <x:c r="F1785" s="300"/>
    </x:row>
    <x:row r="1786">
      <x:c r="F1786" s="300"/>
    </x:row>
    <x:row r="1787">
      <x:c r="F1787" s="300"/>
    </x:row>
    <x:row r="1788">
      <x:c r="F1788" s="300"/>
    </x:row>
    <x:row r="1789">
      <x:c r="F1789" s="300"/>
    </x:row>
    <x:row r="1790">
      <x:c r="F1790" s="300"/>
    </x:row>
    <x:row r="1791">
      <x:c r="F1791" s="300"/>
    </x:row>
    <x:row r="1792">
      <x:c r="F1792" s="300"/>
    </x:row>
    <x:row r="1793">
      <x:c r="F1793" s="300"/>
    </x:row>
    <x:row r="1794">
      <x:c r="F1794" s="300"/>
    </x:row>
    <x:row r="1795">
      <x:c r="F1795" s="300"/>
    </x:row>
    <x:row r="1796">
      <x:c r="F1796" s="300"/>
    </x:row>
    <x:row r="1797">
      <x:c r="F1797" s="300"/>
    </x:row>
    <x:row r="1798">
      <x:c r="F1798" s="300"/>
    </x:row>
    <x:row r="1799">
      <x:c r="F1799" s="300"/>
    </x:row>
    <x:row r="1800">
      <x:c r="F1800" s="300"/>
    </x:row>
    <x:row r="1801">
      <x:c r="F1801" s="300"/>
    </x:row>
    <x:row r="1802">
      <x:c r="F1802" s="300"/>
    </x:row>
    <x:row r="1803">
      <x:c r="F1803" s="300"/>
    </x:row>
    <x:row r="1804">
      <x:c r="F1804" s="300"/>
    </x:row>
    <x:row r="1805">
      <x:c r="F1805" s="300"/>
    </x:row>
    <x:row r="1806">
      <x:c r="F1806" s="300"/>
    </x:row>
    <x:row r="1807">
      <x:c r="F1807" s="300"/>
    </x:row>
    <x:row r="1808">
      <x:c r="F1808" s="300"/>
    </x:row>
    <x:row r="1809">
      <x:c r="F1809" s="300"/>
    </x:row>
    <x:row r="1810">
      <x:c r="F1810" s="300"/>
    </x:row>
    <x:row r="1811">
      <x:c r="F1811" s="300"/>
    </x:row>
    <x:row r="1812">
      <x:c r="F1812" s="300"/>
    </x:row>
    <x:row r="1813">
      <x:c r="F1813" s="300"/>
    </x:row>
    <x:row r="1814">
      <x:c r="F1814" s="300"/>
    </x:row>
    <x:row r="1815">
      <x:c r="F1815" s="300"/>
    </x:row>
    <x:row r="1816">
      <x:c r="F1816" s="300"/>
    </x:row>
    <x:row r="1817">
      <x:c r="F1817" s="300"/>
    </x:row>
    <x:row r="1818">
      <x:c r="F1818" s="300"/>
    </x:row>
    <x:row r="1819">
      <x:c r="F1819" s="300"/>
    </x:row>
    <x:row r="1820">
      <x:c r="F1820" s="300"/>
    </x:row>
    <x:row r="1821">
      <x:c r="F1821" s="300"/>
    </x:row>
    <x:row r="1822">
      <x:c r="F1822" s="300"/>
    </x:row>
    <x:row r="1823">
      <x:c r="F1823" s="300"/>
    </x:row>
    <x:row r="1824">
      <x:c r="F1824" s="300"/>
    </x:row>
    <x:row r="1825">
      <x:c r="F1825" s="300"/>
    </x:row>
    <x:row r="1826">
      <x:c r="F1826" s="300"/>
    </x:row>
    <x:row r="1827">
      <x:c r="F1827" s="300"/>
    </x:row>
    <x:row r="1828">
      <x:c r="F1828" s="300"/>
    </x:row>
    <x:row r="1829">
      <x:c r="F1829" s="300"/>
    </x:row>
    <x:row r="1830">
      <x:c r="F1830" s="300"/>
    </x:row>
    <x:row r="1831">
      <x:c r="F1831" s="300"/>
    </x:row>
    <x:row r="1832">
      <x:c r="F1832" s="300"/>
    </x:row>
    <x:row r="1833">
      <x:c r="F1833" s="300"/>
    </x:row>
    <x:row r="1834">
      <x:c r="F1834" s="300"/>
    </x:row>
    <x:row r="1835">
      <x:c r="F1835" s="300"/>
    </x:row>
    <x:row r="1836">
      <x:c r="F1836" s="300"/>
    </x:row>
    <x:row r="1837">
      <x:c r="F1837" s="300"/>
    </x:row>
    <x:row r="1838">
      <x:c r="F1838" s="300"/>
    </x:row>
    <x:row r="1839">
      <x:c r="F1839" s="300"/>
    </x:row>
    <x:row r="1840">
      <x:c r="F1840" s="300"/>
    </x:row>
    <x:row r="1841">
      <x:c r="F1841" s="300"/>
    </x:row>
    <x:row r="1842">
      <x:c r="F1842" s="300"/>
    </x:row>
    <x:row r="1843">
      <x:c r="F1843" s="300"/>
    </x:row>
    <x:row r="1844">
      <x:c r="F1844" s="300"/>
    </x:row>
    <x:row r="1845">
      <x:c r="F1845" s="300"/>
    </x:row>
    <x:row r="1846">
      <x:c r="F1846" s="300"/>
    </x:row>
    <x:row r="1847">
      <x:c r="F1847" s="300"/>
    </x:row>
    <x:row r="1848">
      <x:c r="F1848" s="300"/>
    </x:row>
    <x:row r="1849">
      <x:c r="F1849" s="300"/>
    </x:row>
    <x:row r="1850">
      <x:c r="F1850" s="300"/>
    </x:row>
    <x:row r="1851">
      <x:c r="F1851" s="300"/>
    </x:row>
    <x:row r="1852">
      <x:c r="F1852" s="300"/>
    </x:row>
    <x:row r="1853">
      <x:c r="F1853" s="300"/>
    </x:row>
    <x:row r="1854">
      <x:c r="F1854" s="300"/>
    </x:row>
    <x:row r="1855">
      <x:c r="F1855" s="300"/>
    </x:row>
    <x:row r="1856">
      <x:c r="F1856" s="300"/>
    </x:row>
    <x:row r="1857">
      <x:c r="F1857" s="300"/>
    </x:row>
    <x:row r="1858">
      <x:c r="F1858" s="300"/>
    </x:row>
    <x:row r="1859">
      <x:c r="F1859" s="300"/>
    </x:row>
    <x:row r="1860">
      <x:c r="F1860" s="300"/>
    </x:row>
    <x:row r="1861">
      <x:c r="F1861" s="300"/>
    </x:row>
    <x:row r="1862">
      <x:c r="F1862" s="300"/>
    </x:row>
    <x:row r="1863">
      <x:c r="F1863" s="300"/>
    </x:row>
    <x:row r="1864">
      <x:c r="F1864" s="300"/>
    </x:row>
    <x:row r="1865">
      <x:c r="F1865" s="300"/>
    </x:row>
    <x:row r="1866">
      <x:c r="F1866" s="300"/>
    </x:row>
    <x:row r="1867">
      <x:c r="F1867" s="300"/>
    </x:row>
    <x:row r="1868">
      <x:c r="F1868" s="300"/>
    </x:row>
    <x:row r="1869">
      <x:c r="F1869" s="300"/>
    </x:row>
    <x:row r="1870">
      <x:c r="F1870" s="300"/>
    </x:row>
    <x:row r="1871">
      <x:c r="F1871" s="300"/>
    </x:row>
    <x:row r="1872">
      <x:c r="F1872" s="300"/>
    </x:row>
    <x:row r="1873">
      <x:c r="F1873" s="300"/>
    </x:row>
    <x:row r="1874">
      <x:c r="F1874" s="300"/>
    </x:row>
    <x:row r="1875">
      <x:c r="F1875" s="300"/>
    </x:row>
    <x:row r="1876">
      <x:c r="F1876" s="300"/>
    </x:row>
    <x:row r="1877">
      <x:c r="F1877" s="300"/>
    </x:row>
    <x:row r="1878">
      <x:c r="F1878" s="300"/>
    </x:row>
    <x:row r="1879">
      <x:c r="F1879" s="300"/>
    </x:row>
    <x:row r="1880">
      <x:c r="F1880" s="300"/>
    </x:row>
    <x:row r="1881">
      <x:c r="F1881" s="300"/>
    </x:row>
    <x:row r="1882">
      <x:c r="F1882" s="300"/>
    </x:row>
    <x:row r="1883">
      <x:c r="F1883" s="300"/>
    </x:row>
    <x:row r="1884">
      <x:c r="F1884" s="300"/>
    </x:row>
    <x:row r="1885">
      <x:c r="F1885" s="300"/>
    </x:row>
    <x:row r="1886">
      <x:c r="F1886" s="300"/>
    </x:row>
    <x:row r="1887">
      <x:c r="F1887" s="300"/>
    </x:row>
    <x:row r="1888">
      <x:c r="F1888" s="300"/>
    </x:row>
    <x:row r="1889">
      <x:c r="F1889" s="300"/>
    </x:row>
    <x:row r="1890">
      <x:c r="F1890" s="300"/>
    </x:row>
    <x:row r="1891">
      <x:c r="F1891" s="300"/>
    </x:row>
    <x:row r="1892">
      <x:c r="F1892" s="300"/>
    </x:row>
    <x:row r="1893">
      <x:c r="F1893" s="300"/>
    </x:row>
    <x:row r="1894">
      <x:c r="F1894" s="300"/>
    </x:row>
    <x:row r="1895">
      <x:c r="F1895" s="300"/>
    </x:row>
    <x:row r="1896">
      <x:c r="F1896" s="300"/>
    </x:row>
    <x:row r="1897">
      <x:c r="F1897" s="300"/>
    </x:row>
    <x:row r="1898">
      <x:c r="F1898" s="300"/>
    </x:row>
    <x:row r="1899">
      <x:c r="F1899" s="300"/>
    </x:row>
    <x:row r="1900">
      <x:c r="F1900" s="300"/>
    </x:row>
    <x:row r="1901">
      <x:c r="F1901" s="300"/>
    </x:row>
    <x:row r="1902">
      <x:c r="F1902" s="300"/>
    </x:row>
    <x:row r="1903">
      <x:c r="F1903" s="300"/>
    </x:row>
    <x:row r="1904">
      <x:c r="F1904" s="300"/>
    </x:row>
    <x:row r="1905">
      <x:c r="F1905" s="300"/>
    </x:row>
    <x:row r="1906">
      <x:c r="F1906" s="300"/>
    </x:row>
    <x:row r="1907">
      <x:c r="F1907" s="300"/>
    </x:row>
    <x:row r="1908">
      <x:c r="F1908" s="300"/>
    </x:row>
    <x:row r="1909">
      <x:c r="F1909" s="300"/>
    </x:row>
    <x:row r="1910">
      <x:c r="F1910" s="300"/>
    </x:row>
    <x:row r="1911">
      <x:c r="F1911" s="300"/>
    </x:row>
    <x:row r="1912">
      <x:c r="F1912" s="300"/>
    </x:row>
    <x:row r="1913">
      <x:c r="F1913" s="300"/>
    </x:row>
    <x:row r="1914">
      <x:c r="F1914" s="300"/>
    </x:row>
    <x:row r="1915">
      <x:c r="F1915" s="300"/>
    </x:row>
    <x:row r="1916">
      <x:c r="F1916" s="300"/>
    </x:row>
    <x:row r="1917">
      <x:c r="F1917" s="300"/>
    </x:row>
    <x:row r="1918">
      <x:c r="F1918" s="300"/>
    </x:row>
    <x:row r="1919">
      <x:c r="F1919" s="300"/>
    </x:row>
    <x:row r="1920">
      <x:c r="F1920" s="300"/>
    </x:row>
    <x:row r="1921">
      <x:c r="F1921" s="300"/>
    </x:row>
    <x:row r="1922">
      <x:c r="F1922" s="300"/>
    </x:row>
    <x:row r="1923">
      <x:c r="F1923" s="300"/>
    </x:row>
    <x:row r="1924">
      <x:c r="F1924" s="300"/>
    </x:row>
    <x:row r="1925">
      <x:c r="F1925" s="300"/>
    </x:row>
    <x:row r="1926">
      <x:c r="F1926" s="300"/>
    </x:row>
    <x:row r="1927">
      <x:c r="F1927" s="300"/>
    </x:row>
    <x:row r="1928">
      <x:c r="F1928" s="300"/>
    </x:row>
    <x:row r="1929">
      <x:c r="F1929" s="300"/>
    </x:row>
    <x:row r="1930">
      <x:c r="F1930" s="300"/>
    </x:row>
    <x:row r="1931">
      <x:c r="F1931" s="300"/>
    </x:row>
    <x:row r="1932">
      <x:c r="F1932" s="300"/>
    </x:row>
    <x:row r="1933">
      <x:c r="F1933" s="300"/>
    </x:row>
    <x:row r="1934">
      <x:c r="F1934" s="300"/>
    </x:row>
    <x:row r="1935">
      <x:c r="F1935" s="300"/>
    </x:row>
    <x:row r="1936">
      <x:c r="F1936" s="300"/>
    </x:row>
    <x:row r="1937">
      <x:c r="F1937" s="300"/>
    </x:row>
    <x:row r="1938">
      <x:c r="F1938" s="300"/>
    </x:row>
    <x:row r="1939">
      <x:c r="F1939" s="300"/>
    </x:row>
    <x:row r="1940">
      <x:c r="F1940" s="300"/>
    </x:row>
    <x:row r="1941">
      <x:c r="F1941" s="300"/>
    </x:row>
    <x:row r="1942">
      <x:c r="F1942" s="300"/>
    </x:row>
    <x:row r="1943">
      <x:c r="F1943" s="300"/>
    </x:row>
    <x:row r="1944">
      <x:c r="F1944" s="300"/>
    </x:row>
    <x:row r="1945">
      <x:c r="F1945" s="300"/>
    </x:row>
    <x:row r="1946">
      <x:c r="F1946" s="300"/>
    </x:row>
    <x:row r="1947">
      <x:c r="F1947" s="300"/>
    </x:row>
    <x:row r="1948">
      <x:c r="F1948" s="300"/>
    </x:row>
    <x:row r="1949">
      <x:c r="F1949" s="300"/>
    </x:row>
    <x:row r="1950">
      <x:c r="F1950" s="300"/>
    </x:row>
    <x:row r="1951">
      <x:c r="F1951" s="300"/>
    </x:row>
    <x:row r="1952">
      <x:c r="F1952" s="300"/>
    </x:row>
    <x:row r="1953">
      <x:c r="F1953" s="300"/>
    </x:row>
    <x:row r="1954">
      <x:c r="F1954" s="300"/>
    </x:row>
    <x:row r="1955">
      <x:c r="F1955" s="300"/>
    </x:row>
    <x:row r="1956">
      <x:c r="F1956" s="300"/>
    </x:row>
    <x:row r="1957">
      <x:c r="F1957" s="300"/>
    </x:row>
    <x:row r="1958">
      <x:c r="F1958" s="300"/>
    </x:row>
    <x:row r="1959">
      <x:c r="F1959" s="300"/>
    </x:row>
    <x:row r="1960">
      <x:c r="F1960" s="300"/>
    </x:row>
    <x:row r="1961">
      <x:c r="F1961" s="300"/>
    </x:row>
    <x:row r="1962">
      <x:c r="F1962" s="300"/>
    </x:row>
    <x:row r="1963">
      <x:c r="F1963" s="300"/>
    </x:row>
    <x:row r="1964">
      <x:c r="F1964" s="300"/>
    </x:row>
    <x:row r="1965">
      <x:c r="F1965" s="300"/>
    </x:row>
    <x:row r="1966">
      <x:c r="F1966" s="300"/>
    </x:row>
    <x:row r="1967">
      <x:c r="F1967" s="300"/>
    </x:row>
    <x:row r="1968">
      <x:c r="F1968" s="300"/>
    </x:row>
    <x:row r="1969">
      <x:c r="F1969" s="300"/>
    </x:row>
    <x:row r="1970">
      <x:c r="F1970" s="300"/>
    </x:row>
    <x:row r="1971">
      <x:c r="F1971" s="300"/>
    </x:row>
    <x:row r="1972">
      <x:c r="F1972" s="300"/>
    </x:row>
    <x:row r="1973">
      <x:c r="F1973" s="300"/>
    </x:row>
    <x:row r="1974">
      <x:c r="F1974" s="300"/>
    </x:row>
    <x:row r="1975">
      <x:c r="F1975" s="300"/>
    </x:row>
    <x:row r="1976">
      <x:c r="F1976" s="300"/>
    </x:row>
    <x:row r="1977">
      <x:c r="F1977" s="300"/>
    </x:row>
    <x:row r="1978">
      <x:c r="F1978" s="300"/>
    </x:row>
    <x:row r="1979">
      <x:c r="F1979" s="300"/>
    </x:row>
    <x:row r="1980">
      <x:c r="F1980" s="300"/>
    </x:row>
    <x:row r="1981">
      <x:c r="F1981" s="300"/>
    </x:row>
    <x:row r="1982">
      <x:c r="F1982" s="300"/>
    </x:row>
    <x:row r="1983">
      <x:c r="F1983" s="300"/>
    </x:row>
    <x:row r="1984">
      <x:c r="F1984" s="300"/>
    </x:row>
    <x:row r="1985">
      <x:c r="F1985" s="300"/>
    </x:row>
    <x:row r="1986">
      <x:c r="F1986" s="300"/>
    </x:row>
    <x:row r="1987">
      <x:c r="F1987" s="300"/>
    </x:row>
    <x:row r="1988">
      <x:c r="F1988" s="300"/>
    </x:row>
    <x:row r="1989">
      <x:c r="F1989" s="300"/>
    </x:row>
    <x:row r="1990">
      <x:c r="F1990" s="300"/>
    </x:row>
    <x:row r="1991">
      <x:c r="F1991" s="300"/>
    </x:row>
    <x:row r="1992">
      <x:c r="F1992" s="300"/>
    </x:row>
    <x:row r="1993">
      <x:c r="F1993" s="300"/>
    </x:row>
    <x:row r="1994">
      <x:c r="F1994" s="300"/>
    </x:row>
    <x:row r="1995">
      <x:c r="F1995" s="300"/>
    </x:row>
    <x:row r="1996">
      <x:c r="F1996" s="300"/>
    </x:row>
    <x:row r="1997">
      <x:c r="F1997" s="300"/>
    </x:row>
    <x:row r="1998">
      <x:c r="F1998" s="300"/>
    </x:row>
    <x:row r="1999">
      <x:c r="F1999" s="300"/>
    </x:row>
    <x:row r="2000">
      <x:c r="F2000" s="300"/>
    </x:row>
  </x:sheetData>
  <x:dataValidations count="2">
    <x:dataValidation type="list" sqref="G2:G2000">
      <x:formula1>"Да,Нет"</x:formula1>
    </x:dataValidation>
    <x:dataValidation type="list" sqref="H2:H2000">
      <x:formula1>"ЧЕРНОВИК,ПОДТВЕРЖДЕНО,ОТКЛОНЕНО,ДЕМО"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64a4ce27ee4e7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1" hidden="0" customWidth="1"/>
    <x:col min="4" max="4" width="14" hidden="0" customWidth="1"/>
    <x:col min="5" max="5" width="15" hidden="0" customWidth="1"/>
    <x:col min="6" max="6" width="38" hidden="0" customWidth="1"/>
    <x:col min="7" max="7" width="38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7" hidden="0" customWidth="1"/>
    <x:col min="14" max="14" width="24" hidden="0" customWidth="1"/>
    <x:col min="15" max="15" width="56" hidden="0" customWidth="1"/>
    <x:col min="16" max="16" width="60" hidden="0" customWidth="1"/>
    <x:col min="17" max="17" width="14" hidden="0" customWidth="1"/>
    <x:col min="18" max="18" width="12" hidden="0" customWidth="1"/>
    <x:col min="19" max="19" width="12" hidden="0" customWidth="1"/>
    <x:col min="20" max="20" width="18" hidden="0" customWidth="1"/>
  </x:cols>
  <x:sheetData>
    <x:row r="1">
      <x:c r="A1" s="38" t="str">
        <x:v>ID проблемы</x:v>
      </x:c>
      <x:c r="B1" s="38" t="str">
        <x:v>Период</x:v>
      </x:c>
      <x:c r="C1" s="38" t="str">
        <x:v>Код строки</x:v>
      </x:c>
      <x:c r="D1" s="38" t="str">
        <x:v>Тип строки</x:v>
      </x:c>
      <x:c r="E1" s="38" t="str">
        <x:v>Роль</x:v>
      </x:c>
      <x:c r="F1" s="38" t="str">
        <x:v>Строка Инталев</x:v>
      </x:c>
      <x:c r="G1" s="38" t="str">
        <x:v>Строка/статья ERP</x:v>
      </x:c>
      <x:c r="H1" s="38" t="str">
        <x:v>Инталев эталон</x:v>
      </x:c>
      <x:c r="I1" s="38" t="str">
        <x:v>ERP текущая</x:v>
      </x:c>
      <x:c r="J1" s="38" t="str">
        <x:v>Дельта текущая</x:v>
      </x:c>
      <x:c r="K1" s="38" t="str">
        <x:v>Корректировки</x:v>
      </x:c>
      <x:c r="L1" s="38" t="str">
        <x:v>ERP после</x:v>
      </x:c>
      <x:c r="M1" s="38" t="str">
        <x:v>Остаточная дельта</x:v>
      </x:c>
      <x:c r="N1" s="38" t="str">
        <x:v>Код причины</x:v>
      </x:c>
      <x:c r="O1" s="38" t="str">
        <x:v>Причина</x:v>
      </x:c>
      <x:c r="P1" s="38" t="str">
        <x:v>Что нужно сделать</x:v>
      </x:c>
      <x:c r="Q1" s="38" t="str">
        <x:v>Строка образца</x:v>
      </x:c>
      <x:c r="R1" s="38" t="str">
        <x:v>Блокер</x:v>
      </x:c>
      <x:c r="S1" s="38" t="str">
        <x:v>Версия</x:v>
      </x:c>
      <x:c r="T1" s="38" t="str">
        <x:v>Статус решения</x:v>
      </x:c>
    </x:row>
    <x:row r="2">
      <x:c r="A2" s="154" t="str"/>
      <x:c r="B2" s="154" t="str"/>
      <x:c r="C2" s="154" t="str"/>
      <x:c r="D2" s="154" t="str"/>
      <x:c r="E2" s="154" t="str"/>
      <x:c r="F2" s="154" t="str"/>
      <x:c r="G2" s="154" t="str"/>
      <x:c r="H2" s="302" t="str"/>
      <x:c r="I2" s="302" t="str"/>
      <x:c r="J2" s="302" t="str"/>
      <x:c r="K2" s="302" t="str"/>
      <x:c r="L2" s="302" t="str"/>
      <x:c r="M2" s="302" t="str"/>
      <x:c r="N2" s="154" t="str"/>
      <x:c r="O2" s="154" t="str"/>
      <x:c r="P2" s="154" t="str"/>
      <x:c r="Q2" s="154" t="str"/>
      <x:c r="R2" s="154" t="str">
        <x:v>Да</x:v>
      </x:c>
      <x:c r="S2" s="154" t="str">
        <x:v>v01</x:v>
      </x:c>
      <x:c r="T2" s="154" t="str">
        <x:v>ОЖИДАЕТ</x:v>
      </x:c>
    </x:row>
    <x:row r="3">
      <x:c r="A3" s="154"/>
      <x:c r="B3" s="154"/>
      <x:c r="C3" s="154"/>
      <x:c r="D3" s="154"/>
      <x:c r="E3" s="154"/>
      <x:c r="F3" s="154"/>
      <x:c r="G3" s="154"/>
      <x:c r="H3" s="302"/>
      <x:c r="I3" s="302"/>
      <x:c r="J3" s="302"/>
      <x:c r="K3" s="302"/>
      <x:c r="L3" s="302"/>
      <x:c r="M3" s="302"/>
      <x:c r="N3" s="154"/>
      <x:c r="O3" s="154"/>
      <x:c r="P3" s="154"/>
      <x:c r="Q3" s="154"/>
      <x:c r="R3" s="154"/>
      <x:c r="S3" s="154"/>
      <x:c r="T3" s="154"/>
    </x:row>
    <x:row r="4">
      <x:c r="A4" s="154"/>
      <x:c r="B4" s="154"/>
      <x:c r="C4" s="154"/>
      <x:c r="D4" s="154"/>
      <x:c r="E4" s="154"/>
      <x:c r="F4" s="154"/>
      <x:c r="G4" s="154"/>
      <x:c r="H4" s="302"/>
      <x:c r="I4" s="302"/>
      <x:c r="J4" s="302"/>
      <x:c r="K4" s="302"/>
      <x:c r="L4" s="302"/>
      <x:c r="M4" s="302"/>
      <x:c r="N4" s="154"/>
      <x:c r="O4" s="154"/>
      <x:c r="P4" s="154"/>
      <x:c r="Q4" s="154"/>
      <x:c r="R4" s="154"/>
      <x:c r="S4" s="154"/>
      <x:c r="T4" s="154"/>
    </x:row>
    <x:row r="5">
      <x:c r="A5" s="154"/>
      <x:c r="B5" s="154"/>
      <x:c r="C5" s="154"/>
      <x:c r="D5" s="154"/>
      <x:c r="E5" s="154"/>
      <x:c r="F5" s="154"/>
      <x:c r="G5" s="154"/>
      <x:c r="H5" s="302"/>
      <x:c r="I5" s="302"/>
      <x:c r="J5" s="302"/>
      <x:c r="K5" s="302"/>
      <x:c r="L5" s="302"/>
      <x:c r="M5" s="302"/>
      <x:c r="N5" s="154"/>
      <x:c r="O5" s="154"/>
      <x:c r="P5" s="154"/>
      <x:c r="Q5" s="154"/>
      <x:c r="R5" s="154"/>
      <x:c r="S5" s="154"/>
      <x:c r="T5" s="154"/>
    </x:row>
    <x:row r="6">
      <x:c r="A6" s="154"/>
      <x:c r="B6" s="154"/>
      <x:c r="C6" s="154"/>
      <x:c r="D6" s="154"/>
      <x:c r="E6" s="154"/>
      <x:c r="F6" s="154"/>
      <x:c r="G6" s="154"/>
      <x:c r="H6" s="302"/>
      <x:c r="I6" s="302"/>
      <x:c r="J6" s="302"/>
      <x:c r="K6" s="302"/>
      <x:c r="L6" s="302"/>
      <x:c r="M6" s="302"/>
      <x:c r="N6" s="154"/>
      <x:c r="O6" s="154"/>
      <x:c r="P6" s="154"/>
      <x:c r="Q6" s="154"/>
      <x:c r="R6" s="154"/>
      <x:c r="S6" s="154"/>
      <x:c r="T6" s="154"/>
    </x:row>
    <x:row r="7">
      <x:c r="A7" s="154"/>
      <x:c r="B7" s="154"/>
      <x:c r="C7" s="154"/>
      <x:c r="D7" s="154"/>
      <x:c r="E7" s="154"/>
      <x:c r="F7" s="154"/>
      <x:c r="G7" s="154"/>
      <x:c r="H7" s="302"/>
      <x:c r="I7" s="302"/>
      <x:c r="J7" s="302"/>
      <x:c r="K7" s="302"/>
      <x:c r="L7" s="302"/>
      <x:c r="M7" s="302"/>
      <x:c r="N7" s="154"/>
      <x:c r="O7" s="154"/>
      <x:c r="P7" s="154"/>
      <x:c r="Q7" s="154"/>
      <x:c r="R7" s="154"/>
      <x:c r="S7" s="154"/>
      <x:c r="T7" s="154"/>
    </x:row>
    <x:row r="8">
      <x:c r="A8" s="154"/>
      <x:c r="B8" s="154"/>
      <x:c r="C8" s="154"/>
      <x:c r="D8" s="154"/>
      <x:c r="E8" s="154"/>
      <x:c r="F8" s="154"/>
      <x:c r="G8" s="154"/>
      <x:c r="H8" s="302"/>
      <x:c r="I8" s="302"/>
      <x:c r="J8" s="302"/>
      <x:c r="K8" s="302"/>
      <x:c r="L8" s="302"/>
      <x:c r="M8" s="302"/>
      <x:c r="N8" s="154"/>
      <x:c r="O8" s="154"/>
      <x:c r="P8" s="154"/>
      <x:c r="Q8" s="154"/>
      <x:c r="R8" s="154"/>
      <x:c r="S8" s="154"/>
      <x:c r="T8" s="154"/>
    </x:row>
    <x:row r="9">
      <x:c r="A9" s="154"/>
      <x:c r="B9" s="154"/>
      <x:c r="C9" s="154"/>
      <x:c r="D9" s="154"/>
      <x:c r="E9" s="154"/>
      <x:c r="F9" s="154"/>
      <x:c r="G9" s="154"/>
      <x:c r="H9" s="302"/>
      <x:c r="I9" s="302"/>
      <x:c r="J9" s="302"/>
      <x:c r="K9" s="302"/>
      <x:c r="L9" s="302"/>
      <x:c r="M9" s="302"/>
      <x:c r="N9" s="154"/>
      <x:c r="O9" s="154"/>
      <x:c r="P9" s="154"/>
      <x:c r="Q9" s="154"/>
      <x:c r="R9" s="154"/>
      <x:c r="S9" s="154"/>
      <x:c r="T9" s="154"/>
    </x:row>
    <x:row r="10">
      <x:c r="A10" s="154"/>
      <x:c r="B10" s="154"/>
      <x:c r="C10" s="154"/>
      <x:c r="D10" s="154"/>
      <x:c r="E10" s="154"/>
      <x:c r="F10" s="154"/>
      <x:c r="G10" s="154"/>
      <x:c r="H10" s="302"/>
      <x:c r="I10" s="302"/>
      <x:c r="J10" s="302"/>
      <x:c r="K10" s="302"/>
      <x:c r="L10" s="302"/>
      <x:c r="M10" s="302"/>
      <x:c r="N10" s="154"/>
      <x:c r="O10" s="154"/>
      <x:c r="P10" s="154"/>
      <x:c r="Q10" s="154"/>
      <x:c r="R10" s="154"/>
      <x:c r="S10" s="154"/>
      <x:c r="T10" s="154"/>
    </x:row>
    <x:row r="11">
      <x:c r="A11" s="154"/>
      <x:c r="B11" s="154"/>
      <x:c r="C11" s="154"/>
      <x:c r="D11" s="154"/>
      <x:c r="E11" s="154"/>
      <x:c r="F11" s="154"/>
      <x:c r="G11" s="154"/>
      <x:c r="H11" s="302"/>
      <x:c r="I11" s="302"/>
      <x:c r="J11" s="302"/>
      <x:c r="K11" s="302"/>
      <x:c r="L11" s="302"/>
      <x:c r="M11" s="302"/>
      <x:c r="N11" s="154"/>
      <x:c r="O11" s="154"/>
      <x:c r="P11" s="154"/>
      <x:c r="Q11" s="154"/>
      <x:c r="R11" s="154"/>
      <x:c r="S11" s="154"/>
      <x:c r="T11" s="154"/>
    </x:row>
    <x:row r="12">
      <x:c r="A12" s="154"/>
      <x:c r="B12" s="154"/>
      <x:c r="C12" s="154"/>
      <x:c r="D12" s="154"/>
      <x:c r="E12" s="154"/>
      <x:c r="F12" s="154"/>
      <x:c r="G12" s="154"/>
      <x:c r="H12" s="302"/>
      <x:c r="I12" s="302"/>
      <x:c r="J12" s="302"/>
      <x:c r="K12" s="302"/>
      <x:c r="L12" s="302"/>
      <x:c r="M12" s="302"/>
      <x:c r="N12" s="154"/>
      <x:c r="O12" s="154"/>
      <x:c r="P12" s="154"/>
      <x:c r="Q12" s="154"/>
      <x:c r="R12" s="154"/>
      <x:c r="S12" s="154"/>
      <x:c r="T12" s="154"/>
    </x:row>
    <x:row r="13">
      <x:c r="A13" s="154"/>
      <x:c r="B13" s="154"/>
      <x:c r="C13" s="154"/>
      <x:c r="D13" s="154"/>
      <x:c r="E13" s="154"/>
      <x:c r="F13" s="154"/>
      <x:c r="G13" s="154"/>
      <x:c r="H13" s="302"/>
      <x:c r="I13" s="302"/>
      <x:c r="J13" s="302"/>
      <x:c r="K13" s="302"/>
      <x:c r="L13" s="302"/>
      <x:c r="M13" s="302"/>
      <x:c r="N13" s="154"/>
      <x:c r="O13" s="154"/>
      <x:c r="P13" s="154"/>
      <x:c r="Q13" s="154"/>
      <x:c r="R13" s="154"/>
      <x:c r="S13" s="154"/>
      <x:c r="T13" s="154"/>
    </x:row>
    <x:row r="14">
      <x:c r="A14" s="154"/>
      <x:c r="B14" s="154"/>
      <x:c r="C14" s="154"/>
      <x:c r="D14" s="154"/>
      <x:c r="E14" s="154"/>
      <x:c r="F14" s="154"/>
      <x:c r="G14" s="154"/>
      <x:c r="H14" s="302"/>
      <x:c r="I14" s="302"/>
      <x:c r="J14" s="302"/>
      <x:c r="K14" s="302"/>
      <x:c r="L14" s="302"/>
      <x:c r="M14" s="302"/>
      <x:c r="N14" s="154"/>
      <x:c r="O14" s="154"/>
      <x:c r="P14" s="154"/>
      <x:c r="Q14" s="154"/>
      <x:c r="R14" s="154"/>
      <x:c r="S14" s="154"/>
      <x:c r="T14" s="154"/>
    </x:row>
    <x:row r="15">
      <x:c r="A15" s="154"/>
      <x:c r="B15" s="154"/>
      <x:c r="C15" s="154"/>
      <x:c r="D15" s="154"/>
      <x:c r="E15" s="154"/>
      <x:c r="F15" s="154"/>
      <x:c r="G15" s="154"/>
      <x:c r="H15" s="302"/>
      <x:c r="I15" s="302"/>
      <x:c r="J15" s="302"/>
      <x:c r="K15" s="302"/>
      <x:c r="L15" s="302"/>
      <x:c r="M15" s="302"/>
      <x:c r="N15" s="154"/>
      <x:c r="O15" s="154"/>
      <x:c r="P15" s="154"/>
      <x:c r="Q15" s="154"/>
      <x:c r="R15" s="154"/>
      <x:c r="S15" s="154"/>
      <x:c r="T15" s="154"/>
    </x:row>
    <x:row r="16">
      <x:c r="A16" s="154"/>
      <x:c r="B16" s="154"/>
      <x:c r="C16" s="154"/>
      <x:c r="D16" s="154"/>
      <x:c r="E16" s="154"/>
      <x:c r="F16" s="154"/>
      <x:c r="G16" s="154"/>
      <x:c r="H16" s="302"/>
      <x:c r="I16" s="302"/>
      <x:c r="J16" s="302"/>
      <x:c r="K16" s="302"/>
      <x:c r="L16" s="302"/>
      <x:c r="M16" s="302"/>
      <x:c r="N16" s="154"/>
      <x:c r="O16" s="154"/>
      <x:c r="P16" s="154"/>
      <x:c r="Q16" s="154"/>
      <x:c r="R16" s="154"/>
      <x:c r="S16" s="154"/>
      <x:c r="T16" s="154"/>
    </x:row>
    <x:row r="17">
      <x:c r="A17" s="154"/>
      <x:c r="B17" s="154"/>
      <x:c r="C17" s="154"/>
      <x:c r="D17" s="154"/>
      <x:c r="E17" s="154"/>
      <x:c r="F17" s="154"/>
      <x:c r="G17" s="154"/>
      <x:c r="H17" s="302"/>
      <x:c r="I17" s="302"/>
      <x:c r="J17" s="302"/>
      <x:c r="K17" s="302"/>
      <x:c r="L17" s="302"/>
      <x:c r="M17" s="302"/>
      <x:c r="N17" s="154"/>
      <x:c r="O17" s="154"/>
      <x:c r="P17" s="154"/>
      <x:c r="Q17" s="154"/>
      <x:c r="R17" s="154"/>
      <x:c r="S17" s="154"/>
      <x:c r="T17" s="154"/>
    </x:row>
    <x:row r="18">
      <x:c r="A18" s="154"/>
      <x:c r="B18" s="154"/>
      <x:c r="C18" s="154"/>
      <x:c r="D18" s="154"/>
      <x:c r="E18" s="154"/>
      <x:c r="F18" s="154"/>
      <x:c r="G18" s="154"/>
      <x:c r="H18" s="302"/>
      <x:c r="I18" s="302"/>
      <x:c r="J18" s="302"/>
      <x:c r="K18" s="302"/>
      <x:c r="L18" s="302"/>
      <x:c r="M18" s="302"/>
      <x:c r="N18" s="154"/>
      <x:c r="O18" s="154"/>
      <x:c r="P18" s="154"/>
      <x:c r="Q18" s="154"/>
      <x:c r="R18" s="154"/>
      <x:c r="S18" s="154"/>
      <x:c r="T18" s="154"/>
    </x:row>
    <x:row r="19">
      <x:c r="A19" s="154"/>
      <x:c r="B19" s="154"/>
      <x:c r="C19" s="154"/>
      <x:c r="D19" s="154"/>
      <x:c r="E19" s="154"/>
      <x:c r="F19" s="154"/>
      <x:c r="G19" s="154"/>
      <x:c r="H19" s="302"/>
      <x:c r="I19" s="302"/>
      <x:c r="J19" s="302"/>
      <x:c r="K19" s="302"/>
      <x:c r="L19" s="302"/>
      <x:c r="M19" s="302"/>
      <x:c r="N19" s="154"/>
      <x:c r="O19" s="154"/>
      <x:c r="P19" s="154"/>
      <x:c r="Q19" s="154"/>
      <x:c r="R19" s="154"/>
      <x:c r="S19" s="154"/>
      <x:c r="T19" s="154"/>
    </x:row>
    <x:row r="20">
      <x:c r="A20" s="154"/>
      <x:c r="B20" s="154"/>
      <x:c r="C20" s="154"/>
      <x:c r="D20" s="154"/>
      <x:c r="E20" s="154"/>
      <x:c r="F20" s="154"/>
      <x:c r="G20" s="154"/>
      <x:c r="H20" s="302"/>
      <x:c r="I20" s="302"/>
      <x:c r="J20" s="302"/>
      <x:c r="K20" s="302"/>
      <x:c r="L20" s="302"/>
      <x:c r="M20" s="302"/>
      <x:c r="N20" s="154"/>
      <x:c r="O20" s="154"/>
      <x:c r="P20" s="154"/>
      <x:c r="Q20" s="154"/>
      <x:c r="R20" s="154"/>
      <x:c r="S20" s="154"/>
      <x:c r="T20" s="154"/>
    </x:row>
    <x:row r="21">
      <x:c r="A21" s="154"/>
      <x:c r="B21" s="154"/>
      <x:c r="C21" s="154"/>
      <x:c r="D21" s="154"/>
      <x:c r="E21" s="154"/>
      <x:c r="F21" s="154"/>
      <x:c r="G21" s="154"/>
      <x:c r="H21" s="302"/>
      <x:c r="I21" s="302"/>
      <x:c r="J21" s="302"/>
      <x:c r="K21" s="302"/>
      <x:c r="L21" s="302"/>
      <x:c r="M21" s="302"/>
      <x:c r="N21" s="154"/>
      <x:c r="O21" s="154"/>
      <x:c r="P21" s="154"/>
      <x:c r="Q21" s="154"/>
      <x:c r="R21" s="154"/>
      <x:c r="S21" s="154"/>
      <x:c r="T21" s="154"/>
    </x:row>
    <x:row r="22">
      <x:c r="A22" s="154"/>
      <x:c r="B22" s="154"/>
      <x:c r="C22" s="154"/>
      <x:c r="D22" s="154"/>
      <x:c r="E22" s="154"/>
      <x:c r="F22" s="154"/>
      <x:c r="G22" s="154"/>
      <x:c r="H22" s="302"/>
      <x:c r="I22" s="302"/>
      <x:c r="J22" s="302"/>
      <x:c r="K22" s="302"/>
      <x:c r="L22" s="302"/>
      <x:c r="M22" s="302"/>
      <x:c r="N22" s="154"/>
      <x:c r="O22" s="154"/>
      <x:c r="P22" s="154"/>
      <x:c r="Q22" s="154"/>
      <x:c r="R22" s="154"/>
      <x:c r="S22" s="154"/>
      <x:c r="T22" s="154"/>
    </x:row>
    <x:row r="23">
      <x:c r="A23" s="154"/>
      <x:c r="B23" s="154"/>
      <x:c r="C23" s="154"/>
      <x:c r="D23" s="154"/>
      <x:c r="E23" s="154"/>
      <x:c r="F23" s="154"/>
      <x:c r="G23" s="154"/>
      <x:c r="H23" s="302"/>
      <x:c r="I23" s="302"/>
      <x:c r="J23" s="302"/>
      <x:c r="K23" s="302"/>
      <x:c r="L23" s="302"/>
      <x:c r="M23" s="302"/>
      <x:c r="N23" s="154"/>
      <x:c r="O23" s="154"/>
      <x:c r="P23" s="154"/>
      <x:c r="Q23" s="154"/>
      <x:c r="R23" s="154"/>
      <x:c r="S23" s="154"/>
      <x:c r="T23" s="154"/>
    </x:row>
    <x:row r="24">
      <x:c r="A24" s="154"/>
      <x:c r="B24" s="154"/>
      <x:c r="C24" s="154"/>
      <x:c r="D24" s="154"/>
      <x:c r="E24" s="154"/>
      <x:c r="F24" s="154"/>
      <x:c r="G24" s="154"/>
      <x:c r="H24" s="302"/>
      <x:c r="I24" s="302"/>
      <x:c r="J24" s="302"/>
      <x:c r="K24" s="302"/>
      <x:c r="L24" s="302"/>
      <x:c r="M24" s="302"/>
      <x:c r="N24" s="154"/>
      <x:c r="O24" s="154"/>
      <x:c r="P24" s="154"/>
      <x:c r="Q24" s="154"/>
      <x:c r="R24" s="154"/>
      <x:c r="S24" s="154"/>
      <x:c r="T24" s="154"/>
    </x:row>
    <x:row r="25">
      <x:c r="A25" s="154"/>
      <x:c r="B25" s="154"/>
      <x:c r="C25" s="154"/>
      <x:c r="D25" s="154"/>
      <x:c r="E25" s="154"/>
      <x:c r="F25" s="154"/>
      <x:c r="G25" s="154"/>
      <x:c r="H25" s="302"/>
      <x:c r="I25" s="302"/>
      <x:c r="J25" s="302"/>
      <x:c r="K25" s="302"/>
      <x:c r="L25" s="302"/>
      <x:c r="M25" s="302"/>
      <x:c r="N25" s="154"/>
      <x:c r="O25" s="154"/>
      <x:c r="P25" s="154"/>
      <x:c r="Q25" s="154"/>
      <x:c r="R25" s="154"/>
      <x:c r="S25" s="154"/>
      <x:c r="T25" s="154"/>
    </x:row>
    <x:row r="26">
      <x:c r="A26" s="154"/>
      <x:c r="B26" s="154"/>
      <x:c r="C26" s="154"/>
      <x:c r="D26" s="154"/>
      <x:c r="E26" s="154"/>
      <x:c r="F26" s="154"/>
      <x:c r="G26" s="154"/>
      <x:c r="H26" s="302"/>
      <x:c r="I26" s="302"/>
      <x:c r="J26" s="302"/>
      <x:c r="K26" s="302"/>
      <x:c r="L26" s="302"/>
      <x:c r="M26" s="302"/>
      <x:c r="N26" s="154"/>
      <x:c r="O26" s="154"/>
      <x:c r="P26" s="154"/>
      <x:c r="Q26" s="154"/>
      <x:c r="R26" s="154"/>
      <x:c r="S26" s="154"/>
      <x:c r="T26" s="154"/>
    </x:row>
    <x:row r="27">
      <x:c r="A27" s="154"/>
      <x:c r="B27" s="154"/>
      <x:c r="C27" s="154"/>
      <x:c r="D27" s="154"/>
      <x:c r="E27" s="154"/>
      <x:c r="F27" s="154"/>
      <x:c r="G27" s="154"/>
      <x:c r="H27" s="302"/>
      <x:c r="I27" s="302"/>
      <x:c r="J27" s="302"/>
      <x:c r="K27" s="302"/>
      <x:c r="L27" s="302"/>
      <x:c r="M27" s="302"/>
      <x:c r="N27" s="154"/>
      <x:c r="O27" s="154"/>
      <x:c r="P27" s="154"/>
      <x:c r="Q27" s="154"/>
      <x:c r="R27" s="154"/>
      <x:c r="S27" s="154"/>
      <x:c r="T27" s="154"/>
    </x:row>
    <x:row r="28">
      <x:c r="A28" s="154"/>
      <x:c r="B28" s="154"/>
      <x:c r="C28" s="154"/>
      <x:c r="D28" s="154"/>
      <x:c r="E28" s="154"/>
      <x:c r="F28" s="154"/>
      <x:c r="G28" s="154"/>
      <x:c r="H28" s="302"/>
      <x:c r="I28" s="302"/>
      <x:c r="J28" s="302"/>
      <x:c r="K28" s="302"/>
      <x:c r="L28" s="302"/>
      <x:c r="M28" s="302"/>
      <x:c r="N28" s="154"/>
      <x:c r="O28" s="154"/>
      <x:c r="P28" s="154"/>
      <x:c r="Q28" s="154"/>
      <x:c r="R28" s="154"/>
      <x:c r="S28" s="154"/>
      <x:c r="T28" s="154"/>
    </x:row>
    <x:row r="29">
      <x:c r="A29" s="154"/>
      <x:c r="B29" s="154"/>
      <x:c r="C29" s="154"/>
      <x:c r="D29" s="154"/>
      <x:c r="E29" s="154"/>
      <x:c r="F29" s="154"/>
      <x:c r="G29" s="154"/>
      <x:c r="H29" s="302"/>
      <x:c r="I29" s="302"/>
      <x:c r="J29" s="302"/>
      <x:c r="K29" s="302"/>
      <x:c r="L29" s="302"/>
      <x:c r="M29" s="302"/>
      <x:c r="N29" s="154"/>
      <x:c r="O29" s="154"/>
      <x:c r="P29" s="154"/>
      <x:c r="Q29" s="154"/>
      <x:c r="R29" s="154"/>
      <x:c r="S29" s="154"/>
      <x:c r="T29" s="154"/>
    </x:row>
    <x:row r="30">
      <x:c r="A30" s="154"/>
      <x:c r="B30" s="154"/>
      <x:c r="C30" s="154"/>
      <x:c r="D30" s="154"/>
      <x:c r="E30" s="154"/>
      <x:c r="F30" s="154"/>
      <x:c r="G30" s="154"/>
      <x:c r="H30" s="302"/>
      <x:c r="I30" s="302"/>
      <x:c r="J30" s="302"/>
      <x:c r="K30" s="302"/>
      <x:c r="L30" s="302"/>
      <x:c r="M30" s="302"/>
      <x:c r="N30" s="154"/>
      <x:c r="O30" s="154"/>
      <x:c r="P30" s="154"/>
      <x:c r="Q30" s="154"/>
      <x:c r="R30" s="154"/>
      <x:c r="S30" s="154"/>
      <x:c r="T30" s="154"/>
    </x:row>
    <x:row r="31">
      <x:c r="A31" s="154"/>
      <x:c r="B31" s="154"/>
      <x:c r="C31" s="154"/>
      <x:c r="D31" s="154"/>
      <x:c r="E31" s="154"/>
      <x:c r="F31" s="154"/>
      <x:c r="G31" s="154"/>
      <x:c r="H31" s="302"/>
      <x:c r="I31" s="302"/>
      <x:c r="J31" s="302"/>
      <x:c r="K31" s="302"/>
      <x:c r="L31" s="302"/>
      <x:c r="M31" s="302"/>
      <x:c r="N31" s="154"/>
      <x:c r="O31" s="154"/>
      <x:c r="P31" s="154"/>
      <x:c r="Q31" s="154"/>
      <x:c r="R31" s="154"/>
      <x:c r="S31" s="154"/>
      <x:c r="T31" s="154"/>
    </x:row>
    <x:row r="32">
      <x:c r="A32" s="154"/>
      <x:c r="B32" s="154"/>
      <x:c r="C32" s="154"/>
      <x:c r="D32" s="154"/>
      <x:c r="E32" s="154"/>
      <x:c r="F32" s="154"/>
      <x:c r="G32" s="154"/>
      <x:c r="H32" s="302"/>
      <x:c r="I32" s="302"/>
      <x:c r="J32" s="302"/>
      <x:c r="K32" s="302"/>
      <x:c r="L32" s="302"/>
      <x:c r="M32" s="302"/>
      <x:c r="N32" s="154"/>
      <x:c r="O32" s="154"/>
      <x:c r="P32" s="154"/>
      <x:c r="Q32" s="154"/>
      <x:c r="R32" s="154"/>
      <x:c r="S32" s="154"/>
      <x:c r="T32" s="154"/>
    </x:row>
    <x:row r="33">
      <x:c r="A33" s="154"/>
      <x:c r="B33" s="154"/>
      <x:c r="C33" s="154"/>
      <x:c r="D33" s="154"/>
      <x:c r="E33" s="154"/>
      <x:c r="F33" s="154"/>
      <x:c r="G33" s="154"/>
      <x:c r="H33" s="302"/>
      <x:c r="I33" s="302"/>
      <x:c r="J33" s="302"/>
      <x:c r="K33" s="302"/>
      <x:c r="L33" s="302"/>
      <x:c r="M33" s="302"/>
      <x:c r="N33" s="154"/>
      <x:c r="O33" s="154"/>
      <x:c r="P33" s="154"/>
      <x:c r="Q33" s="154"/>
      <x:c r="R33" s="154"/>
      <x:c r="S33" s="154"/>
      <x:c r="T33" s="154"/>
    </x:row>
    <x:row r="34">
      <x:c r="A34" s="154"/>
      <x:c r="B34" s="154"/>
      <x:c r="C34" s="154"/>
      <x:c r="D34" s="154"/>
      <x:c r="E34" s="154"/>
      <x:c r="F34" s="154"/>
      <x:c r="G34" s="154"/>
      <x:c r="H34" s="302"/>
      <x:c r="I34" s="302"/>
      <x:c r="J34" s="302"/>
      <x:c r="K34" s="302"/>
      <x:c r="L34" s="302"/>
      <x:c r="M34" s="302"/>
      <x:c r="N34" s="154"/>
      <x:c r="O34" s="154"/>
      <x:c r="P34" s="154"/>
      <x:c r="Q34" s="154"/>
      <x:c r="R34" s="154"/>
      <x:c r="S34" s="154"/>
      <x:c r="T34" s="154"/>
    </x:row>
    <x:row r="35">
      <x:c r="A35" s="154"/>
      <x:c r="B35" s="154"/>
      <x:c r="C35" s="154"/>
      <x:c r="D35" s="154"/>
      <x:c r="E35" s="154"/>
      <x:c r="F35" s="154"/>
      <x:c r="G35" s="154"/>
      <x:c r="H35" s="302"/>
      <x:c r="I35" s="302"/>
      <x:c r="J35" s="302"/>
      <x:c r="K35" s="302"/>
      <x:c r="L35" s="302"/>
      <x:c r="M35" s="302"/>
      <x:c r="N35" s="154"/>
      <x:c r="O35" s="154"/>
      <x:c r="P35" s="154"/>
      <x:c r="Q35" s="154"/>
      <x:c r="R35" s="154"/>
      <x:c r="S35" s="154"/>
      <x:c r="T35" s="154"/>
    </x:row>
    <x:row r="36">
      <x:c r="A36" s="154"/>
      <x:c r="B36" s="154"/>
      <x:c r="C36" s="154"/>
      <x:c r="D36" s="154"/>
      <x:c r="E36" s="154"/>
      <x:c r="F36" s="154"/>
      <x:c r="G36" s="154"/>
      <x:c r="H36" s="302"/>
      <x:c r="I36" s="302"/>
      <x:c r="J36" s="302"/>
      <x:c r="K36" s="302"/>
      <x:c r="L36" s="302"/>
      <x:c r="M36" s="302"/>
      <x:c r="N36" s="154"/>
      <x:c r="O36" s="154"/>
      <x:c r="P36" s="154"/>
      <x:c r="Q36" s="154"/>
      <x:c r="R36" s="154"/>
      <x:c r="S36" s="154"/>
      <x:c r="T36" s="154"/>
    </x:row>
    <x:row r="37">
      <x:c r="A37" s="154"/>
      <x:c r="B37" s="154"/>
      <x:c r="C37" s="154"/>
      <x:c r="D37" s="154"/>
      <x:c r="E37" s="154"/>
      <x:c r="F37" s="154"/>
      <x:c r="G37" s="154"/>
      <x:c r="H37" s="302"/>
      <x:c r="I37" s="302"/>
      <x:c r="J37" s="302"/>
      <x:c r="K37" s="302"/>
      <x:c r="L37" s="302"/>
      <x:c r="M37" s="302"/>
      <x:c r="N37" s="154"/>
      <x:c r="O37" s="154"/>
      <x:c r="P37" s="154"/>
      <x:c r="Q37" s="154"/>
      <x:c r="R37" s="154"/>
      <x:c r="S37" s="154"/>
      <x:c r="T37" s="154"/>
    </x:row>
    <x:row r="38">
      <x:c r="A38" s="154"/>
      <x:c r="B38" s="154"/>
      <x:c r="C38" s="154"/>
      <x:c r="D38" s="154"/>
      <x:c r="E38" s="154"/>
      <x:c r="F38" s="154"/>
      <x:c r="G38" s="154"/>
      <x:c r="H38" s="302"/>
      <x:c r="I38" s="302"/>
      <x:c r="J38" s="302"/>
      <x:c r="K38" s="302"/>
      <x:c r="L38" s="302"/>
      <x:c r="M38" s="302"/>
      <x:c r="N38" s="154"/>
      <x:c r="O38" s="154"/>
      <x:c r="P38" s="154"/>
      <x:c r="Q38" s="154"/>
      <x:c r="R38" s="154"/>
      <x:c r="S38" s="154"/>
      <x:c r="T38" s="154"/>
    </x:row>
    <x:row r="39">
      <x:c r="A39" s="154"/>
      <x:c r="B39" s="154"/>
      <x:c r="C39" s="154"/>
      <x:c r="D39" s="154"/>
      <x:c r="E39" s="154"/>
      <x:c r="F39" s="154"/>
      <x:c r="G39" s="154"/>
      <x:c r="H39" s="302"/>
      <x:c r="I39" s="302"/>
      <x:c r="J39" s="302"/>
      <x:c r="K39" s="302"/>
      <x:c r="L39" s="302"/>
      <x:c r="M39" s="302"/>
      <x:c r="N39" s="154"/>
      <x:c r="O39" s="154"/>
      <x:c r="P39" s="154"/>
      <x:c r="Q39" s="154"/>
      <x:c r="R39" s="154"/>
      <x:c r="S39" s="154"/>
      <x:c r="T39" s="154"/>
    </x:row>
    <x:row r="40">
      <x:c r="A40" s="154"/>
      <x:c r="B40" s="154"/>
      <x:c r="C40" s="154"/>
      <x:c r="D40" s="154"/>
      <x:c r="E40" s="154"/>
      <x:c r="F40" s="154"/>
      <x:c r="G40" s="154"/>
      <x:c r="H40" s="302"/>
      <x:c r="I40" s="302"/>
      <x:c r="J40" s="302"/>
      <x:c r="K40" s="302"/>
      <x:c r="L40" s="302"/>
      <x:c r="M40" s="302"/>
      <x:c r="N40" s="154"/>
      <x:c r="O40" s="154"/>
      <x:c r="P40" s="154"/>
      <x:c r="Q40" s="154"/>
      <x:c r="R40" s="154"/>
      <x:c r="S40" s="154"/>
      <x:c r="T40" s="154"/>
    </x:row>
    <x:row r="41">
      <x:c r="A41" s="154"/>
      <x:c r="B41" s="154"/>
      <x:c r="C41" s="154"/>
      <x:c r="D41" s="154"/>
      <x:c r="E41" s="154"/>
      <x:c r="F41" s="154"/>
      <x:c r="G41" s="154"/>
      <x:c r="H41" s="302"/>
      <x:c r="I41" s="302"/>
      <x:c r="J41" s="302"/>
      <x:c r="K41" s="302"/>
      <x:c r="L41" s="302"/>
      <x:c r="M41" s="302"/>
      <x:c r="N41" s="154"/>
      <x:c r="O41" s="154"/>
      <x:c r="P41" s="154"/>
      <x:c r="Q41" s="154"/>
      <x:c r="R41" s="154"/>
      <x:c r="S41" s="154"/>
      <x:c r="T41" s="154"/>
    </x:row>
    <x:row r="42">
      <x:c r="A42" s="154"/>
      <x:c r="B42" s="154"/>
      <x:c r="C42" s="154"/>
      <x:c r="D42" s="154"/>
      <x:c r="E42" s="154"/>
      <x:c r="F42" s="154"/>
      <x:c r="G42" s="154"/>
      <x:c r="H42" s="302"/>
      <x:c r="I42" s="302"/>
      <x:c r="J42" s="302"/>
      <x:c r="K42" s="302"/>
      <x:c r="L42" s="302"/>
      <x:c r="M42" s="302"/>
      <x:c r="N42" s="154"/>
      <x:c r="O42" s="154"/>
      <x:c r="P42" s="154"/>
      <x:c r="Q42" s="154"/>
      <x:c r="R42" s="154"/>
      <x:c r="S42" s="154"/>
      <x:c r="T42" s="154"/>
    </x:row>
    <x:row r="43">
      <x:c r="A43" s="154"/>
      <x:c r="B43" s="154"/>
      <x:c r="C43" s="154"/>
      <x:c r="D43" s="154"/>
      <x:c r="E43" s="154"/>
      <x:c r="F43" s="154"/>
      <x:c r="G43" s="154"/>
      <x:c r="H43" s="302"/>
      <x:c r="I43" s="302"/>
      <x:c r="J43" s="302"/>
      <x:c r="K43" s="302"/>
      <x:c r="L43" s="302"/>
      <x:c r="M43" s="302"/>
      <x:c r="N43" s="154"/>
      <x:c r="O43" s="154"/>
      <x:c r="P43" s="154"/>
      <x:c r="Q43" s="154"/>
      <x:c r="R43" s="154"/>
      <x:c r="S43" s="154"/>
      <x:c r="T43" s="154"/>
    </x:row>
    <x:row r="44">
      <x:c r="A44" s="154"/>
      <x:c r="B44" s="154"/>
      <x:c r="C44" s="154"/>
      <x:c r="D44" s="154"/>
      <x:c r="E44" s="154"/>
      <x:c r="F44" s="154"/>
      <x:c r="G44" s="154"/>
      <x:c r="H44" s="302"/>
      <x:c r="I44" s="302"/>
      <x:c r="J44" s="302"/>
      <x:c r="K44" s="302"/>
      <x:c r="L44" s="302"/>
      <x:c r="M44" s="302"/>
      <x:c r="N44" s="154"/>
      <x:c r="O44" s="154"/>
      <x:c r="P44" s="154"/>
      <x:c r="Q44" s="154"/>
      <x:c r="R44" s="154"/>
      <x:c r="S44" s="154"/>
      <x:c r="T44" s="154"/>
    </x:row>
    <x:row r="45">
      <x:c r="A45" s="154"/>
      <x:c r="B45" s="154"/>
      <x:c r="C45" s="154"/>
      <x:c r="D45" s="154"/>
      <x:c r="E45" s="154"/>
      <x:c r="F45" s="154"/>
      <x:c r="G45" s="154"/>
      <x:c r="H45" s="302"/>
      <x:c r="I45" s="302"/>
      <x:c r="J45" s="302"/>
      <x:c r="K45" s="302"/>
      <x:c r="L45" s="302"/>
      <x:c r="M45" s="302"/>
      <x:c r="N45" s="154"/>
      <x:c r="O45" s="154"/>
      <x:c r="P45" s="154"/>
      <x:c r="Q45" s="154"/>
      <x:c r="R45" s="154"/>
      <x:c r="S45" s="154"/>
      <x:c r="T45" s="154"/>
    </x:row>
    <x:row r="46">
      <x:c r="A46" s="154"/>
      <x:c r="B46" s="154"/>
      <x:c r="C46" s="154"/>
      <x:c r="D46" s="154"/>
      <x:c r="E46" s="154"/>
      <x:c r="F46" s="154"/>
      <x:c r="G46" s="154"/>
      <x:c r="H46" s="302"/>
      <x:c r="I46" s="302"/>
      <x:c r="J46" s="302"/>
      <x:c r="K46" s="302"/>
      <x:c r="L46" s="302"/>
      <x:c r="M46" s="302"/>
      <x:c r="N46" s="154"/>
      <x:c r="O46" s="154"/>
      <x:c r="P46" s="154"/>
      <x:c r="Q46" s="154"/>
      <x:c r="R46" s="154"/>
      <x:c r="S46" s="154"/>
      <x:c r="T46" s="154"/>
    </x:row>
    <x:row r="47">
      <x:c r="A47" s="154"/>
      <x:c r="B47" s="154"/>
      <x:c r="C47" s="154"/>
      <x:c r="D47" s="154"/>
      <x:c r="E47" s="154"/>
      <x:c r="F47" s="154"/>
      <x:c r="G47" s="154"/>
      <x:c r="H47" s="302"/>
      <x:c r="I47" s="302"/>
      <x:c r="J47" s="302"/>
      <x:c r="K47" s="302"/>
      <x:c r="L47" s="302"/>
      <x:c r="M47" s="302"/>
      <x:c r="N47" s="154"/>
      <x:c r="O47" s="154"/>
      <x:c r="P47" s="154"/>
      <x:c r="Q47" s="154"/>
      <x:c r="R47" s="154"/>
      <x:c r="S47" s="154"/>
      <x:c r="T47" s="154"/>
    </x:row>
    <x:row r="48">
      <x:c r="A48" s="154"/>
      <x:c r="B48" s="154"/>
      <x:c r="C48" s="154"/>
      <x:c r="D48" s="154"/>
      <x:c r="E48" s="154"/>
      <x:c r="F48" s="154"/>
      <x:c r="G48" s="154"/>
      <x:c r="H48" s="302"/>
      <x:c r="I48" s="302"/>
      <x:c r="J48" s="302"/>
      <x:c r="K48" s="302"/>
      <x:c r="L48" s="302"/>
      <x:c r="M48" s="302"/>
      <x:c r="N48" s="154"/>
      <x:c r="O48" s="154"/>
      <x:c r="P48" s="154"/>
      <x:c r="Q48" s="154"/>
      <x:c r="R48" s="154"/>
      <x:c r="S48" s="154"/>
      <x:c r="T48" s="154"/>
    </x:row>
    <x:row r="49">
      <x:c r="A49" s="154"/>
      <x:c r="B49" s="154"/>
      <x:c r="C49" s="154"/>
      <x:c r="D49" s="154"/>
      <x:c r="E49" s="154"/>
      <x:c r="F49" s="154"/>
      <x:c r="G49" s="154"/>
      <x:c r="H49" s="302"/>
      <x:c r="I49" s="302"/>
      <x:c r="J49" s="302"/>
      <x:c r="K49" s="302"/>
      <x:c r="L49" s="302"/>
      <x:c r="M49" s="302"/>
      <x:c r="N49" s="154"/>
      <x:c r="O49" s="154"/>
      <x:c r="P49" s="154"/>
      <x:c r="Q49" s="154"/>
      <x:c r="R49" s="154"/>
      <x:c r="S49" s="154"/>
      <x:c r="T49" s="154"/>
    </x:row>
    <x:row r="50">
      <x:c r="A50" s="154"/>
      <x:c r="B50" s="154"/>
      <x:c r="C50" s="154"/>
      <x:c r="D50" s="154"/>
      <x:c r="E50" s="154"/>
      <x:c r="F50" s="154"/>
      <x:c r="G50" s="154"/>
      <x:c r="H50" s="302"/>
      <x:c r="I50" s="302"/>
      <x:c r="J50" s="302"/>
      <x:c r="K50" s="302"/>
      <x:c r="L50" s="302"/>
      <x:c r="M50" s="302"/>
      <x:c r="N50" s="154"/>
      <x:c r="O50" s="154"/>
      <x:c r="P50" s="154"/>
      <x:c r="Q50" s="154"/>
      <x:c r="R50" s="154"/>
      <x:c r="S50" s="154"/>
      <x:c r="T50" s="154"/>
    </x:row>
    <x:row r="51">
      <x:c r="H51" s="300"/>
      <x:c r="I51" s="300"/>
      <x:c r="J51" s="300"/>
      <x:c r="K51" s="300"/>
      <x:c r="L51" s="300"/>
      <x:c r="M51" s="300"/>
    </x:row>
    <x:row r="52">
      <x:c r="H52" s="300"/>
      <x:c r="I52" s="300"/>
      <x:c r="J52" s="300"/>
      <x:c r="K52" s="300"/>
      <x:c r="L52" s="300"/>
      <x:c r="M52" s="300"/>
    </x:row>
    <x:row r="53">
      <x:c r="H53" s="300"/>
      <x:c r="I53" s="300"/>
      <x:c r="J53" s="300"/>
      <x:c r="K53" s="300"/>
      <x:c r="L53" s="300"/>
      <x:c r="M53" s="300"/>
    </x:row>
    <x:row r="54">
      <x:c r="H54" s="300"/>
      <x:c r="I54" s="300"/>
      <x:c r="J54" s="300"/>
      <x:c r="K54" s="300"/>
      <x:c r="L54" s="300"/>
      <x:c r="M54" s="300"/>
    </x:row>
    <x:row r="55">
      <x:c r="H55" s="300"/>
      <x:c r="I55" s="300"/>
      <x:c r="J55" s="300"/>
      <x:c r="K55" s="300"/>
      <x:c r="L55" s="300"/>
      <x:c r="M55" s="300"/>
    </x:row>
    <x:row r="56">
      <x:c r="H56" s="300"/>
      <x:c r="I56" s="300"/>
      <x:c r="J56" s="300"/>
      <x:c r="K56" s="300"/>
      <x:c r="L56" s="300"/>
      <x:c r="M56" s="300"/>
    </x:row>
    <x:row r="57">
      <x:c r="H57" s="300"/>
      <x:c r="I57" s="300"/>
      <x:c r="J57" s="300"/>
      <x:c r="K57" s="300"/>
      <x:c r="L57" s="300"/>
      <x:c r="M57" s="300"/>
    </x:row>
    <x:row r="58">
      <x:c r="H58" s="300"/>
      <x:c r="I58" s="300"/>
      <x:c r="J58" s="300"/>
      <x:c r="K58" s="300"/>
      <x:c r="L58" s="300"/>
      <x:c r="M58" s="300"/>
    </x:row>
    <x:row r="59">
      <x:c r="H59" s="300"/>
      <x:c r="I59" s="300"/>
      <x:c r="J59" s="300"/>
      <x:c r="K59" s="300"/>
      <x:c r="L59" s="300"/>
      <x:c r="M59" s="300"/>
    </x:row>
    <x:row r="60">
      <x:c r="H60" s="300"/>
      <x:c r="I60" s="300"/>
      <x:c r="J60" s="300"/>
      <x:c r="K60" s="300"/>
      <x:c r="L60" s="300"/>
      <x:c r="M60" s="300"/>
    </x:row>
    <x:row r="61">
      <x:c r="H61" s="300"/>
      <x:c r="I61" s="300"/>
      <x:c r="J61" s="300"/>
      <x:c r="K61" s="300"/>
      <x:c r="L61" s="300"/>
      <x:c r="M61" s="300"/>
    </x:row>
    <x:row r="62">
      <x:c r="H62" s="300"/>
      <x:c r="I62" s="300"/>
      <x:c r="J62" s="300"/>
      <x:c r="K62" s="300"/>
      <x:c r="L62" s="300"/>
      <x:c r="M62" s="300"/>
    </x:row>
    <x:row r="63">
      <x:c r="H63" s="300"/>
      <x:c r="I63" s="300"/>
      <x:c r="J63" s="300"/>
      <x:c r="K63" s="300"/>
      <x:c r="L63" s="300"/>
      <x:c r="M63" s="300"/>
    </x:row>
    <x:row r="64">
      <x:c r="H64" s="300"/>
      <x:c r="I64" s="300"/>
      <x:c r="J64" s="300"/>
      <x:c r="K64" s="300"/>
      <x:c r="L64" s="300"/>
      <x:c r="M64" s="300"/>
    </x:row>
    <x:row r="65">
      <x:c r="H65" s="300"/>
      <x:c r="I65" s="300"/>
      <x:c r="J65" s="300"/>
      <x:c r="K65" s="300"/>
      <x:c r="L65" s="300"/>
      <x:c r="M65" s="300"/>
    </x:row>
    <x:row r="66">
      <x:c r="H66" s="300"/>
      <x:c r="I66" s="300"/>
      <x:c r="J66" s="300"/>
      <x:c r="K66" s="300"/>
      <x:c r="L66" s="300"/>
      <x:c r="M66" s="300"/>
    </x:row>
    <x:row r="67">
      <x:c r="H67" s="300"/>
      <x:c r="I67" s="300"/>
      <x:c r="J67" s="300"/>
      <x:c r="K67" s="300"/>
      <x:c r="L67" s="300"/>
      <x:c r="M67" s="300"/>
    </x:row>
    <x:row r="68">
      <x:c r="H68" s="300"/>
      <x:c r="I68" s="300"/>
      <x:c r="J68" s="300"/>
      <x:c r="K68" s="300"/>
      <x:c r="L68" s="300"/>
      <x:c r="M68" s="300"/>
    </x:row>
    <x:row r="69">
      <x:c r="H69" s="300"/>
      <x:c r="I69" s="300"/>
      <x:c r="J69" s="300"/>
      <x:c r="K69" s="300"/>
      <x:c r="L69" s="300"/>
      <x:c r="M69" s="300"/>
    </x:row>
    <x:row r="70">
      <x:c r="H70" s="300"/>
      <x:c r="I70" s="300"/>
      <x:c r="J70" s="300"/>
      <x:c r="K70" s="300"/>
      <x:c r="L70" s="300"/>
      <x:c r="M70" s="300"/>
    </x:row>
    <x:row r="71">
      <x:c r="H71" s="300"/>
      <x:c r="I71" s="300"/>
      <x:c r="J71" s="300"/>
      <x:c r="K71" s="300"/>
      <x:c r="L71" s="300"/>
      <x:c r="M71" s="300"/>
    </x:row>
    <x:row r="72">
      <x:c r="H72" s="300"/>
      <x:c r="I72" s="300"/>
      <x:c r="J72" s="300"/>
      <x:c r="K72" s="300"/>
      <x:c r="L72" s="300"/>
      <x:c r="M72" s="300"/>
    </x:row>
    <x:row r="73">
      <x:c r="H73" s="300"/>
      <x:c r="I73" s="300"/>
      <x:c r="J73" s="300"/>
      <x:c r="K73" s="300"/>
      <x:c r="L73" s="300"/>
      <x:c r="M73" s="300"/>
    </x:row>
    <x:row r="74">
      <x:c r="H74" s="300"/>
      <x:c r="I74" s="300"/>
      <x:c r="J74" s="300"/>
      <x:c r="K74" s="300"/>
      <x:c r="L74" s="300"/>
      <x:c r="M74" s="300"/>
    </x:row>
    <x:row r="75">
      <x:c r="H75" s="300"/>
      <x:c r="I75" s="300"/>
      <x:c r="J75" s="300"/>
      <x:c r="K75" s="300"/>
      <x:c r="L75" s="300"/>
      <x:c r="M75" s="300"/>
    </x:row>
    <x:row r="76">
      <x:c r="H76" s="300"/>
      <x:c r="I76" s="300"/>
      <x:c r="J76" s="300"/>
      <x:c r="K76" s="300"/>
      <x:c r="L76" s="300"/>
      <x:c r="M76" s="300"/>
    </x:row>
    <x:row r="77">
      <x:c r="H77" s="300"/>
      <x:c r="I77" s="300"/>
      <x:c r="J77" s="300"/>
      <x:c r="K77" s="300"/>
      <x:c r="L77" s="300"/>
      <x:c r="M77" s="300"/>
    </x:row>
    <x:row r="78">
      <x:c r="H78" s="300"/>
      <x:c r="I78" s="300"/>
      <x:c r="J78" s="300"/>
      <x:c r="K78" s="300"/>
      <x:c r="L78" s="300"/>
      <x:c r="M78" s="300"/>
    </x:row>
    <x:row r="79">
      <x:c r="H79" s="300"/>
      <x:c r="I79" s="300"/>
      <x:c r="J79" s="300"/>
      <x:c r="K79" s="300"/>
      <x:c r="L79" s="300"/>
      <x:c r="M79" s="300"/>
    </x:row>
    <x:row r="80">
      <x:c r="H80" s="300"/>
      <x:c r="I80" s="300"/>
      <x:c r="J80" s="300"/>
      <x:c r="K80" s="300"/>
      <x:c r="L80" s="300"/>
      <x:c r="M80" s="300"/>
    </x:row>
    <x:row r="81">
      <x:c r="H81" s="300"/>
      <x:c r="I81" s="300"/>
      <x:c r="J81" s="300"/>
      <x:c r="K81" s="300"/>
      <x:c r="L81" s="300"/>
      <x:c r="M81" s="300"/>
    </x:row>
    <x:row r="82">
      <x:c r="H82" s="300"/>
      <x:c r="I82" s="300"/>
      <x:c r="J82" s="300"/>
      <x:c r="K82" s="300"/>
      <x:c r="L82" s="300"/>
      <x:c r="M82" s="300"/>
    </x:row>
    <x:row r="83">
      <x:c r="H83" s="300"/>
      <x:c r="I83" s="300"/>
      <x:c r="J83" s="300"/>
      <x:c r="K83" s="300"/>
      <x:c r="L83" s="300"/>
      <x:c r="M83" s="300"/>
    </x:row>
    <x:row r="84">
      <x:c r="H84" s="300"/>
      <x:c r="I84" s="300"/>
      <x:c r="J84" s="300"/>
      <x:c r="K84" s="300"/>
      <x:c r="L84" s="300"/>
      <x:c r="M84" s="300"/>
    </x:row>
    <x:row r="85">
      <x:c r="H85" s="300"/>
      <x:c r="I85" s="300"/>
      <x:c r="J85" s="300"/>
      <x:c r="K85" s="300"/>
      <x:c r="L85" s="300"/>
      <x:c r="M85" s="300"/>
    </x:row>
    <x:row r="86">
      <x:c r="H86" s="300"/>
      <x:c r="I86" s="300"/>
      <x:c r="J86" s="300"/>
      <x:c r="K86" s="300"/>
      <x:c r="L86" s="300"/>
      <x:c r="M86" s="300"/>
    </x:row>
    <x:row r="87">
      <x:c r="H87" s="300"/>
      <x:c r="I87" s="300"/>
      <x:c r="J87" s="300"/>
      <x:c r="K87" s="300"/>
      <x:c r="L87" s="300"/>
      <x:c r="M87" s="300"/>
    </x:row>
    <x:row r="88">
      <x:c r="H88" s="300"/>
      <x:c r="I88" s="300"/>
      <x:c r="J88" s="300"/>
      <x:c r="K88" s="300"/>
      <x:c r="L88" s="300"/>
      <x:c r="M88" s="300"/>
    </x:row>
    <x:row r="89">
      <x:c r="H89" s="300"/>
      <x:c r="I89" s="300"/>
      <x:c r="J89" s="300"/>
      <x:c r="K89" s="300"/>
      <x:c r="L89" s="300"/>
      <x:c r="M89" s="300"/>
    </x:row>
    <x:row r="90">
      <x:c r="H90" s="300"/>
      <x:c r="I90" s="300"/>
      <x:c r="J90" s="300"/>
      <x:c r="K90" s="300"/>
      <x:c r="L90" s="300"/>
      <x:c r="M90" s="300"/>
    </x:row>
    <x:row r="91">
      <x:c r="H91" s="300"/>
      <x:c r="I91" s="300"/>
      <x:c r="J91" s="300"/>
      <x:c r="K91" s="300"/>
      <x:c r="L91" s="300"/>
      <x:c r="M91" s="300"/>
    </x:row>
    <x:row r="92">
      <x:c r="H92" s="300"/>
      <x:c r="I92" s="300"/>
      <x:c r="J92" s="300"/>
      <x:c r="K92" s="300"/>
      <x:c r="L92" s="300"/>
      <x:c r="M92" s="300"/>
    </x:row>
    <x:row r="93">
      <x:c r="H93" s="300"/>
      <x:c r="I93" s="300"/>
      <x:c r="J93" s="300"/>
      <x:c r="K93" s="300"/>
      <x:c r="L93" s="300"/>
      <x:c r="M93" s="300"/>
    </x:row>
    <x:row r="94">
      <x:c r="H94" s="300"/>
      <x:c r="I94" s="300"/>
      <x:c r="J94" s="300"/>
      <x:c r="K94" s="300"/>
      <x:c r="L94" s="300"/>
      <x:c r="M94" s="300"/>
    </x:row>
    <x:row r="95">
      <x:c r="H95" s="300"/>
      <x:c r="I95" s="300"/>
      <x:c r="J95" s="300"/>
      <x:c r="K95" s="300"/>
      <x:c r="L95" s="300"/>
      <x:c r="M95" s="300"/>
    </x:row>
    <x:row r="96">
      <x:c r="H96" s="300"/>
      <x:c r="I96" s="300"/>
      <x:c r="J96" s="300"/>
      <x:c r="K96" s="300"/>
      <x:c r="L96" s="300"/>
      <x:c r="M96" s="300"/>
    </x:row>
    <x:row r="97">
      <x:c r="H97" s="300"/>
      <x:c r="I97" s="300"/>
      <x:c r="J97" s="300"/>
      <x:c r="K97" s="300"/>
      <x:c r="L97" s="300"/>
      <x:c r="M97" s="300"/>
    </x:row>
    <x:row r="98">
      <x:c r="H98" s="300"/>
      <x:c r="I98" s="300"/>
      <x:c r="J98" s="300"/>
      <x:c r="K98" s="300"/>
      <x:c r="L98" s="300"/>
      <x:c r="M98" s="300"/>
    </x:row>
    <x:row r="99">
      <x:c r="H99" s="300"/>
      <x:c r="I99" s="300"/>
      <x:c r="J99" s="300"/>
      <x:c r="K99" s="300"/>
      <x:c r="L99" s="300"/>
      <x:c r="M99" s="300"/>
    </x:row>
    <x:row r="100">
      <x:c r="H100" s="300"/>
      <x:c r="I100" s="300"/>
      <x:c r="J100" s="300"/>
      <x:c r="K100" s="300"/>
      <x:c r="L100" s="300"/>
      <x:c r="M100" s="300"/>
    </x:row>
    <x:row r="101">
      <x:c r="H101" s="300"/>
      <x:c r="I101" s="300"/>
      <x:c r="J101" s="300"/>
      <x:c r="K101" s="300"/>
      <x:c r="L101" s="300"/>
      <x:c r="M101" s="300"/>
    </x:row>
    <x:row r="102">
      <x:c r="H102" s="300"/>
      <x:c r="I102" s="300"/>
      <x:c r="J102" s="300"/>
      <x:c r="K102" s="300"/>
      <x:c r="L102" s="300"/>
      <x:c r="M102" s="300"/>
    </x:row>
    <x:row r="103">
      <x:c r="H103" s="300"/>
      <x:c r="I103" s="300"/>
      <x:c r="J103" s="300"/>
      <x:c r="K103" s="300"/>
      <x:c r="L103" s="300"/>
      <x:c r="M103" s="300"/>
    </x:row>
    <x:row r="104">
      <x:c r="H104" s="300"/>
      <x:c r="I104" s="300"/>
      <x:c r="J104" s="300"/>
      <x:c r="K104" s="300"/>
      <x:c r="L104" s="300"/>
      <x:c r="M104" s="300"/>
    </x:row>
    <x:row r="105">
      <x:c r="H105" s="300"/>
      <x:c r="I105" s="300"/>
      <x:c r="J105" s="300"/>
      <x:c r="K105" s="300"/>
      <x:c r="L105" s="300"/>
      <x:c r="M105" s="300"/>
    </x:row>
    <x:row r="106">
      <x:c r="H106" s="300"/>
      <x:c r="I106" s="300"/>
      <x:c r="J106" s="300"/>
      <x:c r="K106" s="300"/>
      <x:c r="L106" s="300"/>
      <x:c r="M106" s="300"/>
    </x:row>
    <x:row r="107">
      <x:c r="H107" s="300"/>
      <x:c r="I107" s="300"/>
      <x:c r="J107" s="300"/>
      <x:c r="K107" s="300"/>
      <x:c r="L107" s="300"/>
      <x:c r="M107" s="300"/>
    </x:row>
    <x:row r="108">
      <x:c r="H108" s="300"/>
      <x:c r="I108" s="300"/>
      <x:c r="J108" s="300"/>
      <x:c r="K108" s="300"/>
      <x:c r="L108" s="300"/>
      <x:c r="M108" s="300"/>
    </x:row>
    <x:row r="109">
      <x:c r="H109" s="300"/>
      <x:c r="I109" s="300"/>
      <x:c r="J109" s="300"/>
      <x:c r="K109" s="300"/>
      <x:c r="L109" s="300"/>
      <x:c r="M109" s="300"/>
    </x:row>
    <x:row r="110">
      <x:c r="H110" s="300"/>
      <x:c r="I110" s="300"/>
      <x:c r="J110" s="300"/>
      <x:c r="K110" s="300"/>
      <x:c r="L110" s="300"/>
      <x:c r="M110" s="300"/>
    </x:row>
    <x:row r="111">
      <x:c r="H111" s="300"/>
      <x:c r="I111" s="300"/>
      <x:c r="J111" s="300"/>
      <x:c r="K111" s="300"/>
      <x:c r="L111" s="300"/>
      <x:c r="M111" s="300"/>
    </x:row>
    <x:row r="112">
      <x:c r="H112" s="300"/>
      <x:c r="I112" s="300"/>
      <x:c r="J112" s="300"/>
      <x:c r="K112" s="300"/>
      <x:c r="L112" s="300"/>
      <x:c r="M112" s="300"/>
    </x:row>
    <x:row r="113">
      <x:c r="H113" s="300"/>
      <x:c r="I113" s="300"/>
      <x:c r="J113" s="300"/>
      <x:c r="K113" s="300"/>
      <x:c r="L113" s="300"/>
      <x:c r="M113" s="300"/>
    </x:row>
    <x:row r="114">
      <x:c r="H114" s="300"/>
      <x:c r="I114" s="300"/>
      <x:c r="J114" s="300"/>
      <x:c r="K114" s="300"/>
      <x:c r="L114" s="300"/>
      <x:c r="M114" s="300"/>
    </x:row>
    <x:row r="115">
      <x:c r="H115" s="300"/>
      <x:c r="I115" s="300"/>
      <x:c r="J115" s="300"/>
      <x:c r="K115" s="300"/>
      <x:c r="L115" s="300"/>
      <x:c r="M115" s="300"/>
    </x:row>
    <x:row r="116">
      <x:c r="H116" s="300"/>
      <x:c r="I116" s="300"/>
      <x:c r="J116" s="300"/>
      <x:c r="K116" s="300"/>
      <x:c r="L116" s="300"/>
      <x:c r="M116" s="300"/>
    </x:row>
    <x:row r="117">
      <x:c r="H117" s="300"/>
      <x:c r="I117" s="300"/>
      <x:c r="J117" s="300"/>
      <x:c r="K117" s="300"/>
      <x:c r="L117" s="300"/>
      <x:c r="M117" s="300"/>
    </x:row>
    <x:row r="118">
      <x:c r="H118" s="300"/>
      <x:c r="I118" s="300"/>
      <x:c r="J118" s="300"/>
      <x:c r="K118" s="300"/>
      <x:c r="L118" s="300"/>
      <x:c r="M118" s="300"/>
    </x:row>
    <x:row r="119">
      <x:c r="H119" s="300"/>
      <x:c r="I119" s="300"/>
      <x:c r="J119" s="300"/>
      <x:c r="K119" s="300"/>
      <x:c r="L119" s="300"/>
      <x:c r="M119" s="300"/>
    </x:row>
    <x:row r="120">
      <x:c r="H120" s="300"/>
      <x:c r="I120" s="300"/>
      <x:c r="J120" s="300"/>
      <x:c r="K120" s="300"/>
      <x:c r="L120" s="300"/>
      <x:c r="M120" s="300"/>
    </x:row>
    <x:row r="121">
      <x:c r="H121" s="300"/>
      <x:c r="I121" s="300"/>
      <x:c r="J121" s="300"/>
      <x:c r="K121" s="300"/>
      <x:c r="L121" s="300"/>
      <x:c r="M121" s="300"/>
    </x:row>
    <x:row r="122">
      <x:c r="H122" s="300"/>
      <x:c r="I122" s="300"/>
      <x:c r="J122" s="300"/>
      <x:c r="K122" s="300"/>
      <x:c r="L122" s="300"/>
      <x:c r="M122" s="300"/>
    </x:row>
    <x:row r="123">
      <x:c r="H123" s="300"/>
      <x:c r="I123" s="300"/>
      <x:c r="J123" s="300"/>
      <x:c r="K123" s="300"/>
      <x:c r="L123" s="300"/>
      <x:c r="M123" s="300"/>
    </x:row>
    <x:row r="124">
      <x:c r="H124" s="300"/>
      <x:c r="I124" s="300"/>
      <x:c r="J124" s="300"/>
      <x:c r="K124" s="300"/>
      <x:c r="L124" s="300"/>
      <x:c r="M124" s="300"/>
    </x:row>
    <x:row r="125">
      <x:c r="H125" s="300"/>
      <x:c r="I125" s="300"/>
      <x:c r="J125" s="300"/>
      <x:c r="K125" s="300"/>
      <x:c r="L125" s="300"/>
      <x:c r="M125" s="300"/>
    </x:row>
    <x:row r="126">
      <x:c r="H126" s="300"/>
      <x:c r="I126" s="300"/>
      <x:c r="J126" s="300"/>
      <x:c r="K126" s="300"/>
      <x:c r="L126" s="300"/>
      <x:c r="M126" s="300"/>
    </x:row>
    <x:row r="127">
      <x:c r="H127" s="300"/>
      <x:c r="I127" s="300"/>
      <x:c r="J127" s="300"/>
      <x:c r="K127" s="300"/>
      <x:c r="L127" s="300"/>
      <x:c r="M127" s="300"/>
    </x:row>
    <x:row r="128">
      <x:c r="H128" s="300"/>
      <x:c r="I128" s="300"/>
      <x:c r="J128" s="300"/>
      <x:c r="K128" s="300"/>
      <x:c r="L128" s="300"/>
      <x:c r="M128" s="300"/>
    </x:row>
    <x:row r="129">
      <x:c r="H129" s="300"/>
      <x:c r="I129" s="300"/>
      <x:c r="J129" s="300"/>
      <x:c r="K129" s="300"/>
      <x:c r="L129" s="300"/>
      <x:c r="M129" s="300"/>
    </x:row>
    <x:row r="130">
      <x:c r="H130" s="300"/>
      <x:c r="I130" s="300"/>
      <x:c r="J130" s="300"/>
      <x:c r="K130" s="300"/>
      <x:c r="L130" s="300"/>
      <x:c r="M130" s="300"/>
    </x:row>
    <x:row r="131">
      <x:c r="H131" s="300"/>
      <x:c r="I131" s="300"/>
      <x:c r="J131" s="300"/>
      <x:c r="K131" s="300"/>
      <x:c r="L131" s="300"/>
      <x:c r="M131" s="300"/>
    </x:row>
    <x:row r="132">
      <x:c r="H132" s="300"/>
      <x:c r="I132" s="300"/>
      <x:c r="J132" s="300"/>
      <x:c r="K132" s="300"/>
      <x:c r="L132" s="300"/>
      <x:c r="M132" s="300"/>
    </x:row>
    <x:row r="133">
      <x:c r="H133" s="300"/>
      <x:c r="I133" s="300"/>
      <x:c r="J133" s="300"/>
      <x:c r="K133" s="300"/>
      <x:c r="L133" s="300"/>
      <x:c r="M133" s="300"/>
    </x:row>
    <x:row r="134">
      <x:c r="H134" s="300"/>
      <x:c r="I134" s="300"/>
      <x:c r="J134" s="300"/>
      <x:c r="K134" s="300"/>
      <x:c r="L134" s="300"/>
      <x:c r="M134" s="300"/>
    </x:row>
    <x:row r="135">
      <x:c r="H135" s="300"/>
      <x:c r="I135" s="300"/>
      <x:c r="J135" s="300"/>
      <x:c r="K135" s="300"/>
      <x:c r="L135" s="300"/>
      <x:c r="M135" s="300"/>
    </x:row>
    <x:row r="136">
      <x:c r="H136" s="300"/>
      <x:c r="I136" s="300"/>
      <x:c r="J136" s="300"/>
      <x:c r="K136" s="300"/>
      <x:c r="L136" s="300"/>
      <x:c r="M136" s="300"/>
    </x:row>
    <x:row r="137">
      <x:c r="H137" s="300"/>
      <x:c r="I137" s="300"/>
      <x:c r="J137" s="300"/>
      <x:c r="K137" s="300"/>
      <x:c r="L137" s="300"/>
      <x:c r="M137" s="300"/>
    </x:row>
    <x:row r="138">
      <x:c r="H138" s="300"/>
      <x:c r="I138" s="300"/>
      <x:c r="J138" s="300"/>
      <x:c r="K138" s="300"/>
      <x:c r="L138" s="300"/>
      <x:c r="M138" s="300"/>
    </x:row>
    <x:row r="139">
      <x:c r="H139" s="300"/>
      <x:c r="I139" s="300"/>
      <x:c r="J139" s="300"/>
      <x:c r="K139" s="300"/>
      <x:c r="L139" s="300"/>
      <x:c r="M139" s="300"/>
    </x:row>
    <x:row r="140">
      <x:c r="H140" s="300"/>
      <x:c r="I140" s="300"/>
      <x:c r="J140" s="300"/>
      <x:c r="K140" s="300"/>
      <x:c r="L140" s="300"/>
      <x:c r="M140" s="300"/>
    </x:row>
    <x:row r="141">
      <x:c r="H141" s="300"/>
      <x:c r="I141" s="300"/>
      <x:c r="J141" s="300"/>
      <x:c r="K141" s="300"/>
      <x:c r="L141" s="300"/>
      <x:c r="M141" s="300"/>
    </x:row>
    <x:row r="142">
      <x:c r="H142" s="300"/>
      <x:c r="I142" s="300"/>
      <x:c r="J142" s="300"/>
      <x:c r="K142" s="300"/>
      <x:c r="L142" s="300"/>
      <x:c r="M142" s="300"/>
    </x:row>
    <x:row r="143">
      <x:c r="H143" s="300"/>
      <x:c r="I143" s="300"/>
      <x:c r="J143" s="300"/>
      <x:c r="K143" s="300"/>
      <x:c r="L143" s="300"/>
      <x:c r="M143" s="300"/>
    </x:row>
    <x:row r="144">
      <x:c r="H144" s="300"/>
      <x:c r="I144" s="300"/>
      <x:c r="J144" s="300"/>
      <x:c r="K144" s="300"/>
      <x:c r="L144" s="300"/>
      <x:c r="M144" s="300"/>
    </x:row>
    <x:row r="145">
      <x:c r="H145" s="300"/>
      <x:c r="I145" s="300"/>
      <x:c r="J145" s="300"/>
      <x:c r="K145" s="300"/>
      <x:c r="L145" s="300"/>
      <x:c r="M145" s="300"/>
    </x:row>
    <x:row r="146">
      <x:c r="H146" s="300"/>
      <x:c r="I146" s="300"/>
      <x:c r="J146" s="300"/>
      <x:c r="K146" s="300"/>
      <x:c r="L146" s="300"/>
      <x:c r="M146" s="300"/>
    </x:row>
    <x:row r="147">
      <x:c r="H147" s="300"/>
      <x:c r="I147" s="300"/>
      <x:c r="J147" s="300"/>
      <x:c r="K147" s="300"/>
      <x:c r="L147" s="300"/>
      <x:c r="M147" s="300"/>
    </x:row>
    <x:row r="148">
      <x:c r="H148" s="300"/>
      <x:c r="I148" s="300"/>
      <x:c r="J148" s="300"/>
      <x:c r="K148" s="300"/>
      <x:c r="L148" s="300"/>
      <x:c r="M148" s="300"/>
    </x:row>
    <x:row r="149">
      <x:c r="H149" s="300"/>
      <x:c r="I149" s="300"/>
      <x:c r="J149" s="300"/>
      <x:c r="K149" s="300"/>
      <x:c r="L149" s="300"/>
      <x:c r="M149" s="300"/>
    </x:row>
    <x:row r="150">
      <x:c r="H150" s="300"/>
      <x:c r="I150" s="300"/>
      <x:c r="J150" s="300"/>
      <x:c r="K150" s="300"/>
      <x:c r="L150" s="300"/>
      <x:c r="M150" s="300"/>
    </x:row>
    <x:row r="151">
      <x:c r="H151" s="300"/>
      <x:c r="I151" s="300"/>
      <x:c r="J151" s="300"/>
      <x:c r="K151" s="300"/>
      <x:c r="L151" s="300"/>
      <x:c r="M151" s="300"/>
    </x:row>
    <x:row r="152">
      <x:c r="H152" s="300"/>
      <x:c r="I152" s="300"/>
      <x:c r="J152" s="300"/>
      <x:c r="K152" s="300"/>
      <x:c r="L152" s="300"/>
      <x:c r="M152" s="300"/>
    </x:row>
    <x:row r="153">
      <x:c r="H153" s="300"/>
      <x:c r="I153" s="300"/>
      <x:c r="J153" s="300"/>
      <x:c r="K153" s="300"/>
      <x:c r="L153" s="300"/>
      <x:c r="M153" s="300"/>
    </x:row>
    <x:row r="154">
      <x:c r="H154" s="300"/>
      <x:c r="I154" s="300"/>
      <x:c r="J154" s="300"/>
      <x:c r="K154" s="300"/>
      <x:c r="L154" s="300"/>
      <x:c r="M154" s="300"/>
    </x:row>
    <x:row r="155">
      <x:c r="H155" s="300"/>
      <x:c r="I155" s="300"/>
      <x:c r="J155" s="300"/>
      <x:c r="K155" s="300"/>
      <x:c r="L155" s="300"/>
      <x:c r="M155" s="300"/>
    </x:row>
    <x:row r="156">
      <x:c r="H156" s="300"/>
      <x:c r="I156" s="300"/>
      <x:c r="J156" s="300"/>
      <x:c r="K156" s="300"/>
      <x:c r="L156" s="300"/>
      <x:c r="M156" s="300"/>
    </x:row>
    <x:row r="157">
      <x:c r="H157" s="300"/>
      <x:c r="I157" s="300"/>
      <x:c r="J157" s="300"/>
      <x:c r="K157" s="300"/>
      <x:c r="L157" s="300"/>
      <x:c r="M157" s="300"/>
    </x:row>
    <x:row r="158">
      <x:c r="H158" s="300"/>
      <x:c r="I158" s="300"/>
      <x:c r="J158" s="300"/>
      <x:c r="K158" s="300"/>
      <x:c r="L158" s="300"/>
      <x:c r="M158" s="300"/>
    </x:row>
    <x:row r="159">
      <x:c r="H159" s="300"/>
      <x:c r="I159" s="300"/>
      <x:c r="J159" s="300"/>
      <x:c r="K159" s="300"/>
      <x:c r="L159" s="300"/>
      <x:c r="M159" s="300"/>
    </x:row>
    <x:row r="160">
      <x:c r="H160" s="300"/>
      <x:c r="I160" s="300"/>
      <x:c r="J160" s="300"/>
      <x:c r="K160" s="300"/>
      <x:c r="L160" s="300"/>
      <x:c r="M160" s="300"/>
    </x:row>
    <x:row r="161">
      <x:c r="H161" s="300"/>
      <x:c r="I161" s="300"/>
      <x:c r="J161" s="300"/>
      <x:c r="K161" s="300"/>
      <x:c r="L161" s="300"/>
      <x:c r="M161" s="300"/>
    </x:row>
    <x:row r="162">
      <x:c r="H162" s="300"/>
      <x:c r="I162" s="300"/>
      <x:c r="J162" s="300"/>
      <x:c r="K162" s="300"/>
      <x:c r="L162" s="300"/>
      <x:c r="M162" s="300"/>
    </x:row>
    <x:row r="163">
      <x:c r="H163" s="300"/>
      <x:c r="I163" s="300"/>
      <x:c r="J163" s="300"/>
      <x:c r="K163" s="300"/>
      <x:c r="L163" s="300"/>
      <x:c r="M163" s="300"/>
    </x:row>
    <x:row r="164">
      <x:c r="H164" s="300"/>
      <x:c r="I164" s="300"/>
      <x:c r="J164" s="300"/>
      <x:c r="K164" s="300"/>
      <x:c r="L164" s="300"/>
      <x:c r="M164" s="300"/>
    </x:row>
    <x:row r="165">
      <x:c r="H165" s="300"/>
      <x:c r="I165" s="300"/>
      <x:c r="J165" s="300"/>
      <x:c r="K165" s="300"/>
      <x:c r="L165" s="300"/>
      <x:c r="M165" s="300"/>
    </x:row>
    <x:row r="166">
      <x:c r="H166" s="300"/>
      <x:c r="I166" s="300"/>
      <x:c r="J166" s="300"/>
      <x:c r="K166" s="300"/>
      <x:c r="L166" s="300"/>
      <x:c r="M166" s="300"/>
    </x:row>
    <x:row r="167">
      <x:c r="H167" s="300"/>
      <x:c r="I167" s="300"/>
      <x:c r="J167" s="300"/>
      <x:c r="K167" s="300"/>
      <x:c r="L167" s="300"/>
      <x:c r="M167" s="300"/>
    </x:row>
    <x:row r="168">
      <x:c r="H168" s="300"/>
      <x:c r="I168" s="300"/>
      <x:c r="J168" s="300"/>
      <x:c r="K168" s="300"/>
      <x:c r="L168" s="300"/>
      <x:c r="M168" s="300"/>
    </x:row>
    <x:row r="169">
      <x:c r="H169" s="300"/>
      <x:c r="I169" s="300"/>
      <x:c r="J169" s="300"/>
      <x:c r="K169" s="300"/>
      <x:c r="L169" s="300"/>
      <x:c r="M169" s="300"/>
    </x:row>
    <x:row r="170">
      <x:c r="H170" s="300"/>
      <x:c r="I170" s="300"/>
      <x:c r="J170" s="300"/>
      <x:c r="K170" s="300"/>
      <x:c r="L170" s="300"/>
      <x:c r="M170" s="300"/>
    </x:row>
    <x:row r="171">
      <x:c r="H171" s="300"/>
      <x:c r="I171" s="300"/>
      <x:c r="J171" s="300"/>
      <x:c r="K171" s="300"/>
      <x:c r="L171" s="300"/>
      <x:c r="M171" s="300"/>
    </x:row>
    <x:row r="172">
      <x:c r="H172" s="300"/>
      <x:c r="I172" s="300"/>
      <x:c r="J172" s="300"/>
      <x:c r="K172" s="300"/>
      <x:c r="L172" s="300"/>
      <x:c r="M172" s="300"/>
    </x:row>
    <x:row r="173">
      <x:c r="H173" s="300"/>
      <x:c r="I173" s="300"/>
      <x:c r="J173" s="300"/>
      <x:c r="K173" s="300"/>
      <x:c r="L173" s="300"/>
      <x:c r="M173" s="300"/>
    </x:row>
    <x:row r="174">
      <x:c r="H174" s="300"/>
      <x:c r="I174" s="300"/>
      <x:c r="J174" s="300"/>
      <x:c r="K174" s="300"/>
      <x:c r="L174" s="300"/>
      <x:c r="M174" s="300"/>
    </x:row>
    <x:row r="175">
      <x:c r="H175" s="300"/>
      <x:c r="I175" s="300"/>
      <x:c r="J175" s="300"/>
      <x:c r="K175" s="300"/>
      <x:c r="L175" s="300"/>
      <x:c r="M175" s="300"/>
    </x:row>
    <x:row r="176">
      <x:c r="H176" s="300"/>
      <x:c r="I176" s="300"/>
      <x:c r="J176" s="300"/>
      <x:c r="K176" s="300"/>
      <x:c r="L176" s="300"/>
      <x:c r="M176" s="300"/>
    </x:row>
    <x:row r="177">
      <x:c r="H177" s="300"/>
      <x:c r="I177" s="300"/>
      <x:c r="J177" s="300"/>
      <x:c r="K177" s="300"/>
      <x:c r="L177" s="300"/>
      <x:c r="M177" s="300"/>
    </x:row>
    <x:row r="178">
      <x:c r="H178" s="300"/>
      <x:c r="I178" s="300"/>
      <x:c r="J178" s="300"/>
      <x:c r="K178" s="300"/>
      <x:c r="L178" s="300"/>
      <x:c r="M178" s="300"/>
    </x:row>
    <x:row r="179">
      <x:c r="H179" s="300"/>
      <x:c r="I179" s="300"/>
      <x:c r="J179" s="300"/>
      <x:c r="K179" s="300"/>
      <x:c r="L179" s="300"/>
      <x:c r="M179" s="300"/>
    </x:row>
    <x:row r="180">
      <x:c r="H180" s="300"/>
      <x:c r="I180" s="300"/>
      <x:c r="J180" s="300"/>
      <x:c r="K180" s="300"/>
      <x:c r="L180" s="300"/>
      <x:c r="M180" s="300"/>
    </x:row>
    <x:row r="181">
      <x:c r="H181" s="300"/>
      <x:c r="I181" s="300"/>
      <x:c r="J181" s="300"/>
      <x:c r="K181" s="300"/>
      <x:c r="L181" s="300"/>
      <x:c r="M181" s="300"/>
    </x:row>
    <x:row r="182">
      <x:c r="H182" s="300"/>
      <x:c r="I182" s="300"/>
      <x:c r="J182" s="300"/>
      <x:c r="K182" s="300"/>
      <x:c r="L182" s="300"/>
      <x:c r="M182" s="300"/>
    </x:row>
    <x:row r="183">
      <x:c r="H183" s="300"/>
      <x:c r="I183" s="300"/>
      <x:c r="J183" s="300"/>
      <x:c r="K183" s="300"/>
      <x:c r="L183" s="300"/>
      <x:c r="M183" s="300"/>
    </x:row>
    <x:row r="184">
      <x:c r="H184" s="300"/>
      <x:c r="I184" s="300"/>
      <x:c r="J184" s="300"/>
      <x:c r="K184" s="300"/>
      <x:c r="L184" s="300"/>
      <x:c r="M184" s="300"/>
    </x:row>
    <x:row r="185">
      <x:c r="H185" s="300"/>
      <x:c r="I185" s="300"/>
      <x:c r="J185" s="300"/>
      <x:c r="K185" s="300"/>
      <x:c r="L185" s="300"/>
      <x:c r="M185" s="300"/>
    </x:row>
    <x:row r="186">
      <x:c r="H186" s="300"/>
      <x:c r="I186" s="300"/>
      <x:c r="J186" s="300"/>
      <x:c r="K186" s="300"/>
      <x:c r="L186" s="300"/>
      <x:c r="M186" s="300"/>
    </x:row>
    <x:row r="187">
      <x:c r="H187" s="300"/>
      <x:c r="I187" s="300"/>
      <x:c r="J187" s="300"/>
      <x:c r="K187" s="300"/>
      <x:c r="L187" s="300"/>
      <x:c r="M187" s="300"/>
    </x:row>
    <x:row r="188">
      <x:c r="H188" s="300"/>
      <x:c r="I188" s="300"/>
      <x:c r="J188" s="300"/>
      <x:c r="K188" s="300"/>
      <x:c r="L188" s="300"/>
      <x:c r="M188" s="300"/>
    </x:row>
    <x:row r="189">
      <x:c r="H189" s="300"/>
      <x:c r="I189" s="300"/>
      <x:c r="J189" s="300"/>
      <x:c r="K189" s="300"/>
      <x:c r="L189" s="300"/>
      <x:c r="M189" s="300"/>
    </x:row>
    <x:row r="190">
      <x:c r="H190" s="300"/>
      <x:c r="I190" s="300"/>
      <x:c r="J190" s="300"/>
      <x:c r="K190" s="300"/>
      <x:c r="L190" s="300"/>
      <x:c r="M190" s="300"/>
    </x:row>
    <x:row r="191">
      <x:c r="H191" s="300"/>
      <x:c r="I191" s="300"/>
      <x:c r="J191" s="300"/>
      <x:c r="K191" s="300"/>
      <x:c r="L191" s="300"/>
      <x:c r="M191" s="300"/>
    </x:row>
    <x:row r="192">
      <x:c r="H192" s="300"/>
      <x:c r="I192" s="300"/>
      <x:c r="J192" s="300"/>
      <x:c r="K192" s="300"/>
      <x:c r="L192" s="300"/>
      <x:c r="M192" s="300"/>
    </x:row>
    <x:row r="193">
      <x:c r="H193" s="300"/>
      <x:c r="I193" s="300"/>
      <x:c r="J193" s="300"/>
      <x:c r="K193" s="300"/>
      <x:c r="L193" s="300"/>
      <x:c r="M193" s="300"/>
    </x:row>
    <x:row r="194">
      <x:c r="H194" s="300"/>
      <x:c r="I194" s="300"/>
      <x:c r="J194" s="300"/>
      <x:c r="K194" s="300"/>
      <x:c r="L194" s="300"/>
      <x:c r="M194" s="300"/>
    </x:row>
    <x:row r="195">
      <x:c r="H195" s="300"/>
      <x:c r="I195" s="300"/>
      <x:c r="J195" s="300"/>
      <x:c r="K195" s="300"/>
      <x:c r="L195" s="300"/>
      <x:c r="M195" s="300"/>
    </x:row>
    <x:row r="196">
      <x:c r="H196" s="300"/>
      <x:c r="I196" s="300"/>
      <x:c r="J196" s="300"/>
      <x:c r="K196" s="300"/>
      <x:c r="L196" s="300"/>
      <x:c r="M196" s="300"/>
    </x:row>
    <x:row r="197">
      <x:c r="H197" s="300"/>
      <x:c r="I197" s="300"/>
      <x:c r="J197" s="300"/>
      <x:c r="K197" s="300"/>
      <x:c r="L197" s="300"/>
      <x:c r="M197" s="300"/>
    </x:row>
    <x:row r="198">
      <x:c r="H198" s="300"/>
      <x:c r="I198" s="300"/>
      <x:c r="J198" s="300"/>
      <x:c r="K198" s="300"/>
      <x:c r="L198" s="300"/>
      <x:c r="M198" s="300"/>
    </x:row>
    <x:row r="199">
      <x:c r="H199" s="300"/>
      <x:c r="I199" s="300"/>
      <x:c r="J199" s="300"/>
      <x:c r="K199" s="300"/>
      <x:c r="L199" s="300"/>
      <x:c r="M199" s="300"/>
    </x:row>
    <x:row r="200">
      <x:c r="H200" s="300"/>
      <x:c r="I200" s="300"/>
      <x:c r="J200" s="300"/>
      <x:c r="K200" s="300"/>
      <x:c r="L200" s="300"/>
      <x:c r="M200" s="300"/>
    </x:row>
    <x:row r="201">
      <x:c r="H201" s="300"/>
      <x:c r="I201" s="300"/>
      <x:c r="J201" s="300"/>
      <x:c r="K201" s="300"/>
      <x:c r="L201" s="300"/>
      <x:c r="M201" s="300"/>
    </x:row>
    <x:row r="202">
      <x:c r="H202" s="300"/>
      <x:c r="I202" s="300"/>
      <x:c r="J202" s="300"/>
      <x:c r="K202" s="300"/>
      <x:c r="L202" s="300"/>
      <x:c r="M202" s="300"/>
    </x:row>
    <x:row r="203">
      <x:c r="H203" s="300"/>
      <x:c r="I203" s="300"/>
      <x:c r="J203" s="300"/>
      <x:c r="K203" s="300"/>
      <x:c r="L203" s="300"/>
      <x:c r="M203" s="300"/>
    </x:row>
    <x:row r="204">
      <x:c r="H204" s="300"/>
      <x:c r="I204" s="300"/>
      <x:c r="J204" s="300"/>
      <x:c r="K204" s="300"/>
      <x:c r="L204" s="300"/>
      <x:c r="M204" s="300"/>
    </x:row>
    <x:row r="205">
      <x:c r="H205" s="300"/>
      <x:c r="I205" s="300"/>
      <x:c r="J205" s="300"/>
      <x:c r="K205" s="300"/>
      <x:c r="L205" s="300"/>
      <x:c r="M205" s="300"/>
    </x:row>
    <x:row r="206">
      <x:c r="H206" s="300"/>
      <x:c r="I206" s="300"/>
      <x:c r="J206" s="300"/>
      <x:c r="K206" s="300"/>
      <x:c r="L206" s="300"/>
      <x:c r="M206" s="300"/>
    </x:row>
    <x:row r="207">
      <x:c r="H207" s="300"/>
      <x:c r="I207" s="300"/>
      <x:c r="J207" s="300"/>
      <x:c r="K207" s="300"/>
      <x:c r="L207" s="300"/>
      <x:c r="M207" s="300"/>
    </x:row>
    <x:row r="208">
      <x:c r="H208" s="300"/>
      <x:c r="I208" s="300"/>
      <x:c r="J208" s="300"/>
      <x:c r="K208" s="300"/>
      <x:c r="L208" s="300"/>
      <x:c r="M208" s="300"/>
    </x:row>
    <x:row r="209">
      <x:c r="H209" s="300"/>
      <x:c r="I209" s="300"/>
      <x:c r="J209" s="300"/>
      <x:c r="K209" s="300"/>
      <x:c r="L209" s="300"/>
      <x:c r="M209" s="300"/>
    </x:row>
    <x:row r="210">
      <x:c r="H210" s="300"/>
      <x:c r="I210" s="300"/>
      <x:c r="J210" s="300"/>
      <x:c r="K210" s="300"/>
      <x:c r="L210" s="300"/>
      <x:c r="M210" s="300"/>
    </x:row>
    <x:row r="211">
      <x:c r="H211" s="300"/>
      <x:c r="I211" s="300"/>
      <x:c r="J211" s="300"/>
      <x:c r="K211" s="300"/>
      <x:c r="L211" s="300"/>
      <x:c r="M211" s="300"/>
    </x:row>
    <x:row r="212">
      <x:c r="H212" s="300"/>
      <x:c r="I212" s="300"/>
      <x:c r="J212" s="300"/>
      <x:c r="K212" s="300"/>
      <x:c r="L212" s="300"/>
      <x:c r="M212" s="300"/>
    </x:row>
    <x:row r="213">
      <x:c r="H213" s="300"/>
      <x:c r="I213" s="300"/>
      <x:c r="J213" s="300"/>
      <x:c r="K213" s="300"/>
      <x:c r="L213" s="300"/>
      <x:c r="M213" s="300"/>
    </x:row>
    <x:row r="214">
      <x:c r="H214" s="300"/>
      <x:c r="I214" s="300"/>
      <x:c r="J214" s="300"/>
      <x:c r="K214" s="300"/>
      <x:c r="L214" s="300"/>
      <x:c r="M214" s="300"/>
    </x:row>
    <x:row r="215">
      <x:c r="H215" s="300"/>
      <x:c r="I215" s="300"/>
      <x:c r="J215" s="300"/>
      <x:c r="K215" s="300"/>
      <x:c r="L215" s="300"/>
      <x:c r="M215" s="300"/>
    </x:row>
    <x:row r="216">
      <x:c r="H216" s="300"/>
      <x:c r="I216" s="300"/>
      <x:c r="J216" s="300"/>
      <x:c r="K216" s="300"/>
      <x:c r="L216" s="300"/>
      <x:c r="M216" s="300"/>
    </x:row>
    <x:row r="217">
      <x:c r="H217" s="300"/>
      <x:c r="I217" s="300"/>
      <x:c r="J217" s="300"/>
      <x:c r="K217" s="300"/>
      <x:c r="L217" s="300"/>
      <x:c r="M217" s="300"/>
    </x:row>
    <x:row r="218">
      <x:c r="H218" s="300"/>
      <x:c r="I218" s="300"/>
      <x:c r="J218" s="300"/>
      <x:c r="K218" s="300"/>
      <x:c r="L218" s="300"/>
      <x:c r="M218" s="300"/>
    </x:row>
    <x:row r="219">
      <x:c r="H219" s="300"/>
      <x:c r="I219" s="300"/>
      <x:c r="J219" s="300"/>
      <x:c r="K219" s="300"/>
      <x:c r="L219" s="300"/>
      <x:c r="M219" s="300"/>
    </x:row>
    <x:row r="220">
      <x:c r="H220" s="300"/>
      <x:c r="I220" s="300"/>
      <x:c r="J220" s="300"/>
      <x:c r="K220" s="300"/>
      <x:c r="L220" s="300"/>
      <x:c r="M220" s="300"/>
    </x:row>
    <x:row r="221">
      <x:c r="H221" s="300"/>
      <x:c r="I221" s="300"/>
      <x:c r="J221" s="300"/>
      <x:c r="K221" s="300"/>
      <x:c r="L221" s="300"/>
      <x:c r="M221" s="300"/>
    </x:row>
    <x:row r="222">
      <x:c r="H222" s="300"/>
      <x:c r="I222" s="300"/>
      <x:c r="J222" s="300"/>
      <x:c r="K222" s="300"/>
      <x:c r="L222" s="300"/>
      <x:c r="M222" s="300"/>
    </x:row>
    <x:row r="223">
      <x:c r="H223" s="300"/>
      <x:c r="I223" s="300"/>
      <x:c r="J223" s="300"/>
      <x:c r="K223" s="300"/>
      <x:c r="L223" s="300"/>
      <x:c r="M223" s="300"/>
    </x:row>
    <x:row r="224">
      <x:c r="H224" s="300"/>
      <x:c r="I224" s="300"/>
      <x:c r="J224" s="300"/>
      <x:c r="K224" s="300"/>
      <x:c r="L224" s="300"/>
      <x:c r="M224" s="300"/>
    </x:row>
    <x:row r="225">
      <x:c r="H225" s="300"/>
      <x:c r="I225" s="300"/>
      <x:c r="J225" s="300"/>
      <x:c r="K225" s="300"/>
      <x:c r="L225" s="300"/>
      <x:c r="M225" s="300"/>
    </x:row>
    <x:row r="226">
      <x:c r="H226" s="300"/>
      <x:c r="I226" s="300"/>
      <x:c r="J226" s="300"/>
      <x:c r="K226" s="300"/>
      <x:c r="L226" s="300"/>
      <x:c r="M226" s="300"/>
    </x:row>
    <x:row r="227">
      <x:c r="H227" s="300"/>
      <x:c r="I227" s="300"/>
      <x:c r="J227" s="300"/>
      <x:c r="K227" s="300"/>
      <x:c r="L227" s="300"/>
      <x:c r="M227" s="300"/>
    </x:row>
    <x:row r="228">
      <x:c r="H228" s="300"/>
      <x:c r="I228" s="300"/>
      <x:c r="J228" s="300"/>
      <x:c r="K228" s="300"/>
      <x:c r="L228" s="300"/>
      <x:c r="M228" s="300"/>
    </x:row>
    <x:row r="229">
      <x:c r="H229" s="300"/>
      <x:c r="I229" s="300"/>
      <x:c r="J229" s="300"/>
      <x:c r="K229" s="300"/>
      <x:c r="L229" s="300"/>
      <x:c r="M229" s="300"/>
    </x:row>
    <x:row r="230">
      <x:c r="H230" s="300"/>
      <x:c r="I230" s="300"/>
      <x:c r="J230" s="300"/>
      <x:c r="K230" s="300"/>
      <x:c r="L230" s="300"/>
      <x:c r="M230" s="300"/>
    </x:row>
    <x:row r="231">
      <x:c r="H231" s="300"/>
      <x:c r="I231" s="300"/>
      <x:c r="J231" s="300"/>
      <x:c r="K231" s="300"/>
      <x:c r="L231" s="300"/>
      <x:c r="M231" s="300"/>
    </x:row>
    <x:row r="232">
      <x:c r="H232" s="300"/>
      <x:c r="I232" s="300"/>
      <x:c r="J232" s="300"/>
      <x:c r="K232" s="300"/>
      <x:c r="L232" s="300"/>
      <x:c r="M232" s="300"/>
    </x:row>
    <x:row r="233">
      <x:c r="H233" s="300"/>
      <x:c r="I233" s="300"/>
      <x:c r="J233" s="300"/>
      <x:c r="K233" s="300"/>
      <x:c r="L233" s="300"/>
      <x:c r="M233" s="300"/>
    </x:row>
    <x:row r="234">
      <x:c r="H234" s="300"/>
      <x:c r="I234" s="300"/>
      <x:c r="J234" s="300"/>
      <x:c r="K234" s="300"/>
      <x:c r="L234" s="300"/>
      <x:c r="M234" s="300"/>
    </x:row>
    <x:row r="235">
      <x:c r="H235" s="300"/>
      <x:c r="I235" s="300"/>
      <x:c r="J235" s="300"/>
      <x:c r="K235" s="300"/>
      <x:c r="L235" s="300"/>
      <x:c r="M235" s="300"/>
    </x:row>
    <x:row r="236">
      <x:c r="H236" s="300"/>
      <x:c r="I236" s="300"/>
      <x:c r="J236" s="300"/>
      <x:c r="K236" s="300"/>
      <x:c r="L236" s="300"/>
      <x:c r="M236" s="300"/>
    </x:row>
    <x:row r="237">
      <x:c r="H237" s="300"/>
      <x:c r="I237" s="300"/>
      <x:c r="J237" s="300"/>
      <x:c r="K237" s="300"/>
      <x:c r="L237" s="300"/>
      <x:c r="M237" s="300"/>
    </x:row>
    <x:row r="238">
      <x:c r="H238" s="300"/>
      <x:c r="I238" s="300"/>
      <x:c r="J238" s="300"/>
      <x:c r="K238" s="300"/>
      <x:c r="L238" s="300"/>
      <x:c r="M238" s="300"/>
    </x:row>
    <x:row r="239">
      <x:c r="H239" s="300"/>
      <x:c r="I239" s="300"/>
      <x:c r="J239" s="300"/>
      <x:c r="K239" s="300"/>
      <x:c r="L239" s="300"/>
      <x:c r="M239" s="300"/>
    </x:row>
    <x:row r="240">
      <x:c r="H240" s="300"/>
      <x:c r="I240" s="300"/>
      <x:c r="J240" s="300"/>
      <x:c r="K240" s="300"/>
      <x:c r="L240" s="300"/>
      <x:c r="M240" s="300"/>
    </x:row>
    <x:row r="241">
      <x:c r="H241" s="300"/>
      <x:c r="I241" s="300"/>
      <x:c r="J241" s="300"/>
      <x:c r="K241" s="300"/>
      <x:c r="L241" s="300"/>
      <x:c r="M241" s="300"/>
    </x:row>
    <x:row r="242">
      <x:c r="H242" s="300"/>
      <x:c r="I242" s="300"/>
      <x:c r="J242" s="300"/>
      <x:c r="K242" s="300"/>
      <x:c r="L242" s="300"/>
      <x:c r="M242" s="300"/>
    </x:row>
    <x:row r="243">
      <x:c r="H243" s="300"/>
      <x:c r="I243" s="300"/>
      <x:c r="J243" s="300"/>
      <x:c r="K243" s="300"/>
      <x:c r="L243" s="300"/>
      <x:c r="M243" s="300"/>
    </x:row>
    <x:row r="244">
      <x:c r="H244" s="300"/>
      <x:c r="I244" s="300"/>
      <x:c r="J244" s="300"/>
      <x:c r="K244" s="300"/>
      <x:c r="L244" s="300"/>
      <x:c r="M244" s="300"/>
    </x:row>
    <x:row r="245">
      <x:c r="H245" s="300"/>
      <x:c r="I245" s="300"/>
      <x:c r="J245" s="300"/>
      <x:c r="K245" s="300"/>
      <x:c r="L245" s="300"/>
      <x:c r="M245" s="300"/>
    </x:row>
    <x:row r="246">
      <x:c r="H246" s="300"/>
      <x:c r="I246" s="300"/>
      <x:c r="J246" s="300"/>
      <x:c r="K246" s="300"/>
      <x:c r="L246" s="300"/>
      <x:c r="M246" s="300"/>
    </x:row>
    <x:row r="247">
      <x:c r="H247" s="300"/>
      <x:c r="I247" s="300"/>
      <x:c r="J247" s="300"/>
      <x:c r="K247" s="300"/>
      <x:c r="L247" s="300"/>
      <x:c r="M247" s="300"/>
    </x:row>
    <x:row r="248">
      <x:c r="H248" s="300"/>
      <x:c r="I248" s="300"/>
      <x:c r="J248" s="300"/>
      <x:c r="K248" s="300"/>
      <x:c r="L248" s="300"/>
      <x:c r="M248" s="300"/>
    </x:row>
    <x:row r="249">
      <x:c r="H249" s="300"/>
      <x:c r="I249" s="300"/>
      <x:c r="J249" s="300"/>
      <x:c r="K249" s="300"/>
      <x:c r="L249" s="300"/>
      <x:c r="M249" s="300"/>
    </x:row>
    <x:row r="250">
      <x:c r="H250" s="300"/>
      <x:c r="I250" s="300"/>
      <x:c r="J250" s="300"/>
      <x:c r="K250" s="300"/>
      <x:c r="L250" s="300"/>
      <x:c r="M250" s="300"/>
    </x:row>
    <x:row r="251">
      <x:c r="H251" s="300"/>
      <x:c r="I251" s="300"/>
      <x:c r="J251" s="300"/>
      <x:c r="K251" s="300"/>
      <x:c r="L251" s="300"/>
      <x:c r="M251" s="300"/>
    </x:row>
    <x:row r="252">
      <x:c r="H252" s="300"/>
      <x:c r="I252" s="300"/>
      <x:c r="J252" s="300"/>
      <x:c r="K252" s="300"/>
      <x:c r="L252" s="300"/>
      <x:c r="M252" s="300"/>
    </x:row>
    <x:row r="253">
      <x:c r="H253" s="300"/>
      <x:c r="I253" s="300"/>
      <x:c r="J253" s="300"/>
      <x:c r="K253" s="300"/>
      <x:c r="L253" s="300"/>
      <x:c r="M253" s="300"/>
    </x:row>
    <x:row r="254">
      <x:c r="H254" s="300"/>
      <x:c r="I254" s="300"/>
      <x:c r="J254" s="300"/>
      <x:c r="K254" s="300"/>
      <x:c r="L254" s="300"/>
      <x:c r="M254" s="300"/>
    </x:row>
    <x:row r="255">
      <x:c r="H255" s="300"/>
      <x:c r="I255" s="300"/>
      <x:c r="J255" s="300"/>
      <x:c r="K255" s="300"/>
      <x:c r="L255" s="300"/>
      <x:c r="M255" s="300"/>
    </x:row>
    <x:row r="256">
      <x:c r="H256" s="300"/>
      <x:c r="I256" s="300"/>
      <x:c r="J256" s="300"/>
      <x:c r="K256" s="300"/>
      <x:c r="L256" s="300"/>
      <x:c r="M256" s="300"/>
    </x:row>
    <x:row r="257">
      <x:c r="H257" s="300"/>
      <x:c r="I257" s="300"/>
      <x:c r="J257" s="300"/>
      <x:c r="K257" s="300"/>
      <x:c r="L257" s="300"/>
      <x:c r="M257" s="300"/>
    </x:row>
    <x:row r="258">
      <x:c r="H258" s="300"/>
      <x:c r="I258" s="300"/>
      <x:c r="J258" s="300"/>
      <x:c r="K258" s="300"/>
      <x:c r="L258" s="300"/>
      <x:c r="M258" s="300"/>
    </x:row>
    <x:row r="259">
      <x:c r="H259" s="300"/>
      <x:c r="I259" s="300"/>
      <x:c r="J259" s="300"/>
      <x:c r="K259" s="300"/>
      <x:c r="L259" s="300"/>
      <x:c r="M259" s="300"/>
    </x:row>
    <x:row r="260">
      <x:c r="H260" s="300"/>
      <x:c r="I260" s="300"/>
      <x:c r="J260" s="300"/>
      <x:c r="K260" s="300"/>
      <x:c r="L260" s="300"/>
      <x:c r="M260" s="300"/>
    </x:row>
    <x:row r="261">
      <x:c r="H261" s="300"/>
      <x:c r="I261" s="300"/>
      <x:c r="J261" s="300"/>
      <x:c r="K261" s="300"/>
      <x:c r="L261" s="300"/>
      <x:c r="M261" s="300"/>
    </x:row>
    <x:row r="262">
      <x:c r="H262" s="300"/>
      <x:c r="I262" s="300"/>
      <x:c r="J262" s="300"/>
      <x:c r="K262" s="300"/>
      <x:c r="L262" s="300"/>
      <x:c r="M262" s="300"/>
    </x:row>
    <x:row r="263">
      <x:c r="H263" s="300"/>
      <x:c r="I263" s="300"/>
      <x:c r="J263" s="300"/>
      <x:c r="K263" s="300"/>
      <x:c r="L263" s="300"/>
      <x:c r="M263" s="300"/>
    </x:row>
    <x:row r="264">
      <x:c r="H264" s="300"/>
      <x:c r="I264" s="300"/>
      <x:c r="J264" s="300"/>
      <x:c r="K264" s="300"/>
      <x:c r="L264" s="300"/>
      <x:c r="M264" s="300"/>
    </x:row>
    <x:row r="265">
      <x:c r="H265" s="300"/>
      <x:c r="I265" s="300"/>
      <x:c r="J265" s="300"/>
      <x:c r="K265" s="300"/>
      <x:c r="L265" s="300"/>
      <x:c r="M265" s="300"/>
    </x:row>
    <x:row r="266">
      <x:c r="H266" s="300"/>
      <x:c r="I266" s="300"/>
      <x:c r="J266" s="300"/>
      <x:c r="K266" s="300"/>
      <x:c r="L266" s="300"/>
      <x:c r="M266" s="300"/>
    </x:row>
    <x:row r="267">
      <x:c r="H267" s="300"/>
      <x:c r="I267" s="300"/>
      <x:c r="J267" s="300"/>
      <x:c r="K267" s="300"/>
      <x:c r="L267" s="300"/>
      <x:c r="M267" s="300"/>
    </x:row>
    <x:row r="268">
      <x:c r="H268" s="300"/>
      <x:c r="I268" s="300"/>
      <x:c r="J268" s="300"/>
      <x:c r="K268" s="300"/>
      <x:c r="L268" s="300"/>
      <x:c r="M268" s="300"/>
    </x:row>
    <x:row r="269">
      <x:c r="H269" s="300"/>
      <x:c r="I269" s="300"/>
      <x:c r="J269" s="300"/>
      <x:c r="K269" s="300"/>
      <x:c r="L269" s="300"/>
      <x:c r="M269" s="300"/>
    </x:row>
    <x:row r="270">
      <x:c r="H270" s="300"/>
      <x:c r="I270" s="300"/>
      <x:c r="J270" s="300"/>
      <x:c r="K270" s="300"/>
      <x:c r="L270" s="300"/>
      <x:c r="M270" s="300"/>
    </x:row>
    <x:row r="271">
      <x:c r="H271" s="300"/>
      <x:c r="I271" s="300"/>
      <x:c r="J271" s="300"/>
      <x:c r="K271" s="300"/>
      <x:c r="L271" s="300"/>
      <x:c r="M271" s="300"/>
    </x:row>
    <x:row r="272">
      <x:c r="H272" s="300"/>
      <x:c r="I272" s="300"/>
      <x:c r="J272" s="300"/>
      <x:c r="K272" s="300"/>
      <x:c r="L272" s="300"/>
      <x:c r="M272" s="300"/>
    </x:row>
    <x:row r="273">
      <x:c r="H273" s="300"/>
      <x:c r="I273" s="300"/>
      <x:c r="J273" s="300"/>
      <x:c r="K273" s="300"/>
      <x:c r="L273" s="300"/>
      <x:c r="M273" s="300"/>
    </x:row>
    <x:row r="274">
      <x:c r="H274" s="300"/>
      <x:c r="I274" s="300"/>
      <x:c r="J274" s="300"/>
      <x:c r="K274" s="300"/>
      <x:c r="L274" s="300"/>
      <x:c r="M274" s="300"/>
    </x:row>
    <x:row r="275">
      <x:c r="H275" s="300"/>
      <x:c r="I275" s="300"/>
      <x:c r="J275" s="300"/>
      <x:c r="K275" s="300"/>
      <x:c r="L275" s="300"/>
      <x:c r="M275" s="300"/>
    </x:row>
    <x:row r="276">
      <x:c r="H276" s="300"/>
      <x:c r="I276" s="300"/>
      <x:c r="J276" s="300"/>
      <x:c r="K276" s="300"/>
      <x:c r="L276" s="300"/>
      <x:c r="M276" s="300"/>
    </x:row>
    <x:row r="277">
      <x:c r="H277" s="300"/>
      <x:c r="I277" s="300"/>
      <x:c r="J277" s="300"/>
      <x:c r="K277" s="300"/>
      <x:c r="L277" s="300"/>
      <x:c r="M277" s="300"/>
    </x:row>
    <x:row r="278">
      <x:c r="H278" s="300"/>
      <x:c r="I278" s="300"/>
      <x:c r="J278" s="300"/>
      <x:c r="K278" s="300"/>
      <x:c r="L278" s="300"/>
      <x:c r="M278" s="300"/>
    </x:row>
    <x:row r="279">
      <x:c r="H279" s="300"/>
      <x:c r="I279" s="300"/>
      <x:c r="J279" s="300"/>
      <x:c r="K279" s="300"/>
      <x:c r="L279" s="300"/>
      <x:c r="M279" s="300"/>
    </x:row>
    <x:row r="280">
      <x:c r="H280" s="300"/>
      <x:c r="I280" s="300"/>
      <x:c r="J280" s="300"/>
      <x:c r="K280" s="300"/>
      <x:c r="L280" s="300"/>
      <x:c r="M280" s="300"/>
    </x:row>
    <x:row r="281">
      <x:c r="H281" s="300"/>
      <x:c r="I281" s="300"/>
      <x:c r="J281" s="300"/>
      <x:c r="K281" s="300"/>
      <x:c r="L281" s="300"/>
      <x:c r="M281" s="300"/>
    </x:row>
    <x:row r="282">
      <x:c r="H282" s="300"/>
      <x:c r="I282" s="300"/>
      <x:c r="J282" s="300"/>
      <x:c r="K282" s="300"/>
      <x:c r="L282" s="300"/>
      <x:c r="M282" s="300"/>
    </x:row>
    <x:row r="283">
      <x:c r="H283" s="300"/>
      <x:c r="I283" s="300"/>
      <x:c r="J283" s="300"/>
      <x:c r="K283" s="300"/>
      <x:c r="L283" s="300"/>
      <x:c r="M283" s="300"/>
    </x:row>
    <x:row r="284">
      <x:c r="H284" s="300"/>
      <x:c r="I284" s="300"/>
      <x:c r="J284" s="300"/>
      <x:c r="K284" s="300"/>
      <x:c r="L284" s="300"/>
      <x:c r="M284" s="300"/>
    </x:row>
    <x:row r="285">
      <x:c r="H285" s="300"/>
      <x:c r="I285" s="300"/>
      <x:c r="J285" s="300"/>
      <x:c r="K285" s="300"/>
      <x:c r="L285" s="300"/>
      <x:c r="M285" s="300"/>
    </x:row>
    <x:row r="286">
      <x:c r="H286" s="300"/>
      <x:c r="I286" s="300"/>
      <x:c r="J286" s="300"/>
      <x:c r="K286" s="300"/>
      <x:c r="L286" s="300"/>
      <x:c r="M286" s="300"/>
    </x:row>
    <x:row r="287">
      <x:c r="H287" s="300"/>
      <x:c r="I287" s="300"/>
      <x:c r="J287" s="300"/>
      <x:c r="K287" s="300"/>
      <x:c r="L287" s="300"/>
      <x:c r="M287" s="300"/>
    </x:row>
    <x:row r="288">
      <x:c r="H288" s="300"/>
      <x:c r="I288" s="300"/>
      <x:c r="J288" s="300"/>
      <x:c r="K288" s="300"/>
      <x:c r="L288" s="300"/>
      <x:c r="M288" s="300"/>
    </x:row>
    <x:row r="289">
      <x:c r="H289" s="300"/>
      <x:c r="I289" s="300"/>
      <x:c r="J289" s="300"/>
      <x:c r="K289" s="300"/>
      <x:c r="L289" s="300"/>
      <x:c r="M289" s="300"/>
    </x:row>
    <x:row r="290">
      <x:c r="H290" s="300"/>
      <x:c r="I290" s="300"/>
      <x:c r="J290" s="300"/>
      <x:c r="K290" s="300"/>
      <x:c r="L290" s="300"/>
      <x:c r="M290" s="300"/>
    </x:row>
    <x:row r="291">
      <x:c r="H291" s="300"/>
      <x:c r="I291" s="300"/>
      <x:c r="J291" s="300"/>
      <x:c r="K291" s="300"/>
      <x:c r="L291" s="300"/>
      <x:c r="M291" s="300"/>
    </x:row>
    <x:row r="292">
      <x:c r="H292" s="300"/>
      <x:c r="I292" s="300"/>
      <x:c r="J292" s="300"/>
      <x:c r="K292" s="300"/>
      <x:c r="L292" s="300"/>
      <x:c r="M292" s="300"/>
    </x:row>
    <x:row r="293">
      <x:c r="H293" s="300"/>
      <x:c r="I293" s="300"/>
      <x:c r="J293" s="300"/>
      <x:c r="K293" s="300"/>
      <x:c r="L293" s="300"/>
      <x:c r="M293" s="300"/>
    </x:row>
    <x:row r="294">
      <x:c r="H294" s="300"/>
      <x:c r="I294" s="300"/>
      <x:c r="J294" s="300"/>
      <x:c r="K294" s="300"/>
      <x:c r="L294" s="300"/>
      <x:c r="M294" s="300"/>
    </x:row>
    <x:row r="295">
      <x:c r="H295" s="300"/>
      <x:c r="I295" s="300"/>
      <x:c r="J295" s="300"/>
      <x:c r="K295" s="300"/>
      <x:c r="L295" s="300"/>
      <x:c r="M295" s="300"/>
    </x:row>
    <x:row r="296">
      <x:c r="H296" s="300"/>
      <x:c r="I296" s="300"/>
      <x:c r="J296" s="300"/>
      <x:c r="K296" s="300"/>
      <x:c r="L296" s="300"/>
      <x:c r="M296" s="300"/>
    </x:row>
    <x:row r="297">
      <x:c r="H297" s="300"/>
      <x:c r="I297" s="300"/>
      <x:c r="J297" s="300"/>
      <x:c r="K297" s="300"/>
      <x:c r="L297" s="300"/>
      <x:c r="M297" s="300"/>
    </x:row>
    <x:row r="298">
      <x:c r="H298" s="300"/>
      <x:c r="I298" s="300"/>
      <x:c r="J298" s="300"/>
      <x:c r="K298" s="300"/>
      <x:c r="L298" s="300"/>
      <x:c r="M298" s="300"/>
    </x:row>
    <x:row r="299">
      <x:c r="H299" s="300"/>
      <x:c r="I299" s="300"/>
      <x:c r="J299" s="300"/>
      <x:c r="K299" s="300"/>
      <x:c r="L299" s="300"/>
      <x:c r="M299" s="300"/>
    </x:row>
    <x:row r="300">
      <x:c r="H300" s="300"/>
      <x:c r="I300" s="300"/>
      <x:c r="J300" s="300"/>
      <x:c r="K300" s="300"/>
      <x:c r="L300" s="300"/>
      <x:c r="M300" s="300"/>
    </x:row>
    <x:row r="301">
      <x:c r="H301" s="300"/>
      <x:c r="I301" s="300"/>
      <x:c r="J301" s="300"/>
      <x:c r="K301" s="300"/>
      <x:c r="L301" s="300"/>
      <x:c r="M301" s="300"/>
    </x:row>
    <x:row r="302">
      <x:c r="H302" s="300"/>
      <x:c r="I302" s="300"/>
      <x:c r="J302" s="300"/>
      <x:c r="K302" s="300"/>
      <x:c r="L302" s="300"/>
      <x:c r="M302" s="300"/>
    </x:row>
    <x:row r="303">
      <x:c r="H303" s="300"/>
      <x:c r="I303" s="300"/>
      <x:c r="J303" s="300"/>
      <x:c r="K303" s="300"/>
      <x:c r="L303" s="300"/>
      <x:c r="M303" s="300"/>
    </x:row>
    <x:row r="304">
      <x:c r="H304" s="300"/>
      <x:c r="I304" s="300"/>
      <x:c r="J304" s="300"/>
      <x:c r="K304" s="300"/>
      <x:c r="L304" s="300"/>
      <x:c r="M304" s="300"/>
    </x:row>
    <x:row r="305">
      <x:c r="H305" s="300"/>
      <x:c r="I305" s="300"/>
      <x:c r="J305" s="300"/>
      <x:c r="K305" s="300"/>
      <x:c r="L305" s="300"/>
      <x:c r="M305" s="300"/>
    </x:row>
    <x:row r="306">
      <x:c r="H306" s="300"/>
      <x:c r="I306" s="300"/>
      <x:c r="J306" s="300"/>
      <x:c r="K306" s="300"/>
      <x:c r="L306" s="300"/>
      <x:c r="M306" s="300"/>
    </x:row>
    <x:row r="307">
      <x:c r="H307" s="300"/>
      <x:c r="I307" s="300"/>
      <x:c r="J307" s="300"/>
      <x:c r="K307" s="300"/>
      <x:c r="L307" s="300"/>
      <x:c r="M307" s="300"/>
    </x:row>
    <x:row r="308">
      <x:c r="H308" s="300"/>
      <x:c r="I308" s="300"/>
      <x:c r="J308" s="300"/>
      <x:c r="K308" s="300"/>
      <x:c r="L308" s="300"/>
      <x:c r="M308" s="300"/>
    </x:row>
    <x:row r="309">
      <x:c r="H309" s="300"/>
      <x:c r="I309" s="300"/>
      <x:c r="J309" s="300"/>
      <x:c r="K309" s="300"/>
      <x:c r="L309" s="300"/>
      <x:c r="M309" s="300"/>
    </x:row>
    <x:row r="310">
      <x:c r="H310" s="300"/>
      <x:c r="I310" s="300"/>
      <x:c r="J310" s="300"/>
      <x:c r="K310" s="300"/>
      <x:c r="L310" s="300"/>
      <x:c r="M310" s="300"/>
    </x:row>
    <x:row r="311">
      <x:c r="H311" s="300"/>
      <x:c r="I311" s="300"/>
      <x:c r="J311" s="300"/>
      <x:c r="K311" s="300"/>
      <x:c r="L311" s="300"/>
      <x:c r="M311" s="300"/>
    </x:row>
    <x:row r="312">
      <x:c r="H312" s="300"/>
      <x:c r="I312" s="300"/>
      <x:c r="J312" s="300"/>
      <x:c r="K312" s="300"/>
      <x:c r="L312" s="300"/>
      <x:c r="M312" s="300"/>
    </x:row>
    <x:row r="313">
      <x:c r="H313" s="300"/>
      <x:c r="I313" s="300"/>
      <x:c r="J313" s="300"/>
      <x:c r="K313" s="300"/>
      <x:c r="L313" s="300"/>
      <x:c r="M313" s="300"/>
    </x:row>
    <x:row r="314">
      <x:c r="H314" s="300"/>
      <x:c r="I314" s="300"/>
      <x:c r="J314" s="300"/>
      <x:c r="K314" s="300"/>
      <x:c r="L314" s="300"/>
      <x:c r="M314" s="300"/>
    </x:row>
    <x:row r="315">
      <x:c r="H315" s="300"/>
      <x:c r="I315" s="300"/>
      <x:c r="J315" s="300"/>
      <x:c r="K315" s="300"/>
      <x:c r="L315" s="300"/>
      <x:c r="M315" s="300"/>
    </x:row>
    <x:row r="316">
      <x:c r="H316" s="300"/>
      <x:c r="I316" s="300"/>
      <x:c r="J316" s="300"/>
      <x:c r="K316" s="300"/>
      <x:c r="L316" s="300"/>
      <x:c r="M316" s="300"/>
    </x:row>
    <x:row r="317">
      <x:c r="H317" s="300"/>
      <x:c r="I317" s="300"/>
      <x:c r="J317" s="300"/>
      <x:c r="K317" s="300"/>
      <x:c r="L317" s="300"/>
      <x:c r="M317" s="300"/>
    </x:row>
    <x:row r="318">
      <x:c r="H318" s="300"/>
      <x:c r="I318" s="300"/>
      <x:c r="J318" s="300"/>
      <x:c r="K318" s="300"/>
      <x:c r="L318" s="300"/>
      <x:c r="M318" s="300"/>
    </x:row>
    <x:row r="319">
      <x:c r="H319" s="300"/>
      <x:c r="I319" s="300"/>
      <x:c r="J319" s="300"/>
      <x:c r="K319" s="300"/>
      <x:c r="L319" s="300"/>
      <x:c r="M319" s="300"/>
    </x:row>
    <x:row r="320">
      <x:c r="H320" s="300"/>
      <x:c r="I320" s="300"/>
      <x:c r="J320" s="300"/>
      <x:c r="K320" s="300"/>
      <x:c r="L320" s="300"/>
      <x:c r="M320" s="300"/>
    </x:row>
    <x:row r="321">
      <x:c r="H321" s="300"/>
      <x:c r="I321" s="300"/>
      <x:c r="J321" s="300"/>
      <x:c r="K321" s="300"/>
      <x:c r="L321" s="300"/>
      <x:c r="M321" s="300"/>
    </x:row>
    <x:row r="322">
      <x:c r="H322" s="300"/>
      <x:c r="I322" s="300"/>
      <x:c r="J322" s="300"/>
      <x:c r="K322" s="300"/>
      <x:c r="L322" s="300"/>
      <x:c r="M322" s="300"/>
    </x:row>
    <x:row r="323">
      <x:c r="H323" s="300"/>
      <x:c r="I323" s="300"/>
      <x:c r="J323" s="300"/>
      <x:c r="K323" s="300"/>
      <x:c r="L323" s="300"/>
      <x:c r="M323" s="300"/>
    </x:row>
    <x:row r="324">
      <x:c r="H324" s="300"/>
      <x:c r="I324" s="300"/>
      <x:c r="J324" s="300"/>
      <x:c r="K324" s="300"/>
      <x:c r="L324" s="300"/>
      <x:c r="M324" s="300"/>
    </x:row>
    <x:row r="325">
      <x:c r="H325" s="300"/>
      <x:c r="I325" s="300"/>
      <x:c r="J325" s="300"/>
      <x:c r="K325" s="300"/>
      <x:c r="L325" s="300"/>
      <x:c r="M325" s="300"/>
    </x:row>
    <x:row r="326">
      <x:c r="H326" s="300"/>
      <x:c r="I326" s="300"/>
      <x:c r="J326" s="300"/>
      <x:c r="K326" s="300"/>
      <x:c r="L326" s="300"/>
      <x:c r="M326" s="300"/>
    </x:row>
    <x:row r="327">
      <x:c r="H327" s="300"/>
      <x:c r="I327" s="300"/>
      <x:c r="J327" s="300"/>
      <x:c r="K327" s="300"/>
      <x:c r="L327" s="300"/>
      <x:c r="M327" s="300"/>
    </x:row>
    <x:row r="328">
      <x:c r="H328" s="300"/>
      <x:c r="I328" s="300"/>
      <x:c r="J328" s="300"/>
      <x:c r="K328" s="300"/>
      <x:c r="L328" s="300"/>
      <x:c r="M328" s="300"/>
    </x:row>
    <x:row r="329">
      <x:c r="H329" s="300"/>
      <x:c r="I329" s="300"/>
      <x:c r="J329" s="300"/>
      <x:c r="K329" s="300"/>
      <x:c r="L329" s="300"/>
      <x:c r="M329" s="300"/>
    </x:row>
    <x:row r="330">
      <x:c r="H330" s="300"/>
      <x:c r="I330" s="300"/>
      <x:c r="J330" s="300"/>
      <x:c r="K330" s="300"/>
      <x:c r="L330" s="300"/>
      <x:c r="M330" s="300"/>
    </x:row>
    <x:row r="331">
      <x:c r="H331" s="300"/>
      <x:c r="I331" s="300"/>
      <x:c r="J331" s="300"/>
      <x:c r="K331" s="300"/>
      <x:c r="L331" s="300"/>
      <x:c r="M331" s="300"/>
    </x:row>
    <x:row r="332">
      <x:c r="H332" s="300"/>
      <x:c r="I332" s="300"/>
      <x:c r="J332" s="300"/>
      <x:c r="K332" s="300"/>
      <x:c r="L332" s="300"/>
      <x:c r="M332" s="300"/>
    </x:row>
    <x:row r="333">
      <x:c r="H333" s="300"/>
      <x:c r="I333" s="300"/>
      <x:c r="J333" s="300"/>
      <x:c r="K333" s="300"/>
      <x:c r="L333" s="300"/>
      <x:c r="M333" s="300"/>
    </x:row>
    <x:row r="334">
      <x:c r="H334" s="300"/>
      <x:c r="I334" s="300"/>
      <x:c r="J334" s="300"/>
      <x:c r="K334" s="300"/>
      <x:c r="L334" s="300"/>
      <x:c r="M334" s="300"/>
    </x:row>
    <x:row r="335">
      <x:c r="H335" s="300"/>
      <x:c r="I335" s="300"/>
      <x:c r="J335" s="300"/>
      <x:c r="K335" s="300"/>
      <x:c r="L335" s="300"/>
      <x:c r="M335" s="300"/>
    </x:row>
    <x:row r="336">
      <x:c r="H336" s="300"/>
      <x:c r="I336" s="300"/>
      <x:c r="J336" s="300"/>
      <x:c r="K336" s="300"/>
      <x:c r="L336" s="300"/>
      <x:c r="M336" s="300"/>
    </x:row>
    <x:row r="337">
      <x:c r="H337" s="300"/>
      <x:c r="I337" s="300"/>
      <x:c r="J337" s="300"/>
      <x:c r="K337" s="300"/>
      <x:c r="L337" s="300"/>
      <x:c r="M337" s="300"/>
    </x:row>
    <x:row r="338">
      <x:c r="H338" s="300"/>
      <x:c r="I338" s="300"/>
      <x:c r="J338" s="300"/>
      <x:c r="K338" s="300"/>
      <x:c r="L338" s="300"/>
      <x:c r="M338" s="300"/>
    </x:row>
    <x:row r="339">
      <x:c r="H339" s="300"/>
      <x:c r="I339" s="300"/>
      <x:c r="J339" s="300"/>
      <x:c r="K339" s="300"/>
      <x:c r="L339" s="300"/>
      <x:c r="M339" s="300"/>
    </x:row>
    <x:row r="340">
      <x:c r="H340" s="300"/>
      <x:c r="I340" s="300"/>
      <x:c r="J340" s="300"/>
      <x:c r="K340" s="300"/>
      <x:c r="L340" s="300"/>
      <x:c r="M340" s="300"/>
    </x:row>
    <x:row r="341">
      <x:c r="H341" s="300"/>
      <x:c r="I341" s="300"/>
      <x:c r="J341" s="300"/>
      <x:c r="K341" s="300"/>
      <x:c r="L341" s="300"/>
      <x:c r="M341" s="300"/>
    </x:row>
    <x:row r="342">
      <x:c r="H342" s="300"/>
      <x:c r="I342" s="300"/>
      <x:c r="J342" s="300"/>
      <x:c r="K342" s="300"/>
      <x:c r="L342" s="300"/>
      <x:c r="M342" s="300"/>
    </x:row>
    <x:row r="343">
      <x:c r="H343" s="300"/>
      <x:c r="I343" s="300"/>
      <x:c r="J343" s="300"/>
      <x:c r="K343" s="300"/>
      <x:c r="L343" s="300"/>
      <x:c r="M343" s="300"/>
    </x:row>
    <x:row r="344">
      <x:c r="H344" s="300"/>
      <x:c r="I344" s="300"/>
      <x:c r="J344" s="300"/>
      <x:c r="K344" s="300"/>
      <x:c r="L344" s="300"/>
      <x:c r="M344" s="300"/>
    </x:row>
    <x:row r="345">
      <x:c r="H345" s="300"/>
      <x:c r="I345" s="300"/>
      <x:c r="J345" s="300"/>
      <x:c r="K345" s="300"/>
      <x:c r="L345" s="300"/>
      <x:c r="M345" s="300"/>
    </x:row>
    <x:row r="346">
      <x:c r="H346" s="300"/>
      <x:c r="I346" s="300"/>
      <x:c r="J346" s="300"/>
      <x:c r="K346" s="300"/>
      <x:c r="L346" s="300"/>
      <x:c r="M346" s="300"/>
    </x:row>
    <x:row r="347">
      <x:c r="H347" s="300"/>
      <x:c r="I347" s="300"/>
      <x:c r="J347" s="300"/>
      <x:c r="K347" s="300"/>
      <x:c r="L347" s="300"/>
      <x:c r="M347" s="300"/>
    </x:row>
    <x:row r="348">
      <x:c r="H348" s="300"/>
      <x:c r="I348" s="300"/>
      <x:c r="J348" s="300"/>
      <x:c r="K348" s="300"/>
      <x:c r="L348" s="300"/>
      <x:c r="M348" s="300"/>
    </x:row>
    <x:row r="349">
      <x:c r="H349" s="300"/>
      <x:c r="I349" s="300"/>
      <x:c r="J349" s="300"/>
      <x:c r="K349" s="300"/>
      <x:c r="L349" s="300"/>
      <x:c r="M349" s="300"/>
    </x:row>
    <x:row r="350">
      <x:c r="H350" s="300"/>
      <x:c r="I350" s="300"/>
      <x:c r="J350" s="300"/>
      <x:c r="K350" s="300"/>
      <x:c r="L350" s="300"/>
      <x:c r="M350" s="300"/>
    </x:row>
    <x:row r="351">
      <x:c r="H351" s="300"/>
      <x:c r="I351" s="300"/>
      <x:c r="J351" s="300"/>
      <x:c r="K351" s="300"/>
      <x:c r="L351" s="300"/>
      <x:c r="M351" s="300"/>
    </x:row>
    <x:row r="352">
      <x:c r="H352" s="300"/>
      <x:c r="I352" s="300"/>
      <x:c r="J352" s="300"/>
      <x:c r="K352" s="300"/>
      <x:c r="L352" s="300"/>
      <x:c r="M352" s="300"/>
    </x:row>
    <x:row r="353">
      <x:c r="H353" s="300"/>
      <x:c r="I353" s="300"/>
      <x:c r="J353" s="300"/>
      <x:c r="K353" s="300"/>
      <x:c r="L353" s="300"/>
      <x:c r="M353" s="300"/>
    </x:row>
    <x:row r="354">
      <x:c r="H354" s="300"/>
      <x:c r="I354" s="300"/>
      <x:c r="J354" s="300"/>
      <x:c r="K354" s="300"/>
      <x:c r="L354" s="300"/>
      <x:c r="M354" s="300"/>
    </x:row>
    <x:row r="355">
      <x:c r="H355" s="300"/>
      <x:c r="I355" s="300"/>
      <x:c r="J355" s="300"/>
      <x:c r="K355" s="300"/>
      <x:c r="L355" s="300"/>
      <x:c r="M355" s="300"/>
    </x:row>
    <x:row r="356">
      <x:c r="H356" s="300"/>
      <x:c r="I356" s="300"/>
      <x:c r="J356" s="300"/>
      <x:c r="K356" s="300"/>
      <x:c r="L356" s="300"/>
      <x:c r="M356" s="300"/>
    </x:row>
    <x:row r="357">
      <x:c r="H357" s="300"/>
      <x:c r="I357" s="300"/>
      <x:c r="J357" s="300"/>
      <x:c r="K357" s="300"/>
      <x:c r="L357" s="300"/>
      <x:c r="M357" s="300"/>
    </x:row>
    <x:row r="358">
      <x:c r="H358" s="300"/>
      <x:c r="I358" s="300"/>
      <x:c r="J358" s="300"/>
      <x:c r="K358" s="300"/>
      <x:c r="L358" s="300"/>
      <x:c r="M358" s="300"/>
    </x:row>
    <x:row r="359">
      <x:c r="H359" s="300"/>
      <x:c r="I359" s="300"/>
      <x:c r="J359" s="300"/>
      <x:c r="K359" s="300"/>
      <x:c r="L359" s="300"/>
      <x:c r="M359" s="300"/>
    </x:row>
    <x:row r="360">
      <x:c r="H360" s="300"/>
      <x:c r="I360" s="300"/>
      <x:c r="J360" s="300"/>
      <x:c r="K360" s="300"/>
      <x:c r="L360" s="300"/>
      <x:c r="M360" s="300"/>
    </x:row>
    <x:row r="361">
      <x:c r="H361" s="300"/>
      <x:c r="I361" s="300"/>
      <x:c r="J361" s="300"/>
      <x:c r="K361" s="300"/>
      <x:c r="L361" s="300"/>
      <x:c r="M361" s="300"/>
    </x:row>
    <x:row r="362">
      <x:c r="H362" s="300"/>
      <x:c r="I362" s="300"/>
      <x:c r="J362" s="300"/>
      <x:c r="K362" s="300"/>
      <x:c r="L362" s="300"/>
      <x:c r="M362" s="300"/>
    </x:row>
    <x:row r="363">
      <x:c r="H363" s="300"/>
      <x:c r="I363" s="300"/>
      <x:c r="J363" s="300"/>
      <x:c r="K363" s="300"/>
      <x:c r="L363" s="300"/>
      <x:c r="M363" s="300"/>
    </x:row>
    <x:row r="364">
      <x:c r="H364" s="300"/>
      <x:c r="I364" s="300"/>
      <x:c r="J364" s="300"/>
      <x:c r="K364" s="300"/>
      <x:c r="L364" s="300"/>
      <x:c r="M364" s="300"/>
    </x:row>
    <x:row r="365">
      <x:c r="H365" s="300"/>
      <x:c r="I365" s="300"/>
      <x:c r="J365" s="300"/>
      <x:c r="K365" s="300"/>
      <x:c r="L365" s="300"/>
      <x:c r="M365" s="300"/>
    </x:row>
    <x:row r="366">
      <x:c r="H366" s="300"/>
      <x:c r="I366" s="300"/>
      <x:c r="J366" s="300"/>
      <x:c r="K366" s="300"/>
      <x:c r="L366" s="300"/>
      <x:c r="M366" s="300"/>
    </x:row>
    <x:row r="367">
      <x:c r="H367" s="300"/>
      <x:c r="I367" s="300"/>
      <x:c r="J367" s="300"/>
      <x:c r="K367" s="300"/>
      <x:c r="L367" s="300"/>
      <x:c r="M367" s="300"/>
    </x:row>
    <x:row r="368">
      <x:c r="H368" s="300"/>
      <x:c r="I368" s="300"/>
      <x:c r="J368" s="300"/>
      <x:c r="K368" s="300"/>
      <x:c r="L368" s="300"/>
      <x:c r="M368" s="300"/>
    </x:row>
    <x:row r="369">
      <x:c r="H369" s="300"/>
      <x:c r="I369" s="300"/>
      <x:c r="J369" s="300"/>
      <x:c r="K369" s="300"/>
      <x:c r="L369" s="300"/>
      <x:c r="M369" s="300"/>
    </x:row>
    <x:row r="370">
      <x:c r="H370" s="300"/>
      <x:c r="I370" s="300"/>
      <x:c r="J370" s="300"/>
      <x:c r="K370" s="300"/>
      <x:c r="L370" s="300"/>
      <x:c r="M370" s="300"/>
    </x:row>
    <x:row r="371">
      <x:c r="H371" s="300"/>
      <x:c r="I371" s="300"/>
      <x:c r="J371" s="300"/>
      <x:c r="K371" s="300"/>
      <x:c r="L371" s="300"/>
      <x:c r="M371" s="300"/>
    </x:row>
    <x:row r="372">
      <x:c r="H372" s="300"/>
      <x:c r="I372" s="300"/>
      <x:c r="J372" s="300"/>
      <x:c r="K372" s="300"/>
      <x:c r="L372" s="300"/>
      <x:c r="M372" s="300"/>
    </x:row>
    <x:row r="373">
      <x:c r="H373" s="300"/>
      <x:c r="I373" s="300"/>
      <x:c r="J373" s="300"/>
      <x:c r="K373" s="300"/>
      <x:c r="L373" s="300"/>
      <x:c r="M373" s="300"/>
    </x:row>
    <x:row r="374">
      <x:c r="H374" s="300"/>
      <x:c r="I374" s="300"/>
      <x:c r="J374" s="300"/>
      <x:c r="K374" s="300"/>
      <x:c r="L374" s="300"/>
      <x:c r="M374" s="300"/>
    </x:row>
    <x:row r="375">
      <x:c r="H375" s="300"/>
      <x:c r="I375" s="300"/>
      <x:c r="J375" s="300"/>
      <x:c r="K375" s="300"/>
      <x:c r="L375" s="300"/>
      <x:c r="M375" s="300"/>
    </x:row>
    <x:row r="376">
      <x:c r="H376" s="300"/>
      <x:c r="I376" s="300"/>
      <x:c r="J376" s="300"/>
      <x:c r="K376" s="300"/>
      <x:c r="L376" s="300"/>
      <x:c r="M376" s="300"/>
    </x:row>
    <x:row r="377">
      <x:c r="H377" s="300"/>
      <x:c r="I377" s="300"/>
      <x:c r="J377" s="300"/>
      <x:c r="K377" s="300"/>
      <x:c r="L377" s="300"/>
      <x:c r="M377" s="300"/>
    </x:row>
    <x:row r="378">
      <x:c r="H378" s="300"/>
      <x:c r="I378" s="300"/>
      <x:c r="J378" s="300"/>
      <x:c r="K378" s="300"/>
      <x:c r="L378" s="300"/>
      <x:c r="M378" s="300"/>
    </x:row>
    <x:row r="379">
      <x:c r="H379" s="300"/>
      <x:c r="I379" s="300"/>
      <x:c r="J379" s="300"/>
      <x:c r="K379" s="300"/>
      <x:c r="L379" s="300"/>
      <x:c r="M379" s="300"/>
    </x:row>
    <x:row r="380">
      <x:c r="H380" s="300"/>
      <x:c r="I380" s="300"/>
      <x:c r="J380" s="300"/>
      <x:c r="K380" s="300"/>
      <x:c r="L380" s="300"/>
      <x:c r="M380" s="300"/>
    </x:row>
    <x:row r="381">
      <x:c r="H381" s="300"/>
      <x:c r="I381" s="300"/>
      <x:c r="J381" s="300"/>
      <x:c r="K381" s="300"/>
      <x:c r="L381" s="300"/>
      <x:c r="M381" s="300"/>
    </x:row>
    <x:row r="382">
      <x:c r="H382" s="300"/>
      <x:c r="I382" s="300"/>
      <x:c r="J382" s="300"/>
      <x:c r="K382" s="300"/>
      <x:c r="L382" s="300"/>
      <x:c r="M382" s="300"/>
    </x:row>
    <x:row r="383">
      <x:c r="H383" s="300"/>
      <x:c r="I383" s="300"/>
      <x:c r="J383" s="300"/>
      <x:c r="K383" s="300"/>
      <x:c r="L383" s="300"/>
      <x:c r="M383" s="300"/>
    </x:row>
    <x:row r="384">
      <x:c r="H384" s="300"/>
      <x:c r="I384" s="300"/>
      <x:c r="J384" s="300"/>
      <x:c r="K384" s="300"/>
      <x:c r="L384" s="300"/>
      <x:c r="M384" s="300"/>
    </x:row>
    <x:row r="385">
      <x:c r="H385" s="300"/>
      <x:c r="I385" s="300"/>
      <x:c r="J385" s="300"/>
      <x:c r="K385" s="300"/>
      <x:c r="L385" s="300"/>
      <x:c r="M385" s="300"/>
    </x:row>
    <x:row r="386">
      <x:c r="H386" s="300"/>
      <x:c r="I386" s="300"/>
      <x:c r="J386" s="300"/>
      <x:c r="K386" s="300"/>
      <x:c r="L386" s="300"/>
      <x:c r="M386" s="300"/>
    </x:row>
    <x:row r="387">
      <x:c r="H387" s="300"/>
      <x:c r="I387" s="300"/>
      <x:c r="J387" s="300"/>
      <x:c r="K387" s="300"/>
      <x:c r="L387" s="300"/>
      <x:c r="M387" s="300"/>
    </x:row>
    <x:row r="388">
      <x:c r="H388" s="300"/>
      <x:c r="I388" s="300"/>
      <x:c r="J388" s="300"/>
      <x:c r="K388" s="300"/>
      <x:c r="L388" s="300"/>
      <x:c r="M388" s="300"/>
    </x:row>
    <x:row r="389">
      <x:c r="H389" s="300"/>
      <x:c r="I389" s="300"/>
      <x:c r="J389" s="300"/>
      <x:c r="K389" s="300"/>
      <x:c r="L389" s="300"/>
      <x:c r="M389" s="300"/>
    </x:row>
    <x:row r="390">
      <x:c r="H390" s="300"/>
      <x:c r="I390" s="300"/>
      <x:c r="J390" s="300"/>
      <x:c r="K390" s="300"/>
      <x:c r="L390" s="300"/>
      <x:c r="M390" s="300"/>
    </x:row>
    <x:row r="391">
      <x:c r="H391" s="300"/>
      <x:c r="I391" s="300"/>
      <x:c r="J391" s="300"/>
      <x:c r="K391" s="300"/>
      <x:c r="L391" s="300"/>
      <x:c r="M391" s="300"/>
    </x:row>
    <x:row r="392">
      <x:c r="H392" s="300"/>
      <x:c r="I392" s="300"/>
      <x:c r="J392" s="300"/>
      <x:c r="K392" s="300"/>
      <x:c r="L392" s="300"/>
      <x:c r="M392" s="300"/>
    </x:row>
    <x:row r="393">
      <x:c r="H393" s="300"/>
      <x:c r="I393" s="300"/>
      <x:c r="J393" s="300"/>
      <x:c r="K393" s="300"/>
      <x:c r="L393" s="300"/>
      <x:c r="M393" s="300"/>
    </x:row>
    <x:row r="394">
      <x:c r="H394" s="300"/>
      <x:c r="I394" s="300"/>
      <x:c r="J394" s="300"/>
      <x:c r="K394" s="300"/>
      <x:c r="L394" s="300"/>
      <x:c r="M394" s="300"/>
    </x:row>
    <x:row r="395">
      <x:c r="H395" s="300"/>
      <x:c r="I395" s="300"/>
      <x:c r="J395" s="300"/>
      <x:c r="K395" s="300"/>
      <x:c r="L395" s="300"/>
      <x:c r="M395" s="300"/>
    </x:row>
    <x:row r="396">
      <x:c r="H396" s="300"/>
      <x:c r="I396" s="300"/>
      <x:c r="J396" s="300"/>
      <x:c r="K396" s="300"/>
      <x:c r="L396" s="300"/>
      <x:c r="M396" s="300"/>
    </x:row>
    <x:row r="397">
      <x:c r="H397" s="300"/>
      <x:c r="I397" s="300"/>
      <x:c r="J397" s="300"/>
      <x:c r="K397" s="300"/>
      <x:c r="L397" s="300"/>
      <x:c r="M397" s="300"/>
    </x:row>
    <x:row r="398">
      <x:c r="H398" s="300"/>
      <x:c r="I398" s="300"/>
      <x:c r="J398" s="300"/>
      <x:c r="K398" s="300"/>
      <x:c r="L398" s="300"/>
      <x:c r="M398" s="300"/>
    </x:row>
    <x:row r="399">
      <x:c r="H399" s="300"/>
      <x:c r="I399" s="300"/>
      <x:c r="J399" s="300"/>
      <x:c r="K399" s="300"/>
      <x:c r="L399" s="300"/>
      <x:c r="M399" s="300"/>
    </x:row>
    <x:row r="400">
      <x:c r="H400" s="300"/>
      <x:c r="I400" s="300"/>
      <x:c r="J400" s="300"/>
      <x:c r="K400" s="300"/>
      <x:c r="L400" s="300"/>
      <x:c r="M400" s="300"/>
    </x:row>
    <x:row r="401">
      <x:c r="H401" s="300"/>
      <x:c r="I401" s="300"/>
      <x:c r="J401" s="300"/>
      <x:c r="K401" s="300"/>
      <x:c r="L401" s="300"/>
      <x:c r="M401" s="300"/>
    </x:row>
    <x:row r="402">
      <x:c r="H402" s="300"/>
      <x:c r="I402" s="300"/>
      <x:c r="J402" s="300"/>
      <x:c r="K402" s="300"/>
      <x:c r="L402" s="300"/>
      <x:c r="M402" s="300"/>
    </x:row>
    <x:row r="403">
      <x:c r="H403" s="300"/>
      <x:c r="I403" s="300"/>
      <x:c r="J403" s="300"/>
      <x:c r="K403" s="300"/>
      <x:c r="L403" s="300"/>
      <x:c r="M403" s="300"/>
    </x:row>
    <x:row r="404">
      <x:c r="H404" s="300"/>
      <x:c r="I404" s="300"/>
      <x:c r="J404" s="300"/>
      <x:c r="K404" s="300"/>
      <x:c r="L404" s="300"/>
      <x:c r="M404" s="300"/>
    </x:row>
    <x:row r="405">
      <x:c r="H405" s="300"/>
      <x:c r="I405" s="300"/>
      <x:c r="J405" s="300"/>
      <x:c r="K405" s="300"/>
      <x:c r="L405" s="300"/>
      <x:c r="M405" s="300"/>
    </x:row>
    <x:row r="406">
      <x:c r="H406" s="300"/>
      <x:c r="I406" s="300"/>
      <x:c r="J406" s="300"/>
      <x:c r="K406" s="300"/>
      <x:c r="L406" s="300"/>
      <x:c r="M406" s="300"/>
    </x:row>
    <x:row r="407">
      <x:c r="H407" s="300"/>
      <x:c r="I407" s="300"/>
      <x:c r="J407" s="300"/>
      <x:c r="K407" s="300"/>
      <x:c r="L407" s="300"/>
      <x:c r="M407" s="300"/>
    </x:row>
    <x:row r="408">
      <x:c r="H408" s="300"/>
      <x:c r="I408" s="300"/>
      <x:c r="J408" s="300"/>
      <x:c r="K408" s="300"/>
      <x:c r="L408" s="300"/>
      <x:c r="M408" s="300"/>
    </x:row>
    <x:row r="409">
      <x:c r="H409" s="300"/>
      <x:c r="I409" s="300"/>
      <x:c r="J409" s="300"/>
      <x:c r="K409" s="300"/>
      <x:c r="L409" s="300"/>
      <x:c r="M409" s="300"/>
    </x:row>
    <x:row r="410">
      <x:c r="H410" s="300"/>
      <x:c r="I410" s="300"/>
      <x:c r="J410" s="300"/>
      <x:c r="K410" s="300"/>
      <x:c r="L410" s="300"/>
      <x:c r="M410" s="300"/>
    </x:row>
    <x:row r="411">
      <x:c r="H411" s="300"/>
      <x:c r="I411" s="300"/>
      <x:c r="J411" s="300"/>
      <x:c r="K411" s="300"/>
      <x:c r="L411" s="300"/>
      <x:c r="M411" s="300"/>
    </x:row>
    <x:row r="412">
      <x:c r="H412" s="300"/>
      <x:c r="I412" s="300"/>
      <x:c r="J412" s="300"/>
      <x:c r="K412" s="300"/>
      <x:c r="L412" s="300"/>
      <x:c r="M412" s="300"/>
    </x:row>
    <x:row r="413">
      <x:c r="H413" s="300"/>
      <x:c r="I413" s="300"/>
      <x:c r="J413" s="300"/>
      <x:c r="K413" s="300"/>
      <x:c r="L413" s="300"/>
      <x:c r="M413" s="300"/>
    </x:row>
    <x:row r="414">
      <x:c r="H414" s="300"/>
      <x:c r="I414" s="300"/>
      <x:c r="J414" s="300"/>
      <x:c r="K414" s="300"/>
      <x:c r="L414" s="300"/>
      <x:c r="M414" s="300"/>
    </x:row>
    <x:row r="415">
      <x:c r="H415" s="300"/>
      <x:c r="I415" s="300"/>
      <x:c r="J415" s="300"/>
      <x:c r="K415" s="300"/>
      <x:c r="L415" s="300"/>
      <x:c r="M415" s="300"/>
    </x:row>
    <x:row r="416">
      <x:c r="H416" s="300"/>
      <x:c r="I416" s="300"/>
      <x:c r="J416" s="300"/>
      <x:c r="K416" s="300"/>
      <x:c r="L416" s="300"/>
      <x:c r="M416" s="300"/>
    </x:row>
    <x:row r="417">
      <x:c r="H417" s="300"/>
      <x:c r="I417" s="300"/>
      <x:c r="J417" s="300"/>
      <x:c r="K417" s="300"/>
      <x:c r="L417" s="300"/>
      <x:c r="M417" s="300"/>
    </x:row>
    <x:row r="418">
      <x:c r="H418" s="300"/>
      <x:c r="I418" s="300"/>
      <x:c r="J418" s="300"/>
      <x:c r="K418" s="300"/>
      <x:c r="L418" s="300"/>
      <x:c r="M418" s="300"/>
    </x:row>
    <x:row r="419">
      <x:c r="H419" s="300"/>
      <x:c r="I419" s="300"/>
      <x:c r="J419" s="300"/>
      <x:c r="K419" s="300"/>
      <x:c r="L419" s="300"/>
      <x:c r="M419" s="300"/>
    </x:row>
    <x:row r="420">
      <x:c r="H420" s="300"/>
      <x:c r="I420" s="300"/>
      <x:c r="J420" s="300"/>
      <x:c r="K420" s="300"/>
      <x:c r="L420" s="300"/>
      <x:c r="M420" s="300"/>
    </x:row>
    <x:row r="421">
      <x:c r="H421" s="300"/>
      <x:c r="I421" s="300"/>
      <x:c r="J421" s="300"/>
      <x:c r="K421" s="300"/>
      <x:c r="L421" s="300"/>
      <x:c r="M421" s="300"/>
    </x:row>
    <x:row r="422">
      <x:c r="H422" s="300"/>
      <x:c r="I422" s="300"/>
      <x:c r="J422" s="300"/>
      <x:c r="K422" s="300"/>
      <x:c r="L422" s="300"/>
      <x:c r="M422" s="300"/>
    </x:row>
    <x:row r="423">
      <x:c r="H423" s="300"/>
      <x:c r="I423" s="300"/>
      <x:c r="J423" s="300"/>
      <x:c r="K423" s="300"/>
      <x:c r="L423" s="300"/>
      <x:c r="M423" s="300"/>
    </x:row>
    <x:row r="424">
      <x:c r="H424" s="300"/>
      <x:c r="I424" s="300"/>
      <x:c r="J424" s="300"/>
      <x:c r="K424" s="300"/>
      <x:c r="L424" s="300"/>
      <x:c r="M424" s="300"/>
    </x:row>
    <x:row r="425">
      <x:c r="H425" s="300"/>
      <x:c r="I425" s="300"/>
      <x:c r="J425" s="300"/>
      <x:c r="K425" s="300"/>
      <x:c r="L425" s="300"/>
      <x:c r="M425" s="300"/>
    </x:row>
    <x:row r="426">
      <x:c r="H426" s="300"/>
      <x:c r="I426" s="300"/>
      <x:c r="J426" s="300"/>
      <x:c r="K426" s="300"/>
      <x:c r="L426" s="300"/>
      <x:c r="M426" s="300"/>
    </x:row>
    <x:row r="427">
      <x:c r="H427" s="300"/>
      <x:c r="I427" s="300"/>
      <x:c r="J427" s="300"/>
      <x:c r="K427" s="300"/>
      <x:c r="L427" s="300"/>
      <x:c r="M427" s="300"/>
    </x:row>
    <x:row r="428">
      <x:c r="H428" s="300"/>
      <x:c r="I428" s="300"/>
      <x:c r="J428" s="300"/>
      <x:c r="K428" s="300"/>
      <x:c r="L428" s="300"/>
      <x:c r="M428" s="300"/>
    </x:row>
    <x:row r="429">
      <x:c r="H429" s="300"/>
      <x:c r="I429" s="300"/>
      <x:c r="J429" s="300"/>
      <x:c r="K429" s="300"/>
      <x:c r="L429" s="300"/>
      <x:c r="M429" s="300"/>
    </x:row>
    <x:row r="430">
      <x:c r="H430" s="300"/>
      <x:c r="I430" s="300"/>
      <x:c r="J430" s="300"/>
      <x:c r="K430" s="300"/>
      <x:c r="L430" s="300"/>
      <x:c r="M430" s="300"/>
    </x:row>
    <x:row r="431">
      <x:c r="H431" s="300"/>
      <x:c r="I431" s="300"/>
      <x:c r="J431" s="300"/>
      <x:c r="K431" s="300"/>
      <x:c r="L431" s="300"/>
      <x:c r="M431" s="300"/>
    </x:row>
    <x:row r="432">
      <x:c r="H432" s="300"/>
      <x:c r="I432" s="300"/>
      <x:c r="J432" s="300"/>
      <x:c r="K432" s="300"/>
      <x:c r="L432" s="300"/>
      <x:c r="M432" s="300"/>
    </x:row>
    <x:row r="433">
      <x:c r="H433" s="300"/>
      <x:c r="I433" s="300"/>
      <x:c r="J433" s="300"/>
      <x:c r="K433" s="300"/>
      <x:c r="L433" s="300"/>
      <x:c r="M433" s="300"/>
    </x:row>
    <x:row r="434">
      <x:c r="H434" s="300"/>
      <x:c r="I434" s="300"/>
      <x:c r="J434" s="300"/>
      <x:c r="K434" s="300"/>
      <x:c r="L434" s="300"/>
      <x:c r="M434" s="300"/>
    </x:row>
    <x:row r="435">
      <x:c r="H435" s="300"/>
      <x:c r="I435" s="300"/>
      <x:c r="J435" s="300"/>
      <x:c r="K435" s="300"/>
      <x:c r="L435" s="300"/>
      <x:c r="M435" s="300"/>
    </x:row>
    <x:row r="436">
      <x:c r="H436" s="300"/>
      <x:c r="I436" s="300"/>
      <x:c r="J436" s="300"/>
      <x:c r="K436" s="300"/>
      <x:c r="L436" s="300"/>
      <x:c r="M436" s="300"/>
    </x:row>
    <x:row r="437">
      <x:c r="H437" s="300"/>
      <x:c r="I437" s="300"/>
      <x:c r="J437" s="300"/>
      <x:c r="K437" s="300"/>
      <x:c r="L437" s="300"/>
      <x:c r="M437" s="300"/>
    </x:row>
    <x:row r="438">
      <x:c r="H438" s="300"/>
      <x:c r="I438" s="300"/>
      <x:c r="J438" s="300"/>
      <x:c r="K438" s="300"/>
      <x:c r="L438" s="300"/>
      <x:c r="M438" s="300"/>
    </x:row>
    <x:row r="439">
      <x:c r="H439" s="300"/>
      <x:c r="I439" s="300"/>
      <x:c r="J439" s="300"/>
      <x:c r="K439" s="300"/>
      <x:c r="L439" s="300"/>
      <x:c r="M439" s="300"/>
    </x:row>
    <x:row r="440">
      <x:c r="H440" s="300"/>
      <x:c r="I440" s="300"/>
      <x:c r="J440" s="300"/>
      <x:c r="K440" s="300"/>
      <x:c r="L440" s="300"/>
      <x:c r="M440" s="300"/>
    </x:row>
    <x:row r="441">
      <x:c r="H441" s="300"/>
      <x:c r="I441" s="300"/>
      <x:c r="J441" s="300"/>
      <x:c r="K441" s="300"/>
      <x:c r="L441" s="300"/>
      <x:c r="M441" s="300"/>
    </x:row>
    <x:row r="442">
      <x:c r="H442" s="300"/>
      <x:c r="I442" s="300"/>
      <x:c r="J442" s="300"/>
      <x:c r="K442" s="300"/>
      <x:c r="L442" s="300"/>
      <x:c r="M442" s="300"/>
    </x:row>
    <x:row r="443">
      <x:c r="H443" s="300"/>
      <x:c r="I443" s="300"/>
      <x:c r="J443" s="300"/>
      <x:c r="K443" s="300"/>
      <x:c r="L443" s="300"/>
      <x:c r="M443" s="300"/>
    </x:row>
    <x:row r="444">
      <x:c r="H444" s="300"/>
      <x:c r="I444" s="300"/>
      <x:c r="J444" s="300"/>
      <x:c r="K444" s="300"/>
      <x:c r="L444" s="300"/>
      <x:c r="M444" s="300"/>
    </x:row>
    <x:row r="445">
      <x:c r="H445" s="300"/>
      <x:c r="I445" s="300"/>
      <x:c r="J445" s="300"/>
      <x:c r="K445" s="300"/>
      <x:c r="L445" s="300"/>
      <x:c r="M445" s="300"/>
    </x:row>
    <x:row r="446">
      <x:c r="H446" s="300"/>
      <x:c r="I446" s="300"/>
      <x:c r="J446" s="300"/>
      <x:c r="K446" s="300"/>
      <x:c r="L446" s="300"/>
      <x:c r="M446" s="300"/>
    </x:row>
    <x:row r="447">
      <x:c r="H447" s="300"/>
      <x:c r="I447" s="300"/>
      <x:c r="J447" s="300"/>
      <x:c r="K447" s="300"/>
      <x:c r="L447" s="300"/>
      <x:c r="M447" s="300"/>
    </x:row>
    <x:row r="448">
      <x:c r="H448" s="300"/>
      <x:c r="I448" s="300"/>
      <x:c r="J448" s="300"/>
      <x:c r="K448" s="300"/>
      <x:c r="L448" s="300"/>
      <x:c r="M448" s="300"/>
    </x:row>
    <x:row r="449">
      <x:c r="H449" s="300"/>
      <x:c r="I449" s="300"/>
      <x:c r="J449" s="300"/>
      <x:c r="K449" s="300"/>
      <x:c r="L449" s="300"/>
      <x:c r="M449" s="300"/>
    </x:row>
    <x:row r="450">
      <x:c r="H450" s="300"/>
      <x:c r="I450" s="300"/>
      <x:c r="J450" s="300"/>
      <x:c r="K450" s="300"/>
      <x:c r="L450" s="300"/>
      <x:c r="M450" s="300"/>
    </x:row>
    <x:row r="451">
      <x:c r="H451" s="300"/>
      <x:c r="I451" s="300"/>
      <x:c r="J451" s="300"/>
      <x:c r="K451" s="300"/>
      <x:c r="L451" s="300"/>
      <x:c r="M451" s="300"/>
    </x:row>
    <x:row r="452">
      <x:c r="H452" s="300"/>
      <x:c r="I452" s="300"/>
      <x:c r="J452" s="300"/>
      <x:c r="K452" s="300"/>
      <x:c r="L452" s="300"/>
      <x:c r="M452" s="300"/>
    </x:row>
    <x:row r="453">
      <x:c r="H453" s="300"/>
      <x:c r="I453" s="300"/>
      <x:c r="J453" s="300"/>
      <x:c r="K453" s="300"/>
      <x:c r="L453" s="300"/>
      <x:c r="M453" s="300"/>
    </x:row>
    <x:row r="454">
      <x:c r="H454" s="300"/>
      <x:c r="I454" s="300"/>
      <x:c r="J454" s="300"/>
      <x:c r="K454" s="300"/>
      <x:c r="L454" s="300"/>
      <x:c r="M454" s="300"/>
    </x:row>
    <x:row r="455">
      <x:c r="H455" s="300"/>
      <x:c r="I455" s="300"/>
      <x:c r="J455" s="300"/>
      <x:c r="K455" s="300"/>
      <x:c r="L455" s="300"/>
      <x:c r="M455" s="300"/>
    </x:row>
    <x:row r="456">
      <x:c r="H456" s="300"/>
      <x:c r="I456" s="300"/>
      <x:c r="J456" s="300"/>
      <x:c r="K456" s="300"/>
      <x:c r="L456" s="300"/>
      <x:c r="M456" s="300"/>
    </x:row>
    <x:row r="457">
      <x:c r="H457" s="300"/>
      <x:c r="I457" s="300"/>
      <x:c r="J457" s="300"/>
      <x:c r="K457" s="300"/>
      <x:c r="L457" s="300"/>
      <x:c r="M457" s="300"/>
    </x:row>
    <x:row r="458">
      <x:c r="H458" s="300"/>
      <x:c r="I458" s="300"/>
      <x:c r="J458" s="300"/>
      <x:c r="K458" s="300"/>
      <x:c r="L458" s="300"/>
      <x:c r="M458" s="300"/>
    </x:row>
    <x:row r="459">
      <x:c r="H459" s="300"/>
      <x:c r="I459" s="300"/>
      <x:c r="J459" s="300"/>
      <x:c r="K459" s="300"/>
      <x:c r="L459" s="300"/>
      <x:c r="M459" s="300"/>
    </x:row>
    <x:row r="460">
      <x:c r="H460" s="300"/>
      <x:c r="I460" s="300"/>
      <x:c r="J460" s="300"/>
      <x:c r="K460" s="300"/>
      <x:c r="L460" s="300"/>
      <x:c r="M460" s="300"/>
    </x:row>
    <x:row r="461">
      <x:c r="H461" s="300"/>
      <x:c r="I461" s="300"/>
      <x:c r="J461" s="300"/>
      <x:c r="K461" s="300"/>
      <x:c r="L461" s="300"/>
      <x:c r="M461" s="300"/>
    </x:row>
    <x:row r="462">
      <x:c r="H462" s="300"/>
      <x:c r="I462" s="300"/>
      <x:c r="J462" s="300"/>
      <x:c r="K462" s="300"/>
      <x:c r="L462" s="300"/>
      <x:c r="M462" s="300"/>
    </x:row>
    <x:row r="463">
      <x:c r="H463" s="300"/>
      <x:c r="I463" s="300"/>
      <x:c r="J463" s="300"/>
      <x:c r="K463" s="300"/>
      <x:c r="L463" s="300"/>
      <x:c r="M463" s="300"/>
    </x:row>
    <x:row r="464">
      <x:c r="H464" s="300"/>
      <x:c r="I464" s="300"/>
      <x:c r="J464" s="300"/>
      <x:c r="K464" s="300"/>
      <x:c r="L464" s="300"/>
      <x:c r="M464" s="300"/>
    </x:row>
    <x:row r="465">
      <x:c r="H465" s="300"/>
      <x:c r="I465" s="300"/>
      <x:c r="J465" s="300"/>
      <x:c r="K465" s="300"/>
      <x:c r="L465" s="300"/>
      <x:c r="M465" s="300"/>
    </x:row>
    <x:row r="466">
      <x:c r="H466" s="300"/>
      <x:c r="I466" s="300"/>
      <x:c r="J466" s="300"/>
      <x:c r="K466" s="300"/>
      <x:c r="L466" s="300"/>
      <x:c r="M466" s="300"/>
    </x:row>
    <x:row r="467">
      <x:c r="H467" s="300"/>
      <x:c r="I467" s="300"/>
      <x:c r="J467" s="300"/>
      <x:c r="K467" s="300"/>
      <x:c r="L467" s="300"/>
      <x:c r="M467" s="300"/>
    </x:row>
    <x:row r="468">
      <x:c r="H468" s="300"/>
      <x:c r="I468" s="300"/>
      <x:c r="J468" s="300"/>
      <x:c r="K468" s="300"/>
      <x:c r="L468" s="300"/>
      <x:c r="M468" s="300"/>
    </x:row>
    <x:row r="469">
      <x:c r="H469" s="300"/>
      <x:c r="I469" s="300"/>
      <x:c r="J469" s="300"/>
      <x:c r="K469" s="300"/>
      <x:c r="L469" s="300"/>
      <x:c r="M469" s="300"/>
    </x:row>
    <x:row r="470">
      <x:c r="H470" s="300"/>
      <x:c r="I470" s="300"/>
      <x:c r="J470" s="300"/>
      <x:c r="K470" s="300"/>
      <x:c r="L470" s="300"/>
      <x:c r="M470" s="300"/>
    </x:row>
    <x:row r="471">
      <x:c r="H471" s="300"/>
      <x:c r="I471" s="300"/>
      <x:c r="J471" s="300"/>
      <x:c r="K471" s="300"/>
      <x:c r="L471" s="300"/>
      <x:c r="M471" s="300"/>
    </x:row>
    <x:row r="472">
      <x:c r="H472" s="300"/>
      <x:c r="I472" s="300"/>
      <x:c r="J472" s="300"/>
      <x:c r="K472" s="300"/>
      <x:c r="L472" s="300"/>
      <x:c r="M472" s="300"/>
    </x:row>
    <x:row r="473">
      <x:c r="H473" s="300"/>
      <x:c r="I473" s="300"/>
      <x:c r="J473" s="300"/>
      <x:c r="K473" s="300"/>
      <x:c r="L473" s="300"/>
      <x:c r="M473" s="300"/>
    </x:row>
    <x:row r="474">
      <x:c r="H474" s="300"/>
      <x:c r="I474" s="300"/>
      <x:c r="J474" s="300"/>
      <x:c r="K474" s="300"/>
      <x:c r="L474" s="300"/>
      <x:c r="M474" s="300"/>
    </x:row>
    <x:row r="475">
      <x:c r="H475" s="300"/>
      <x:c r="I475" s="300"/>
      <x:c r="J475" s="300"/>
      <x:c r="K475" s="300"/>
      <x:c r="L475" s="300"/>
      <x:c r="M475" s="300"/>
    </x:row>
    <x:row r="476">
      <x:c r="H476" s="300"/>
      <x:c r="I476" s="300"/>
      <x:c r="J476" s="300"/>
      <x:c r="K476" s="300"/>
      <x:c r="L476" s="300"/>
      <x:c r="M476" s="300"/>
    </x:row>
    <x:row r="477">
      <x:c r="H477" s="300"/>
      <x:c r="I477" s="300"/>
      <x:c r="J477" s="300"/>
      <x:c r="K477" s="300"/>
      <x:c r="L477" s="300"/>
      <x:c r="M477" s="300"/>
    </x:row>
    <x:row r="478">
      <x:c r="H478" s="300"/>
      <x:c r="I478" s="300"/>
      <x:c r="J478" s="300"/>
      <x:c r="K478" s="300"/>
      <x:c r="L478" s="300"/>
      <x:c r="M478" s="300"/>
    </x:row>
    <x:row r="479">
      <x:c r="H479" s="300"/>
      <x:c r="I479" s="300"/>
      <x:c r="J479" s="300"/>
      <x:c r="K479" s="300"/>
      <x:c r="L479" s="300"/>
      <x:c r="M479" s="300"/>
    </x:row>
    <x:row r="480">
      <x:c r="H480" s="300"/>
      <x:c r="I480" s="300"/>
      <x:c r="J480" s="300"/>
      <x:c r="K480" s="300"/>
      <x:c r="L480" s="300"/>
      <x:c r="M480" s="300"/>
    </x:row>
    <x:row r="481">
      <x:c r="H481" s="300"/>
      <x:c r="I481" s="300"/>
      <x:c r="J481" s="300"/>
      <x:c r="K481" s="300"/>
      <x:c r="L481" s="300"/>
      <x:c r="M481" s="300"/>
    </x:row>
    <x:row r="482">
      <x:c r="H482" s="300"/>
      <x:c r="I482" s="300"/>
      <x:c r="J482" s="300"/>
      <x:c r="K482" s="300"/>
      <x:c r="L482" s="300"/>
      <x:c r="M482" s="300"/>
    </x:row>
    <x:row r="483">
      <x:c r="H483" s="300"/>
      <x:c r="I483" s="300"/>
      <x:c r="J483" s="300"/>
      <x:c r="K483" s="300"/>
      <x:c r="L483" s="300"/>
      <x:c r="M483" s="300"/>
    </x:row>
    <x:row r="484">
      <x:c r="H484" s="300"/>
      <x:c r="I484" s="300"/>
      <x:c r="J484" s="300"/>
      <x:c r="K484" s="300"/>
      <x:c r="L484" s="300"/>
      <x:c r="M484" s="300"/>
    </x:row>
    <x:row r="485">
      <x:c r="H485" s="300"/>
      <x:c r="I485" s="300"/>
      <x:c r="J485" s="300"/>
      <x:c r="K485" s="300"/>
      <x:c r="L485" s="300"/>
      <x:c r="M485" s="300"/>
    </x:row>
    <x:row r="486">
      <x:c r="H486" s="300"/>
      <x:c r="I486" s="300"/>
      <x:c r="J486" s="300"/>
      <x:c r="K486" s="300"/>
      <x:c r="L486" s="300"/>
      <x:c r="M486" s="300"/>
    </x:row>
    <x:row r="487">
      <x:c r="H487" s="300"/>
      <x:c r="I487" s="300"/>
      <x:c r="J487" s="300"/>
      <x:c r="K487" s="300"/>
      <x:c r="L487" s="300"/>
      <x:c r="M487" s="300"/>
    </x:row>
    <x:row r="488">
      <x:c r="H488" s="300"/>
      <x:c r="I488" s="300"/>
      <x:c r="J488" s="300"/>
      <x:c r="K488" s="300"/>
      <x:c r="L488" s="300"/>
      <x:c r="M488" s="300"/>
    </x:row>
    <x:row r="489">
      <x:c r="H489" s="300"/>
      <x:c r="I489" s="300"/>
      <x:c r="J489" s="300"/>
      <x:c r="K489" s="300"/>
      <x:c r="L489" s="300"/>
      <x:c r="M489" s="300"/>
    </x:row>
    <x:row r="490">
      <x:c r="H490" s="300"/>
      <x:c r="I490" s="300"/>
      <x:c r="J490" s="300"/>
      <x:c r="K490" s="300"/>
      <x:c r="L490" s="300"/>
      <x:c r="M490" s="300"/>
    </x:row>
    <x:row r="491">
      <x:c r="H491" s="300"/>
      <x:c r="I491" s="300"/>
      <x:c r="J491" s="300"/>
      <x:c r="K491" s="300"/>
      <x:c r="L491" s="300"/>
      <x:c r="M491" s="300"/>
    </x:row>
    <x:row r="492">
      <x:c r="H492" s="300"/>
      <x:c r="I492" s="300"/>
      <x:c r="J492" s="300"/>
      <x:c r="K492" s="300"/>
      <x:c r="L492" s="300"/>
      <x:c r="M492" s="300"/>
    </x:row>
    <x:row r="493">
      <x:c r="H493" s="300"/>
      <x:c r="I493" s="300"/>
      <x:c r="J493" s="300"/>
      <x:c r="K493" s="300"/>
      <x:c r="L493" s="300"/>
      <x:c r="M493" s="300"/>
    </x:row>
    <x:row r="494">
      <x:c r="H494" s="300"/>
      <x:c r="I494" s="300"/>
      <x:c r="J494" s="300"/>
      <x:c r="K494" s="300"/>
      <x:c r="L494" s="300"/>
      <x:c r="M494" s="300"/>
    </x:row>
    <x:row r="495">
      <x:c r="H495" s="300"/>
      <x:c r="I495" s="300"/>
      <x:c r="J495" s="300"/>
      <x:c r="K495" s="300"/>
      <x:c r="L495" s="300"/>
      <x:c r="M495" s="300"/>
    </x:row>
    <x:row r="496">
      <x:c r="H496" s="300"/>
      <x:c r="I496" s="300"/>
      <x:c r="J496" s="300"/>
      <x:c r="K496" s="300"/>
      <x:c r="L496" s="300"/>
      <x:c r="M496" s="300"/>
    </x:row>
    <x:row r="497">
      <x:c r="H497" s="300"/>
      <x:c r="I497" s="300"/>
      <x:c r="J497" s="300"/>
      <x:c r="K497" s="300"/>
      <x:c r="L497" s="300"/>
      <x:c r="M497" s="300"/>
    </x:row>
    <x:row r="498">
      <x:c r="H498" s="300"/>
      <x:c r="I498" s="300"/>
      <x:c r="J498" s="300"/>
      <x:c r="K498" s="300"/>
      <x:c r="L498" s="300"/>
      <x:c r="M498" s="300"/>
    </x:row>
    <x:row r="499">
      <x:c r="H499" s="300"/>
      <x:c r="I499" s="300"/>
      <x:c r="J499" s="300"/>
      <x:c r="K499" s="300"/>
      <x:c r="L499" s="300"/>
      <x:c r="M499" s="300"/>
    </x:row>
    <x:row r="500">
      <x:c r="H500" s="300"/>
      <x:c r="I500" s="300"/>
      <x:c r="J500" s="300"/>
      <x:c r="K500" s="300"/>
      <x:c r="L500" s="300"/>
      <x:c r="M500" s="300"/>
    </x:row>
    <x:row r="501">
      <x:c r="H501" s="300"/>
      <x:c r="I501" s="300"/>
      <x:c r="J501" s="300"/>
      <x:c r="K501" s="300"/>
      <x:c r="L501" s="300"/>
      <x:c r="M501" s="300"/>
    </x:row>
    <x:row r="502">
      <x:c r="H502" s="300"/>
      <x:c r="I502" s="300"/>
      <x:c r="J502" s="300"/>
      <x:c r="K502" s="300"/>
      <x:c r="L502" s="300"/>
      <x:c r="M502" s="300"/>
    </x:row>
    <x:row r="503">
      <x:c r="H503" s="300"/>
      <x:c r="I503" s="300"/>
      <x:c r="J503" s="300"/>
      <x:c r="K503" s="300"/>
      <x:c r="L503" s="300"/>
      <x:c r="M503" s="300"/>
    </x:row>
    <x:row r="504">
      <x:c r="H504" s="300"/>
      <x:c r="I504" s="300"/>
      <x:c r="J504" s="300"/>
      <x:c r="K504" s="300"/>
      <x:c r="L504" s="300"/>
      <x:c r="M504" s="300"/>
    </x:row>
    <x:row r="505">
      <x:c r="H505" s="300"/>
      <x:c r="I505" s="300"/>
      <x:c r="J505" s="300"/>
      <x:c r="K505" s="300"/>
      <x:c r="L505" s="300"/>
      <x:c r="M505" s="300"/>
    </x:row>
    <x:row r="506">
      <x:c r="H506" s="300"/>
      <x:c r="I506" s="300"/>
      <x:c r="J506" s="300"/>
      <x:c r="K506" s="300"/>
      <x:c r="L506" s="300"/>
      <x:c r="M506" s="300"/>
    </x:row>
    <x:row r="507">
      <x:c r="H507" s="300"/>
      <x:c r="I507" s="300"/>
      <x:c r="J507" s="300"/>
      <x:c r="K507" s="300"/>
      <x:c r="L507" s="300"/>
      <x:c r="M507" s="300"/>
    </x:row>
    <x:row r="508">
      <x:c r="H508" s="300"/>
      <x:c r="I508" s="300"/>
      <x:c r="J508" s="300"/>
      <x:c r="K508" s="300"/>
      <x:c r="L508" s="300"/>
      <x:c r="M508" s="300"/>
    </x:row>
    <x:row r="509">
      <x:c r="H509" s="300"/>
      <x:c r="I509" s="300"/>
      <x:c r="J509" s="300"/>
      <x:c r="K509" s="300"/>
      <x:c r="L509" s="300"/>
      <x:c r="M509" s="300"/>
    </x:row>
    <x:row r="510">
      <x:c r="H510" s="300"/>
      <x:c r="I510" s="300"/>
      <x:c r="J510" s="300"/>
      <x:c r="K510" s="300"/>
      <x:c r="L510" s="300"/>
      <x:c r="M510" s="300"/>
    </x:row>
    <x:row r="511">
      <x:c r="H511" s="300"/>
      <x:c r="I511" s="300"/>
      <x:c r="J511" s="300"/>
      <x:c r="K511" s="300"/>
      <x:c r="L511" s="300"/>
      <x:c r="M511" s="300"/>
    </x:row>
    <x:row r="512">
      <x:c r="H512" s="300"/>
      <x:c r="I512" s="300"/>
      <x:c r="J512" s="300"/>
      <x:c r="K512" s="300"/>
      <x:c r="L512" s="300"/>
      <x:c r="M512" s="300"/>
    </x:row>
    <x:row r="513">
      <x:c r="H513" s="300"/>
      <x:c r="I513" s="300"/>
      <x:c r="J513" s="300"/>
      <x:c r="K513" s="300"/>
      <x:c r="L513" s="300"/>
      <x:c r="M513" s="300"/>
    </x:row>
    <x:row r="514">
      <x:c r="H514" s="300"/>
      <x:c r="I514" s="300"/>
      <x:c r="J514" s="300"/>
      <x:c r="K514" s="300"/>
      <x:c r="L514" s="300"/>
      <x:c r="M514" s="300"/>
    </x:row>
    <x:row r="515">
      <x:c r="H515" s="300"/>
      <x:c r="I515" s="300"/>
      <x:c r="J515" s="300"/>
      <x:c r="K515" s="300"/>
      <x:c r="L515" s="300"/>
      <x:c r="M515" s="300"/>
    </x:row>
    <x:row r="516">
      <x:c r="H516" s="300"/>
      <x:c r="I516" s="300"/>
      <x:c r="J516" s="300"/>
      <x:c r="K516" s="300"/>
      <x:c r="L516" s="300"/>
      <x:c r="M516" s="300"/>
    </x:row>
    <x:row r="517">
      <x:c r="H517" s="300"/>
      <x:c r="I517" s="300"/>
      <x:c r="J517" s="300"/>
      <x:c r="K517" s="300"/>
      <x:c r="L517" s="300"/>
      <x:c r="M517" s="300"/>
    </x:row>
    <x:row r="518">
      <x:c r="H518" s="300"/>
      <x:c r="I518" s="300"/>
      <x:c r="J518" s="300"/>
      <x:c r="K518" s="300"/>
      <x:c r="L518" s="300"/>
      <x:c r="M518" s="300"/>
    </x:row>
    <x:row r="519">
      <x:c r="H519" s="300"/>
      <x:c r="I519" s="300"/>
      <x:c r="J519" s="300"/>
      <x:c r="K519" s="300"/>
      <x:c r="L519" s="300"/>
      <x:c r="M519" s="300"/>
    </x:row>
    <x:row r="520">
      <x:c r="H520" s="300"/>
      <x:c r="I520" s="300"/>
      <x:c r="J520" s="300"/>
      <x:c r="K520" s="300"/>
      <x:c r="L520" s="300"/>
      <x:c r="M520" s="300"/>
    </x:row>
    <x:row r="521">
      <x:c r="H521" s="300"/>
      <x:c r="I521" s="300"/>
      <x:c r="J521" s="300"/>
      <x:c r="K521" s="300"/>
      <x:c r="L521" s="300"/>
      <x:c r="M521" s="300"/>
    </x:row>
    <x:row r="522">
      <x:c r="H522" s="300"/>
      <x:c r="I522" s="300"/>
      <x:c r="J522" s="300"/>
      <x:c r="K522" s="300"/>
      <x:c r="L522" s="300"/>
      <x:c r="M522" s="300"/>
    </x:row>
    <x:row r="523">
      <x:c r="H523" s="300"/>
      <x:c r="I523" s="300"/>
      <x:c r="J523" s="300"/>
      <x:c r="K523" s="300"/>
      <x:c r="L523" s="300"/>
      <x:c r="M523" s="300"/>
    </x:row>
    <x:row r="524">
      <x:c r="H524" s="300"/>
      <x:c r="I524" s="300"/>
      <x:c r="J524" s="300"/>
      <x:c r="K524" s="300"/>
      <x:c r="L524" s="300"/>
      <x:c r="M524" s="300"/>
    </x:row>
    <x:row r="525">
      <x:c r="H525" s="300"/>
      <x:c r="I525" s="300"/>
      <x:c r="J525" s="300"/>
      <x:c r="K525" s="300"/>
      <x:c r="L525" s="300"/>
      <x:c r="M525" s="300"/>
    </x:row>
    <x:row r="526">
      <x:c r="H526" s="300"/>
      <x:c r="I526" s="300"/>
      <x:c r="J526" s="300"/>
      <x:c r="K526" s="300"/>
      <x:c r="L526" s="300"/>
      <x:c r="M526" s="300"/>
    </x:row>
    <x:row r="527">
      <x:c r="H527" s="300"/>
      <x:c r="I527" s="300"/>
      <x:c r="J527" s="300"/>
      <x:c r="K527" s="300"/>
      <x:c r="L527" s="300"/>
      <x:c r="M527" s="300"/>
    </x:row>
    <x:row r="528">
      <x:c r="H528" s="300"/>
      <x:c r="I528" s="300"/>
      <x:c r="J528" s="300"/>
      <x:c r="K528" s="300"/>
      <x:c r="L528" s="300"/>
      <x:c r="M528" s="300"/>
    </x:row>
    <x:row r="529">
      <x:c r="H529" s="300"/>
      <x:c r="I529" s="300"/>
      <x:c r="J529" s="300"/>
      <x:c r="K529" s="300"/>
      <x:c r="L529" s="300"/>
      <x:c r="M529" s="300"/>
    </x:row>
    <x:row r="530">
      <x:c r="H530" s="300"/>
      <x:c r="I530" s="300"/>
      <x:c r="J530" s="300"/>
      <x:c r="K530" s="300"/>
      <x:c r="L530" s="300"/>
      <x:c r="M530" s="300"/>
    </x:row>
    <x:row r="531">
      <x:c r="H531" s="300"/>
      <x:c r="I531" s="300"/>
      <x:c r="J531" s="300"/>
      <x:c r="K531" s="300"/>
      <x:c r="L531" s="300"/>
      <x:c r="M531" s="300"/>
    </x:row>
    <x:row r="532">
      <x:c r="H532" s="300"/>
      <x:c r="I532" s="300"/>
      <x:c r="J532" s="300"/>
      <x:c r="K532" s="300"/>
      <x:c r="L532" s="300"/>
      <x:c r="M532" s="300"/>
    </x:row>
    <x:row r="533">
      <x:c r="H533" s="300"/>
      <x:c r="I533" s="300"/>
      <x:c r="J533" s="300"/>
      <x:c r="K533" s="300"/>
      <x:c r="L533" s="300"/>
      <x:c r="M533" s="300"/>
    </x:row>
    <x:row r="534">
      <x:c r="H534" s="300"/>
      <x:c r="I534" s="300"/>
      <x:c r="J534" s="300"/>
      <x:c r="K534" s="300"/>
      <x:c r="L534" s="300"/>
      <x:c r="M534" s="300"/>
    </x:row>
    <x:row r="535">
      <x:c r="H535" s="300"/>
      <x:c r="I535" s="300"/>
      <x:c r="J535" s="300"/>
      <x:c r="K535" s="300"/>
      <x:c r="L535" s="300"/>
      <x:c r="M535" s="300"/>
    </x:row>
    <x:row r="536">
      <x:c r="H536" s="300"/>
      <x:c r="I536" s="300"/>
      <x:c r="J536" s="300"/>
      <x:c r="K536" s="300"/>
      <x:c r="L536" s="300"/>
      <x:c r="M536" s="300"/>
    </x:row>
    <x:row r="537">
      <x:c r="H537" s="300"/>
      <x:c r="I537" s="300"/>
      <x:c r="J537" s="300"/>
      <x:c r="K537" s="300"/>
      <x:c r="L537" s="300"/>
      <x:c r="M537" s="300"/>
    </x:row>
    <x:row r="538">
      <x:c r="H538" s="300"/>
      <x:c r="I538" s="300"/>
      <x:c r="J538" s="300"/>
      <x:c r="K538" s="300"/>
      <x:c r="L538" s="300"/>
      <x:c r="M538" s="300"/>
    </x:row>
    <x:row r="539">
      <x:c r="H539" s="300"/>
      <x:c r="I539" s="300"/>
      <x:c r="J539" s="300"/>
      <x:c r="K539" s="300"/>
      <x:c r="L539" s="300"/>
      <x:c r="M539" s="300"/>
    </x:row>
    <x:row r="540">
      <x:c r="H540" s="300"/>
      <x:c r="I540" s="300"/>
      <x:c r="J540" s="300"/>
      <x:c r="K540" s="300"/>
      <x:c r="L540" s="300"/>
      <x:c r="M540" s="300"/>
    </x:row>
    <x:row r="541">
      <x:c r="H541" s="300"/>
      <x:c r="I541" s="300"/>
      <x:c r="J541" s="300"/>
      <x:c r="K541" s="300"/>
      <x:c r="L541" s="300"/>
      <x:c r="M541" s="300"/>
    </x:row>
    <x:row r="542">
      <x:c r="H542" s="300"/>
      <x:c r="I542" s="300"/>
      <x:c r="J542" s="300"/>
      <x:c r="K542" s="300"/>
      <x:c r="L542" s="300"/>
      <x:c r="M542" s="300"/>
    </x:row>
    <x:row r="543">
      <x:c r="H543" s="300"/>
      <x:c r="I543" s="300"/>
      <x:c r="J543" s="300"/>
      <x:c r="K543" s="300"/>
      <x:c r="L543" s="300"/>
      <x:c r="M543" s="300"/>
    </x:row>
    <x:row r="544">
      <x:c r="H544" s="300"/>
      <x:c r="I544" s="300"/>
      <x:c r="J544" s="300"/>
      <x:c r="K544" s="300"/>
      <x:c r="L544" s="300"/>
      <x:c r="M544" s="300"/>
    </x:row>
    <x:row r="545">
      <x:c r="H545" s="300"/>
      <x:c r="I545" s="300"/>
      <x:c r="J545" s="300"/>
      <x:c r="K545" s="300"/>
      <x:c r="L545" s="300"/>
      <x:c r="M545" s="300"/>
    </x:row>
    <x:row r="546">
      <x:c r="H546" s="300"/>
      <x:c r="I546" s="300"/>
      <x:c r="J546" s="300"/>
      <x:c r="K546" s="300"/>
      <x:c r="L546" s="300"/>
      <x:c r="M546" s="300"/>
    </x:row>
    <x:row r="547">
      <x:c r="H547" s="300"/>
      <x:c r="I547" s="300"/>
      <x:c r="J547" s="300"/>
      <x:c r="K547" s="300"/>
      <x:c r="L547" s="300"/>
      <x:c r="M547" s="300"/>
    </x:row>
    <x:row r="548">
      <x:c r="H548" s="300"/>
      <x:c r="I548" s="300"/>
      <x:c r="J548" s="300"/>
      <x:c r="K548" s="300"/>
      <x:c r="L548" s="300"/>
      <x:c r="M548" s="300"/>
    </x:row>
    <x:row r="549">
      <x:c r="H549" s="300"/>
      <x:c r="I549" s="300"/>
      <x:c r="J549" s="300"/>
      <x:c r="K549" s="300"/>
      <x:c r="L549" s="300"/>
      <x:c r="M549" s="300"/>
    </x:row>
    <x:row r="550">
      <x:c r="H550" s="300"/>
      <x:c r="I550" s="300"/>
      <x:c r="J550" s="300"/>
      <x:c r="K550" s="300"/>
      <x:c r="L550" s="300"/>
      <x:c r="M550" s="300"/>
    </x:row>
    <x:row r="551">
      <x:c r="H551" s="300"/>
      <x:c r="I551" s="300"/>
      <x:c r="J551" s="300"/>
      <x:c r="K551" s="300"/>
      <x:c r="L551" s="300"/>
      <x:c r="M551" s="300"/>
    </x:row>
    <x:row r="552">
      <x:c r="H552" s="300"/>
      <x:c r="I552" s="300"/>
      <x:c r="J552" s="300"/>
      <x:c r="K552" s="300"/>
      <x:c r="L552" s="300"/>
      <x:c r="M552" s="300"/>
    </x:row>
    <x:row r="553">
      <x:c r="H553" s="300"/>
      <x:c r="I553" s="300"/>
      <x:c r="J553" s="300"/>
      <x:c r="K553" s="300"/>
      <x:c r="L553" s="300"/>
      <x:c r="M553" s="300"/>
    </x:row>
    <x:row r="554">
      <x:c r="H554" s="300"/>
      <x:c r="I554" s="300"/>
      <x:c r="J554" s="300"/>
      <x:c r="K554" s="300"/>
      <x:c r="L554" s="300"/>
      <x:c r="M554" s="300"/>
    </x:row>
    <x:row r="555">
      <x:c r="H555" s="300"/>
      <x:c r="I555" s="300"/>
      <x:c r="J555" s="300"/>
      <x:c r="K555" s="300"/>
      <x:c r="L555" s="300"/>
      <x:c r="M555" s="300"/>
    </x:row>
    <x:row r="556">
      <x:c r="H556" s="300"/>
      <x:c r="I556" s="300"/>
      <x:c r="J556" s="300"/>
      <x:c r="K556" s="300"/>
      <x:c r="L556" s="300"/>
      <x:c r="M556" s="300"/>
    </x:row>
    <x:row r="557">
      <x:c r="H557" s="300"/>
      <x:c r="I557" s="300"/>
      <x:c r="J557" s="300"/>
      <x:c r="K557" s="300"/>
      <x:c r="L557" s="300"/>
      <x:c r="M557" s="300"/>
    </x:row>
    <x:row r="558">
      <x:c r="H558" s="300"/>
      <x:c r="I558" s="300"/>
      <x:c r="J558" s="300"/>
      <x:c r="K558" s="300"/>
      <x:c r="L558" s="300"/>
      <x:c r="M558" s="300"/>
    </x:row>
    <x:row r="559">
      <x:c r="H559" s="300"/>
      <x:c r="I559" s="300"/>
      <x:c r="J559" s="300"/>
      <x:c r="K559" s="300"/>
      <x:c r="L559" s="300"/>
      <x:c r="M559" s="300"/>
    </x:row>
    <x:row r="560">
      <x:c r="H560" s="300"/>
      <x:c r="I560" s="300"/>
      <x:c r="J560" s="300"/>
      <x:c r="K560" s="300"/>
      <x:c r="L560" s="300"/>
      <x:c r="M560" s="300"/>
    </x:row>
    <x:row r="561">
      <x:c r="H561" s="300"/>
      <x:c r="I561" s="300"/>
      <x:c r="J561" s="300"/>
      <x:c r="K561" s="300"/>
      <x:c r="L561" s="300"/>
      <x:c r="M561" s="300"/>
    </x:row>
    <x:row r="562">
      <x:c r="H562" s="300"/>
      <x:c r="I562" s="300"/>
      <x:c r="J562" s="300"/>
      <x:c r="K562" s="300"/>
      <x:c r="L562" s="300"/>
      <x:c r="M562" s="300"/>
    </x:row>
    <x:row r="563">
      <x:c r="H563" s="300"/>
      <x:c r="I563" s="300"/>
      <x:c r="J563" s="300"/>
      <x:c r="K563" s="300"/>
      <x:c r="L563" s="300"/>
      <x:c r="M563" s="300"/>
    </x:row>
    <x:row r="564">
      <x:c r="H564" s="300"/>
      <x:c r="I564" s="300"/>
      <x:c r="J564" s="300"/>
      <x:c r="K564" s="300"/>
      <x:c r="L564" s="300"/>
      <x:c r="M564" s="300"/>
    </x:row>
    <x:row r="565">
      <x:c r="H565" s="300"/>
      <x:c r="I565" s="300"/>
      <x:c r="J565" s="300"/>
      <x:c r="K565" s="300"/>
      <x:c r="L565" s="300"/>
      <x:c r="M565" s="300"/>
    </x:row>
    <x:row r="566">
      <x:c r="H566" s="300"/>
      <x:c r="I566" s="300"/>
      <x:c r="J566" s="300"/>
      <x:c r="K566" s="300"/>
      <x:c r="L566" s="300"/>
      <x:c r="M566" s="300"/>
    </x:row>
    <x:row r="567">
      <x:c r="H567" s="300"/>
      <x:c r="I567" s="300"/>
      <x:c r="J567" s="300"/>
      <x:c r="K567" s="300"/>
      <x:c r="L567" s="300"/>
      <x:c r="M567" s="300"/>
    </x:row>
    <x:row r="568">
      <x:c r="H568" s="300"/>
      <x:c r="I568" s="300"/>
      <x:c r="J568" s="300"/>
      <x:c r="K568" s="300"/>
      <x:c r="L568" s="300"/>
      <x:c r="M568" s="300"/>
    </x:row>
    <x:row r="569">
      <x:c r="H569" s="300"/>
      <x:c r="I569" s="300"/>
      <x:c r="J569" s="300"/>
      <x:c r="K569" s="300"/>
      <x:c r="L569" s="300"/>
      <x:c r="M569" s="300"/>
    </x:row>
    <x:row r="570">
      <x:c r="H570" s="300"/>
      <x:c r="I570" s="300"/>
      <x:c r="J570" s="300"/>
      <x:c r="K570" s="300"/>
      <x:c r="L570" s="300"/>
      <x:c r="M570" s="300"/>
    </x:row>
    <x:row r="571">
      <x:c r="H571" s="300"/>
      <x:c r="I571" s="300"/>
      <x:c r="J571" s="300"/>
      <x:c r="K571" s="300"/>
      <x:c r="L571" s="300"/>
      <x:c r="M571" s="300"/>
    </x:row>
    <x:row r="572">
      <x:c r="H572" s="300"/>
      <x:c r="I572" s="300"/>
      <x:c r="J572" s="300"/>
      <x:c r="K572" s="300"/>
      <x:c r="L572" s="300"/>
      <x:c r="M572" s="300"/>
    </x:row>
    <x:row r="573">
      <x:c r="H573" s="300"/>
      <x:c r="I573" s="300"/>
      <x:c r="J573" s="300"/>
      <x:c r="K573" s="300"/>
      <x:c r="L573" s="300"/>
      <x:c r="M573" s="300"/>
    </x:row>
    <x:row r="574">
      <x:c r="H574" s="300"/>
      <x:c r="I574" s="300"/>
      <x:c r="J574" s="300"/>
      <x:c r="K574" s="300"/>
      <x:c r="L574" s="300"/>
      <x:c r="M574" s="300"/>
    </x:row>
    <x:row r="575">
      <x:c r="H575" s="300"/>
      <x:c r="I575" s="300"/>
      <x:c r="J575" s="300"/>
      <x:c r="K575" s="300"/>
      <x:c r="L575" s="300"/>
      <x:c r="M575" s="300"/>
    </x:row>
    <x:row r="576">
      <x:c r="H576" s="300"/>
      <x:c r="I576" s="300"/>
      <x:c r="J576" s="300"/>
      <x:c r="K576" s="300"/>
      <x:c r="L576" s="300"/>
      <x:c r="M576" s="300"/>
    </x:row>
    <x:row r="577">
      <x:c r="H577" s="300"/>
      <x:c r="I577" s="300"/>
      <x:c r="J577" s="300"/>
      <x:c r="K577" s="300"/>
      <x:c r="L577" s="300"/>
      <x:c r="M577" s="300"/>
    </x:row>
    <x:row r="578">
      <x:c r="H578" s="300"/>
      <x:c r="I578" s="300"/>
      <x:c r="J578" s="300"/>
      <x:c r="K578" s="300"/>
      <x:c r="L578" s="300"/>
      <x:c r="M578" s="300"/>
    </x:row>
    <x:row r="579">
      <x:c r="H579" s="300"/>
      <x:c r="I579" s="300"/>
      <x:c r="J579" s="300"/>
      <x:c r="K579" s="300"/>
      <x:c r="L579" s="300"/>
      <x:c r="M579" s="300"/>
    </x:row>
    <x:row r="580">
      <x:c r="H580" s="300"/>
      <x:c r="I580" s="300"/>
      <x:c r="J580" s="300"/>
      <x:c r="K580" s="300"/>
      <x:c r="L580" s="300"/>
      <x:c r="M580" s="300"/>
    </x:row>
    <x:row r="581">
      <x:c r="H581" s="300"/>
      <x:c r="I581" s="300"/>
      <x:c r="J581" s="300"/>
      <x:c r="K581" s="300"/>
      <x:c r="L581" s="300"/>
      <x:c r="M581" s="300"/>
    </x:row>
    <x:row r="582">
      <x:c r="H582" s="300"/>
      <x:c r="I582" s="300"/>
      <x:c r="J582" s="300"/>
      <x:c r="K582" s="300"/>
      <x:c r="L582" s="300"/>
      <x:c r="M582" s="300"/>
    </x:row>
    <x:row r="583">
      <x:c r="H583" s="300"/>
      <x:c r="I583" s="300"/>
      <x:c r="J583" s="300"/>
      <x:c r="K583" s="300"/>
      <x:c r="L583" s="300"/>
      <x:c r="M583" s="300"/>
    </x:row>
    <x:row r="584">
      <x:c r="H584" s="300"/>
      <x:c r="I584" s="300"/>
      <x:c r="J584" s="300"/>
      <x:c r="K584" s="300"/>
      <x:c r="L584" s="300"/>
      <x:c r="M584" s="300"/>
    </x:row>
    <x:row r="585">
      <x:c r="H585" s="300"/>
      <x:c r="I585" s="300"/>
      <x:c r="J585" s="300"/>
      <x:c r="K585" s="300"/>
      <x:c r="L585" s="300"/>
      <x:c r="M585" s="300"/>
    </x:row>
    <x:row r="586">
      <x:c r="H586" s="300"/>
      <x:c r="I586" s="300"/>
      <x:c r="J586" s="300"/>
      <x:c r="K586" s="300"/>
      <x:c r="L586" s="300"/>
      <x:c r="M586" s="300"/>
    </x:row>
    <x:row r="587">
      <x:c r="H587" s="300"/>
      <x:c r="I587" s="300"/>
      <x:c r="J587" s="300"/>
      <x:c r="K587" s="300"/>
      <x:c r="L587" s="300"/>
      <x:c r="M587" s="300"/>
    </x:row>
    <x:row r="588">
      <x:c r="H588" s="300"/>
      <x:c r="I588" s="300"/>
      <x:c r="J588" s="300"/>
      <x:c r="K588" s="300"/>
      <x:c r="L588" s="300"/>
      <x:c r="M588" s="300"/>
    </x:row>
    <x:row r="589">
      <x:c r="H589" s="300"/>
      <x:c r="I589" s="300"/>
      <x:c r="J589" s="300"/>
      <x:c r="K589" s="300"/>
      <x:c r="L589" s="300"/>
      <x:c r="M589" s="300"/>
    </x:row>
    <x:row r="590">
      <x:c r="H590" s="300"/>
      <x:c r="I590" s="300"/>
      <x:c r="J590" s="300"/>
      <x:c r="K590" s="300"/>
      <x:c r="L590" s="300"/>
      <x:c r="M590" s="300"/>
    </x:row>
    <x:row r="591">
      <x:c r="H591" s="300"/>
      <x:c r="I591" s="300"/>
      <x:c r="J591" s="300"/>
      <x:c r="K591" s="300"/>
      <x:c r="L591" s="300"/>
      <x:c r="M591" s="300"/>
    </x:row>
    <x:row r="592">
      <x:c r="H592" s="300"/>
      <x:c r="I592" s="300"/>
      <x:c r="J592" s="300"/>
      <x:c r="K592" s="300"/>
      <x:c r="L592" s="300"/>
      <x:c r="M592" s="300"/>
    </x:row>
    <x:row r="593">
      <x:c r="H593" s="300"/>
      <x:c r="I593" s="300"/>
      <x:c r="J593" s="300"/>
      <x:c r="K593" s="300"/>
      <x:c r="L593" s="300"/>
      <x:c r="M593" s="300"/>
    </x:row>
    <x:row r="594">
      <x:c r="H594" s="300"/>
      <x:c r="I594" s="300"/>
      <x:c r="J594" s="300"/>
      <x:c r="K594" s="300"/>
      <x:c r="L594" s="300"/>
      <x:c r="M594" s="300"/>
    </x:row>
    <x:row r="595">
      <x:c r="H595" s="300"/>
      <x:c r="I595" s="300"/>
      <x:c r="J595" s="300"/>
      <x:c r="K595" s="300"/>
      <x:c r="L595" s="300"/>
      <x:c r="M595" s="300"/>
    </x:row>
    <x:row r="596">
      <x:c r="H596" s="300"/>
      <x:c r="I596" s="300"/>
      <x:c r="J596" s="300"/>
      <x:c r="K596" s="300"/>
      <x:c r="L596" s="300"/>
      <x:c r="M596" s="300"/>
    </x:row>
    <x:row r="597">
      <x:c r="H597" s="300"/>
      <x:c r="I597" s="300"/>
      <x:c r="J597" s="300"/>
      <x:c r="K597" s="300"/>
      <x:c r="L597" s="300"/>
      <x:c r="M597" s="300"/>
    </x:row>
    <x:row r="598">
      <x:c r="H598" s="300"/>
      <x:c r="I598" s="300"/>
      <x:c r="J598" s="300"/>
      <x:c r="K598" s="300"/>
      <x:c r="L598" s="300"/>
      <x:c r="M598" s="300"/>
    </x:row>
    <x:row r="599">
      <x:c r="H599" s="300"/>
      <x:c r="I599" s="300"/>
      <x:c r="J599" s="300"/>
      <x:c r="K599" s="300"/>
      <x:c r="L599" s="300"/>
      <x:c r="M599" s="300"/>
    </x:row>
    <x:row r="600">
      <x:c r="H600" s="300"/>
      <x:c r="I600" s="300"/>
      <x:c r="J600" s="300"/>
      <x:c r="K600" s="300"/>
      <x:c r="L600" s="300"/>
      <x:c r="M600" s="300"/>
    </x:row>
    <x:row r="601">
      <x:c r="H601" s="300"/>
      <x:c r="I601" s="300"/>
      <x:c r="J601" s="300"/>
      <x:c r="K601" s="300"/>
      <x:c r="L601" s="300"/>
      <x:c r="M601" s="300"/>
    </x:row>
    <x:row r="602">
      <x:c r="H602" s="300"/>
      <x:c r="I602" s="300"/>
      <x:c r="J602" s="300"/>
      <x:c r="K602" s="300"/>
      <x:c r="L602" s="300"/>
      <x:c r="M602" s="300"/>
    </x:row>
    <x:row r="603">
      <x:c r="H603" s="300"/>
      <x:c r="I603" s="300"/>
      <x:c r="J603" s="300"/>
      <x:c r="K603" s="300"/>
      <x:c r="L603" s="300"/>
      <x:c r="M603" s="300"/>
    </x:row>
    <x:row r="604">
      <x:c r="H604" s="300"/>
      <x:c r="I604" s="300"/>
      <x:c r="J604" s="300"/>
      <x:c r="K604" s="300"/>
      <x:c r="L604" s="300"/>
      <x:c r="M604" s="300"/>
    </x:row>
    <x:row r="605">
      <x:c r="H605" s="300"/>
      <x:c r="I605" s="300"/>
      <x:c r="J605" s="300"/>
      <x:c r="K605" s="300"/>
      <x:c r="L605" s="300"/>
      <x:c r="M605" s="300"/>
    </x:row>
    <x:row r="606">
      <x:c r="H606" s="300"/>
      <x:c r="I606" s="300"/>
      <x:c r="J606" s="300"/>
      <x:c r="K606" s="300"/>
      <x:c r="L606" s="300"/>
      <x:c r="M606" s="300"/>
    </x:row>
    <x:row r="607">
      <x:c r="H607" s="300"/>
      <x:c r="I607" s="300"/>
      <x:c r="J607" s="300"/>
      <x:c r="K607" s="300"/>
      <x:c r="L607" s="300"/>
      <x:c r="M607" s="300"/>
    </x:row>
    <x:row r="608">
      <x:c r="H608" s="300"/>
      <x:c r="I608" s="300"/>
      <x:c r="J608" s="300"/>
      <x:c r="K608" s="300"/>
      <x:c r="L608" s="300"/>
      <x:c r="M608" s="300"/>
    </x:row>
    <x:row r="609">
      <x:c r="H609" s="300"/>
      <x:c r="I609" s="300"/>
      <x:c r="J609" s="300"/>
      <x:c r="K609" s="300"/>
      <x:c r="L609" s="300"/>
      <x:c r="M609" s="300"/>
    </x:row>
    <x:row r="610">
      <x:c r="H610" s="300"/>
      <x:c r="I610" s="300"/>
      <x:c r="J610" s="300"/>
      <x:c r="K610" s="300"/>
      <x:c r="L610" s="300"/>
      <x:c r="M610" s="300"/>
    </x:row>
    <x:row r="611">
      <x:c r="H611" s="300"/>
      <x:c r="I611" s="300"/>
      <x:c r="J611" s="300"/>
      <x:c r="K611" s="300"/>
      <x:c r="L611" s="300"/>
      <x:c r="M611" s="300"/>
    </x:row>
    <x:row r="612">
      <x:c r="H612" s="300"/>
      <x:c r="I612" s="300"/>
      <x:c r="J612" s="300"/>
      <x:c r="K612" s="300"/>
      <x:c r="L612" s="300"/>
      <x:c r="M612" s="300"/>
    </x:row>
    <x:row r="613">
      <x:c r="H613" s="300"/>
      <x:c r="I613" s="300"/>
      <x:c r="J613" s="300"/>
      <x:c r="K613" s="300"/>
      <x:c r="L613" s="300"/>
      <x:c r="M613" s="300"/>
    </x:row>
    <x:row r="614">
      <x:c r="H614" s="300"/>
      <x:c r="I614" s="300"/>
      <x:c r="J614" s="300"/>
      <x:c r="K614" s="300"/>
      <x:c r="L614" s="300"/>
      <x:c r="M614" s="300"/>
    </x:row>
    <x:row r="615">
      <x:c r="H615" s="300"/>
      <x:c r="I615" s="300"/>
      <x:c r="J615" s="300"/>
      <x:c r="K615" s="300"/>
      <x:c r="L615" s="300"/>
      <x:c r="M615" s="300"/>
    </x:row>
    <x:row r="616">
      <x:c r="H616" s="300"/>
      <x:c r="I616" s="300"/>
      <x:c r="J616" s="300"/>
      <x:c r="K616" s="300"/>
      <x:c r="L616" s="300"/>
      <x:c r="M616" s="300"/>
    </x:row>
    <x:row r="617">
      <x:c r="H617" s="300"/>
      <x:c r="I617" s="300"/>
      <x:c r="J617" s="300"/>
      <x:c r="K617" s="300"/>
      <x:c r="L617" s="300"/>
      <x:c r="M617" s="300"/>
    </x:row>
    <x:row r="618">
      <x:c r="H618" s="300"/>
      <x:c r="I618" s="300"/>
      <x:c r="J618" s="300"/>
      <x:c r="K618" s="300"/>
      <x:c r="L618" s="300"/>
      <x:c r="M618" s="300"/>
    </x:row>
    <x:row r="619">
      <x:c r="H619" s="300"/>
      <x:c r="I619" s="300"/>
      <x:c r="J619" s="300"/>
      <x:c r="K619" s="300"/>
      <x:c r="L619" s="300"/>
      <x:c r="M619" s="300"/>
    </x:row>
    <x:row r="620">
      <x:c r="H620" s="300"/>
      <x:c r="I620" s="300"/>
      <x:c r="J620" s="300"/>
      <x:c r="K620" s="300"/>
      <x:c r="L620" s="300"/>
      <x:c r="M620" s="300"/>
    </x:row>
    <x:row r="621">
      <x:c r="H621" s="300"/>
      <x:c r="I621" s="300"/>
      <x:c r="J621" s="300"/>
      <x:c r="K621" s="300"/>
      <x:c r="L621" s="300"/>
      <x:c r="M621" s="300"/>
    </x:row>
    <x:row r="622">
      <x:c r="H622" s="300"/>
      <x:c r="I622" s="300"/>
      <x:c r="J622" s="300"/>
      <x:c r="K622" s="300"/>
      <x:c r="L622" s="300"/>
      <x:c r="M622" s="300"/>
    </x:row>
    <x:row r="623">
      <x:c r="H623" s="300"/>
      <x:c r="I623" s="300"/>
      <x:c r="J623" s="300"/>
      <x:c r="K623" s="300"/>
      <x:c r="L623" s="300"/>
      <x:c r="M623" s="300"/>
    </x:row>
    <x:row r="624">
      <x:c r="H624" s="300"/>
      <x:c r="I624" s="300"/>
      <x:c r="J624" s="300"/>
      <x:c r="K624" s="300"/>
      <x:c r="L624" s="300"/>
      <x:c r="M624" s="300"/>
    </x:row>
    <x:row r="625">
      <x:c r="H625" s="300"/>
      <x:c r="I625" s="300"/>
      <x:c r="J625" s="300"/>
      <x:c r="K625" s="300"/>
      <x:c r="L625" s="300"/>
      <x:c r="M625" s="300"/>
    </x:row>
    <x:row r="626">
      <x:c r="H626" s="300"/>
      <x:c r="I626" s="300"/>
      <x:c r="J626" s="300"/>
      <x:c r="K626" s="300"/>
      <x:c r="L626" s="300"/>
      <x:c r="M626" s="300"/>
    </x:row>
    <x:row r="627">
      <x:c r="H627" s="300"/>
      <x:c r="I627" s="300"/>
      <x:c r="J627" s="300"/>
      <x:c r="K627" s="300"/>
      <x:c r="L627" s="300"/>
      <x:c r="M627" s="300"/>
    </x:row>
    <x:row r="628">
      <x:c r="H628" s="300"/>
      <x:c r="I628" s="300"/>
      <x:c r="J628" s="300"/>
      <x:c r="K628" s="300"/>
      <x:c r="L628" s="300"/>
      <x:c r="M628" s="300"/>
    </x:row>
    <x:row r="629">
      <x:c r="H629" s="300"/>
      <x:c r="I629" s="300"/>
      <x:c r="J629" s="300"/>
      <x:c r="K629" s="300"/>
      <x:c r="L629" s="300"/>
      <x:c r="M629" s="300"/>
    </x:row>
    <x:row r="630">
      <x:c r="H630" s="300"/>
      <x:c r="I630" s="300"/>
      <x:c r="J630" s="300"/>
      <x:c r="K630" s="300"/>
      <x:c r="L630" s="300"/>
      <x:c r="M630" s="300"/>
    </x:row>
    <x:row r="631">
      <x:c r="H631" s="300"/>
      <x:c r="I631" s="300"/>
      <x:c r="J631" s="300"/>
      <x:c r="K631" s="300"/>
      <x:c r="L631" s="300"/>
      <x:c r="M631" s="300"/>
    </x:row>
    <x:row r="632">
      <x:c r="H632" s="300"/>
      <x:c r="I632" s="300"/>
      <x:c r="J632" s="300"/>
      <x:c r="K632" s="300"/>
      <x:c r="L632" s="300"/>
      <x:c r="M632" s="300"/>
    </x:row>
    <x:row r="633">
      <x:c r="H633" s="300"/>
      <x:c r="I633" s="300"/>
      <x:c r="J633" s="300"/>
      <x:c r="K633" s="300"/>
      <x:c r="L633" s="300"/>
      <x:c r="M633" s="300"/>
    </x:row>
    <x:row r="634">
      <x:c r="H634" s="300"/>
      <x:c r="I634" s="300"/>
      <x:c r="J634" s="300"/>
      <x:c r="K634" s="300"/>
      <x:c r="L634" s="300"/>
      <x:c r="M634" s="300"/>
    </x:row>
    <x:row r="635">
      <x:c r="H635" s="300"/>
      <x:c r="I635" s="300"/>
      <x:c r="J635" s="300"/>
      <x:c r="K635" s="300"/>
      <x:c r="L635" s="300"/>
      <x:c r="M635" s="300"/>
    </x:row>
    <x:row r="636">
      <x:c r="H636" s="300"/>
      <x:c r="I636" s="300"/>
      <x:c r="J636" s="300"/>
      <x:c r="K636" s="300"/>
      <x:c r="L636" s="300"/>
      <x:c r="M636" s="300"/>
    </x:row>
    <x:row r="637">
      <x:c r="H637" s="300"/>
      <x:c r="I637" s="300"/>
      <x:c r="J637" s="300"/>
      <x:c r="K637" s="300"/>
      <x:c r="L637" s="300"/>
      <x:c r="M637" s="300"/>
    </x:row>
    <x:row r="638">
      <x:c r="H638" s="300"/>
      <x:c r="I638" s="300"/>
      <x:c r="J638" s="300"/>
      <x:c r="K638" s="300"/>
      <x:c r="L638" s="300"/>
      <x:c r="M638" s="300"/>
    </x:row>
    <x:row r="639">
      <x:c r="H639" s="300"/>
      <x:c r="I639" s="300"/>
      <x:c r="J639" s="300"/>
      <x:c r="K639" s="300"/>
      <x:c r="L639" s="300"/>
      <x:c r="M639" s="300"/>
    </x:row>
    <x:row r="640">
      <x:c r="H640" s="300"/>
      <x:c r="I640" s="300"/>
      <x:c r="J640" s="300"/>
      <x:c r="K640" s="300"/>
      <x:c r="L640" s="300"/>
      <x:c r="M640" s="300"/>
    </x:row>
    <x:row r="641">
      <x:c r="H641" s="300"/>
      <x:c r="I641" s="300"/>
      <x:c r="J641" s="300"/>
      <x:c r="K641" s="300"/>
      <x:c r="L641" s="300"/>
      <x:c r="M641" s="300"/>
    </x:row>
    <x:row r="642">
      <x:c r="H642" s="300"/>
      <x:c r="I642" s="300"/>
      <x:c r="J642" s="300"/>
      <x:c r="K642" s="300"/>
      <x:c r="L642" s="300"/>
      <x:c r="M642" s="300"/>
    </x:row>
    <x:row r="643">
      <x:c r="H643" s="300"/>
      <x:c r="I643" s="300"/>
      <x:c r="J643" s="300"/>
      <x:c r="K643" s="300"/>
      <x:c r="L643" s="300"/>
      <x:c r="M643" s="300"/>
    </x:row>
    <x:row r="644">
      <x:c r="H644" s="300"/>
      <x:c r="I644" s="300"/>
      <x:c r="J644" s="300"/>
      <x:c r="K644" s="300"/>
      <x:c r="L644" s="300"/>
      <x:c r="M644" s="300"/>
    </x:row>
    <x:row r="645">
      <x:c r="H645" s="300"/>
      <x:c r="I645" s="300"/>
      <x:c r="J645" s="300"/>
      <x:c r="K645" s="300"/>
      <x:c r="L645" s="300"/>
      <x:c r="M645" s="300"/>
    </x:row>
    <x:row r="646">
      <x:c r="H646" s="300"/>
      <x:c r="I646" s="300"/>
      <x:c r="J646" s="300"/>
      <x:c r="K646" s="300"/>
      <x:c r="L646" s="300"/>
      <x:c r="M646" s="300"/>
    </x:row>
    <x:row r="647">
      <x:c r="H647" s="300"/>
      <x:c r="I647" s="300"/>
      <x:c r="J647" s="300"/>
      <x:c r="K647" s="300"/>
      <x:c r="L647" s="300"/>
      <x:c r="M647" s="300"/>
    </x:row>
    <x:row r="648">
      <x:c r="H648" s="300"/>
      <x:c r="I648" s="300"/>
      <x:c r="J648" s="300"/>
      <x:c r="K648" s="300"/>
      <x:c r="L648" s="300"/>
      <x:c r="M648" s="300"/>
    </x:row>
    <x:row r="649">
      <x:c r="H649" s="300"/>
      <x:c r="I649" s="300"/>
      <x:c r="J649" s="300"/>
      <x:c r="K649" s="300"/>
      <x:c r="L649" s="300"/>
      <x:c r="M649" s="300"/>
    </x:row>
    <x:row r="650">
      <x:c r="H650" s="300"/>
      <x:c r="I650" s="300"/>
      <x:c r="J650" s="300"/>
      <x:c r="K650" s="300"/>
      <x:c r="L650" s="300"/>
      <x:c r="M650" s="300"/>
    </x:row>
    <x:row r="651">
      <x:c r="H651" s="300"/>
      <x:c r="I651" s="300"/>
      <x:c r="J651" s="300"/>
      <x:c r="K651" s="300"/>
      <x:c r="L651" s="300"/>
      <x:c r="M651" s="300"/>
    </x:row>
    <x:row r="652">
      <x:c r="H652" s="300"/>
      <x:c r="I652" s="300"/>
      <x:c r="J652" s="300"/>
      <x:c r="K652" s="300"/>
      <x:c r="L652" s="300"/>
      <x:c r="M652" s="300"/>
    </x:row>
    <x:row r="653">
      <x:c r="H653" s="300"/>
      <x:c r="I653" s="300"/>
      <x:c r="J653" s="300"/>
      <x:c r="K653" s="300"/>
      <x:c r="L653" s="300"/>
      <x:c r="M653" s="300"/>
    </x:row>
    <x:row r="654">
      <x:c r="H654" s="300"/>
      <x:c r="I654" s="300"/>
      <x:c r="J654" s="300"/>
      <x:c r="K654" s="300"/>
      <x:c r="L654" s="300"/>
      <x:c r="M654" s="300"/>
    </x:row>
    <x:row r="655">
      <x:c r="H655" s="300"/>
      <x:c r="I655" s="300"/>
      <x:c r="J655" s="300"/>
      <x:c r="K655" s="300"/>
      <x:c r="L655" s="300"/>
      <x:c r="M655" s="300"/>
    </x:row>
    <x:row r="656">
      <x:c r="H656" s="300"/>
      <x:c r="I656" s="300"/>
      <x:c r="J656" s="300"/>
      <x:c r="K656" s="300"/>
      <x:c r="L656" s="300"/>
      <x:c r="M656" s="300"/>
    </x:row>
    <x:row r="657">
      <x:c r="H657" s="300"/>
      <x:c r="I657" s="300"/>
      <x:c r="J657" s="300"/>
      <x:c r="K657" s="300"/>
      <x:c r="L657" s="300"/>
      <x:c r="M657" s="300"/>
    </x:row>
    <x:row r="658">
      <x:c r="H658" s="300"/>
      <x:c r="I658" s="300"/>
      <x:c r="J658" s="300"/>
      <x:c r="K658" s="300"/>
      <x:c r="L658" s="300"/>
      <x:c r="M658" s="300"/>
    </x:row>
    <x:row r="659">
      <x:c r="H659" s="300"/>
      <x:c r="I659" s="300"/>
      <x:c r="J659" s="300"/>
      <x:c r="K659" s="300"/>
      <x:c r="L659" s="300"/>
      <x:c r="M659" s="300"/>
    </x:row>
    <x:row r="660">
      <x:c r="H660" s="300"/>
      <x:c r="I660" s="300"/>
      <x:c r="J660" s="300"/>
      <x:c r="K660" s="300"/>
      <x:c r="L660" s="300"/>
      <x:c r="M660" s="300"/>
    </x:row>
    <x:row r="661">
      <x:c r="H661" s="300"/>
      <x:c r="I661" s="300"/>
      <x:c r="J661" s="300"/>
      <x:c r="K661" s="300"/>
      <x:c r="L661" s="300"/>
      <x:c r="M661" s="300"/>
    </x:row>
    <x:row r="662">
      <x:c r="H662" s="300"/>
      <x:c r="I662" s="300"/>
      <x:c r="J662" s="300"/>
      <x:c r="K662" s="300"/>
      <x:c r="L662" s="300"/>
      <x:c r="M662" s="300"/>
    </x:row>
    <x:row r="663">
      <x:c r="H663" s="300"/>
      <x:c r="I663" s="300"/>
      <x:c r="J663" s="300"/>
      <x:c r="K663" s="300"/>
      <x:c r="L663" s="300"/>
      <x:c r="M663" s="300"/>
    </x:row>
    <x:row r="664">
      <x:c r="H664" s="300"/>
      <x:c r="I664" s="300"/>
      <x:c r="J664" s="300"/>
      <x:c r="K664" s="300"/>
      <x:c r="L664" s="300"/>
      <x:c r="M664" s="300"/>
    </x:row>
    <x:row r="665">
      <x:c r="H665" s="300"/>
      <x:c r="I665" s="300"/>
      <x:c r="J665" s="300"/>
      <x:c r="K665" s="300"/>
      <x:c r="L665" s="300"/>
      <x:c r="M665" s="300"/>
    </x:row>
    <x:row r="666">
      <x:c r="H666" s="300"/>
      <x:c r="I666" s="300"/>
      <x:c r="J666" s="300"/>
      <x:c r="K666" s="300"/>
      <x:c r="L666" s="300"/>
      <x:c r="M666" s="300"/>
    </x:row>
    <x:row r="667">
      <x:c r="H667" s="300"/>
      <x:c r="I667" s="300"/>
      <x:c r="J667" s="300"/>
      <x:c r="K667" s="300"/>
      <x:c r="L667" s="300"/>
      <x:c r="M667" s="300"/>
    </x:row>
    <x:row r="668">
      <x:c r="H668" s="300"/>
      <x:c r="I668" s="300"/>
      <x:c r="J668" s="300"/>
      <x:c r="K668" s="300"/>
      <x:c r="L668" s="300"/>
      <x:c r="M668" s="300"/>
    </x:row>
    <x:row r="669">
      <x:c r="H669" s="300"/>
      <x:c r="I669" s="300"/>
      <x:c r="J669" s="300"/>
      <x:c r="K669" s="300"/>
      <x:c r="L669" s="300"/>
      <x:c r="M669" s="300"/>
    </x:row>
    <x:row r="670">
      <x:c r="H670" s="300"/>
      <x:c r="I670" s="300"/>
      <x:c r="J670" s="300"/>
      <x:c r="K670" s="300"/>
      <x:c r="L670" s="300"/>
      <x:c r="M670" s="300"/>
    </x:row>
    <x:row r="671">
      <x:c r="H671" s="300"/>
      <x:c r="I671" s="300"/>
      <x:c r="J671" s="300"/>
      <x:c r="K671" s="300"/>
      <x:c r="L671" s="300"/>
      <x:c r="M671" s="300"/>
    </x:row>
    <x:row r="672">
      <x:c r="H672" s="300"/>
      <x:c r="I672" s="300"/>
      <x:c r="J672" s="300"/>
      <x:c r="K672" s="300"/>
      <x:c r="L672" s="300"/>
      <x:c r="M672" s="300"/>
    </x:row>
    <x:row r="673">
      <x:c r="H673" s="300"/>
      <x:c r="I673" s="300"/>
      <x:c r="J673" s="300"/>
      <x:c r="K673" s="300"/>
      <x:c r="L673" s="300"/>
      <x:c r="M673" s="300"/>
    </x:row>
    <x:row r="674">
      <x:c r="H674" s="300"/>
      <x:c r="I674" s="300"/>
      <x:c r="J674" s="300"/>
      <x:c r="K674" s="300"/>
      <x:c r="L674" s="300"/>
      <x:c r="M674" s="300"/>
    </x:row>
    <x:row r="675">
      <x:c r="H675" s="300"/>
      <x:c r="I675" s="300"/>
      <x:c r="J675" s="300"/>
      <x:c r="K675" s="300"/>
      <x:c r="L675" s="300"/>
      <x:c r="M675" s="300"/>
    </x:row>
    <x:row r="676">
      <x:c r="H676" s="300"/>
      <x:c r="I676" s="300"/>
      <x:c r="J676" s="300"/>
      <x:c r="K676" s="300"/>
      <x:c r="L676" s="300"/>
      <x:c r="M676" s="300"/>
    </x:row>
    <x:row r="677">
      <x:c r="H677" s="300"/>
      <x:c r="I677" s="300"/>
      <x:c r="J677" s="300"/>
      <x:c r="K677" s="300"/>
      <x:c r="L677" s="300"/>
      <x:c r="M677" s="300"/>
    </x:row>
    <x:row r="678">
      <x:c r="H678" s="300"/>
      <x:c r="I678" s="300"/>
      <x:c r="J678" s="300"/>
      <x:c r="K678" s="300"/>
      <x:c r="L678" s="300"/>
      <x:c r="M678" s="300"/>
    </x:row>
    <x:row r="679">
      <x:c r="H679" s="300"/>
      <x:c r="I679" s="300"/>
      <x:c r="J679" s="300"/>
      <x:c r="K679" s="300"/>
      <x:c r="L679" s="300"/>
      <x:c r="M679" s="300"/>
    </x:row>
    <x:row r="680">
      <x:c r="H680" s="300"/>
      <x:c r="I680" s="300"/>
      <x:c r="J680" s="300"/>
      <x:c r="K680" s="300"/>
      <x:c r="L680" s="300"/>
      <x:c r="M680" s="300"/>
    </x:row>
    <x:row r="681">
      <x:c r="H681" s="300"/>
      <x:c r="I681" s="300"/>
      <x:c r="J681" s="300"/>
      <x:c r="K681" s="300"/>
      <x:c r="L681" s="300"/>
      <x:c r="M681" s="300"/>
    </x:row>
    <x:row r="682">
      <x:c r="H682" s="300"/>
      <x:c r="I682" s="300"/>
      <x:c r="J682" s="300"/>
      <x:c r="K682" s="300"/>
      <x:c r="L682" s="300"/>
      <x:c r="M682" s="300"/>
    </x:row>
    <x:row r="683">
      <x:c r="H683" s="300"/>
      <x:c r="I683" s="300"/>
      <x:c r="J683" s="300"/>
      <x:c r="K683" s="300"/>
      <x:c r="L683" s="300"/>
      <x:c r="M683" s="300"/>
    </x:row>
    <x:row r="684">
      <x:c r="H684" s="300"/>
      <x:c r="I684" s="300"/>
      <x:c r="J684" s="300"/>
      <x:c r="K684" s="300"/>
      <x:c r="L684" s="300"/>
      <x:c r="M684" s="300"/>
    </x:row>
    <x:row r="685">
      <x:c r="H685" s="300"/>
      <x:c r="I685" s="300"/>
      <x:c r="J685" s="300"/>
      <x:c r="K685" s="300"/>
      <x:c r="L685" s="300"/>
      <x:c r="M685" s="300"/>
    </x:row>
    <x:row r="686">
      <x:c r="H686" s="300"/>
      <x:c r="I686" s="300"/>
      <x:c r="J686" s="300"/>
      <x:c r="K686" s="300"/>
      <x:c r="L686" s="300"/>
      <x:c r="M686" s="300"/>
    </x:row>
    <x:row r="687">
      <x:c r="H687" s="300"/>
      <x:c r="I687" s="300"/>
      <x:c r="J687" s="300"/>
      <x:c r="K687" s="300"/>
      <x:c r="L687" s="300"/>
      <x:c r="M687" s="300"/>
    </x:row>
    <x:row r="688">
      <x:c r="H688" s="300"/>
      <x:c r="I688" s="300"/>
      <x:c r="J688" s="300"/>
      <x:c r="K688" s="300"/>
      <x:c r="L688" s="300"/>
      <x:c r="M688" s="300"/>
    </x:row>
    <x:row r="689">
      <x:c r="H689" s="300"/>
      <x:c r="I689" s="300"/>
      <x:c r="J689" s="300"/>
      <x:c r="K689" s="300"/>
      <x:c r="L689" s="300"/>
      <x:c r="M689" s="300"/>
    </x:row>
    <x:row r="690">
      <x:c r="H690" s="300"/>
      <x:c r="I690" s="300"/>
      <x:c r="J690" s="300"/>
      <x:c r="K690" s="300"/>
      <x:c r="L690" s="300"/>
      <x:c r="M690" s="300"/>
    </x:row>
    <x:row r="691">
      <x:c r="H691" s="300"/>
      <x:c r="I691" s="300"/>
      <x:c r="J691" s="300"/>
      <x:c r="K691" s="300"/>
      <x:c r="L691" s="300"/>
      <x:c r="M691" s="300"/>
    </x:row>
    <x:row r="692">
      <x:c r="H692" s="300"/>
      <x:c r="I692" s="300"/>
      <x:c r="J692" s="300"/>
      <x:c r="K692" s="300"/>
      <x:c r="L692" s="300"/>
      <x:c r="M692" s="300"/>
    </x:row>
    <x:row r="693">
      <x:c r="H693" s="300"/>
      <x:c r="I693" s="300"/>
      <x:c r="J693" s="300"/>
      <x:c r="K693" s="300"/>
      <x:c r="L693" s="300"/>
      <x:c r="M693" s="300"/>
    </x:row>
    <x:row r="694">
      <x:c r="H694" s="300"/>
      <x:c r="I694" s="300"/>
      <x:c r="J694" s="300"/>
      <x:c r="K694" s="300"/>
      <x:c r="L694" s="300"/>
      <x:c r="M694" s="300"/>
    </x:row>
    <x:row r="695">
      <x:c r="H695" s="300"/>
      <x:c r="I695" s="300"/>
      <x:c r="J695" s="300"/>
      <x:c r="K695" s="300"/>
      <x:c r="L695" s="300"/>
      <x:c r="M695" s="300"/>
    </x:row>
    <x:row r="696">
      <x:c r="H696" s="300"/>
      <x:c r="I696" s="300"/>
      <x:c r="J696" s="300"/>
      <x:c r="K696" s="300"/>
      <x:c r="L696" s="300"/>
      <x:c r="M696" s="300"/>
    </x:row>
    <x:row r="697">
      <x:c r="H697" s="300"/>
      <x:c r="I697" s="300"/>
      <x:c r="J697" s="300"/>
      <x:c r="K697" s="300"/>
      <x:c r="L697" s="300"/>
      <x:c r="M697" s="300"/>
    </x:row>
    <x:row r="698">
      <x:c r="H698" s="300"/>
      <x:c r="I698" s="300"/>
      <x:c r="J698" s="300"/>
      <x:c r="K698" s="300"/>
      <x:c r="L698" s="300"/>
      <x:c r="M698" s="300"/>
    </x:row>
    <x:row r="699">
      <x:c r="H699" s="300"/>
      <x:c r="I699" s="300"/>
      <x:c r="J699" s="300"/>
      <x:c r="K699" s="300"/>
      <x:c r="L699" s="300"/>
      <x:c r="M699" s="300"/>
    </x:row>
    <x:row r="700">
      <x:c r="H700" s="300"/>
      <x:c r="I700" s="300"/>
      <x:c r="J700" s="300"/>
      <x:c r="K700" s="300"/>
      <x:c r="L700" s="300"/>
      <x:c r="M700" s="300"/>
    </x:row>
    <x:row r="701">
      <x:c r="H701" s="300"/>
      <x:c r="I701" s="300"/>
      <x:c r="J701" s="300"/>
      <x:c r="K701" s="300"/>
      <x:c r="L701" s="300"/>
      <x:c r="M701" s="300"/>
    </x:row>
    <x:row r="702">
      <x:c r="H702" s="300"/>
      <x:c r="I702" s="300"/>
      <x:c r="J702" s="300"/>
      <x:c r="K702" s="300"/>
      <x:c r="L702" s="300"/>
      <x:c r="M702" s="300"/>
    </x:row>
    <x:row r="703">
      <x:c r="H703" s="300"/>
      <x:c r="I703" s="300"/>
      <x:c r="J703" s="300"/>
      <x:c r="K703" s="300"/>
      <x:c r="L703" s="300"/>
      <x:c r="M703" s="300"/>
    </x:row>
    <x:row r="704">
      <x:c r="H704" s="300"/>
      <x:c r="I704" s="300"/>
      <x:c r="J704" s="300"/>
      <x:c r="K704" s="300"/>
      <x:c r="L704" s="300"/>
      <x:c r="M704" s="300"/>
    </x:row>
    <x:row r="705">
      <x:c r="H705" s="300"/>
      <x:c r="I705" s="300"/>
      <x:c r="J705" s="300"/>
      <x:c r="K705" s="300"/>
      <x:c r="L705" s="300"/>
      <x:c r="M705" s="300"/>
    </x:row>
    <x:row r="706">
      <x:c r="H706" s="300"/>
      <x:c r="I706" s="300"/>
      <x:c r="J706" s="300"/>
      <x:c r="K706" s="300"/>
      <x:c r="L706" s="300"/>
      <x:c r="M706" s="300"/>
    </x:row>
    <x:row r="707">
      <x:c r="H707" s="300"/>
      <x:c r="I707" s="300"/>
      <x:c r="J707" s="300"/>
      <x:c r="K707" s="300"/>
      <x:c r="L707" s="300"/>
      <x:c r="M707" s="300"/>
    </x:row>
    <x:row r="708">
      <x:c r="H708" s="300"/>
      <x:c r="I708" s="300"/>
      <x:c r="J708" s="300"/>
      <x:c r="K708" s="300"/>
      <x:c r="L708" s="300"/>
      <x:c r="M708" s="300"/>
    </x:row>
    <x:row r="709">
      <x:c r="H709" s="300"/>
      <x:c r="I709" s="300"/>
      <x:c r="J709" s="300"/>
      <x:c r="K709" s="300"/>
      <x:c r="L709" s="300"/>
      <x:c r="M709" s="300"/>
    </x:row>
    <x:row r="710">
      <x:c r="H710" s="300"/>
      <x:c r="I710" s="300"/>
      <x:c r="J710" s="300"/>
      <x:c r="K710" s="300"/>
      <x:c r="L710" s="300"/>
      <x:c r="M710" s="300"/>
    </x:row>
    <x:row r="711">
      <x:c r="H711" s="300"/>
      <x:c r="I711" s="300"/>
      <x:c r="J711" s="300"/>
      <x:c r="K711" s="300"/>
      <x:c r="L711" s="300"/>
      <x:c r="M711" s="300"/>
    </x:row>
    <x:row r="712">
      <x:c r="H712" s="300"/>
      <x:c r="I712" s="300"/>
      <x:c r="J712" s="300"/>
      <x:c r="K712" s="300"/>
      <x:c r="L712" s="300"/>
      <x:c r="M712" s="300"/>
    </x:row>
    <x:row r="713">
      <x:c r="H713" s="300"/>
      <x:c r="I713" s="300"/>
      <x:c r="J713" s="300"/>
      <x:c r="K713" s="300"/>
      <x:c r="L713" s="300"/>
      <x:c r="M713" s="300"/>
    </x:row>
    <x:row r="714">
      <x:c r="H714" s="300"/>
      <x:c r="I714" s="300"/>
      <x:c r="J714" s="300"/>
      <x:c r="K714" s="300"/>
      <x:c r="L714" s="300"/>
      <x:c r="M714" s="300"/>
    </x:row>
    <x:row r="715">
      <x:c r="H715" s="300"/>
      <x:c r="I715" s="300"/>
      <x:c r="J715" s="300"/>
      <x:c r="K715" s="300"/>
      <x:c r="L715" s="300"/>
      <x:c r="M715" s="300"/>
    </x:row>
    <x:row r="716">
      <x:c r="H716" s="300"/>
      <x:c r="I716" s="300"/>
      <x:c r="J716" s="300"/>
      <x:c r="K716" s="300"/>
      <x:c r="L716" s="300"/>
      <x:c r="M716" s="300"/>
    </x:row>
    <x:row r="717">
      <x:c r="H717" s="300"/>
      <x:c r="I717" s="300"/>
      <x:c r="J717" s="300"/>
      <x:c r="K717" s="300"/>
      <x:c r="L717" s="300"/>
      <x:c r="M717" s="300"/>
    </x:row>
    <x:row r="718">
      <x:c r="H718" s="300"/>
      <x:c r="I718" s="300"/>
      <x:c r="J718" s="300"/>
      <x:c r="K718" s="300"/>
      <x:c r="L718" s="300"/>
      <x:c r="M718" s="300"/>
    </x:row>
    <x:row r="719">
      <x:c r="H719" s="300"/>
      <x:c r="I719" s="300"/>
      <x:c r="J719" s="300"/>
      <x:c r="K719" s="300"/>
      <x:c r="L719" s="300"/>
      <x:c r="M719" s="300"/>
    </x:row>
    <x:row r="720">
      <x:c r="H720" s="300"/>
      <x:c r="I720" s="300"/>
      <x:c r="J720" s="300"/>
      <x:c r="K720" s="300"/>
      <x:c r="L720" s="300"/>
      <x:c r="M720" s="300"/>
    </x:row>
    <x:row r="721">
      <x:c r="H721" s="300"/>
      <x:c r="I721" s="300"/>
      <x:c r="J721" s="300"/>
      <x:c r="K721" s="300"/>
      <x:c r="L721" s="300"/>
      <x:c r="M721" s="300"/>
    </x:row>
    <x:row r="722">
      <x:c r="H722" s="300"/>
      <x:c r="I722" s="300"/>
      <x:c r="J722" s="300"/>
      <x:c r="K722" s="300"/>
      <x:c r="L722" s="300"/>
      <x:c r="M722" s="300"/>
    </x:row>
    <x:row r="723">
      <x:c r="H723" s="300"/>
      <x:c r="I723" s="300"/>
      <x:c r="J723" s="300"/>
      <x:c r="K723" s="300"/>
      <x:c r="L723" s="300"/>
      <x:c r="M723" s="300"/>
    </x:row>
    <x:row r="724">
      <x:c r="H724" s="300"/>
      <x:c r="I724" s="300"/>
      <x:c r="J724" s="300"/>
      <x:c r="K724" s="300"/>
      <x:c r="L724" s="300"/>
      <x:c r="M724" s="300"/>
    </x:row>
    <x:row r="725">
      <x:c r="H725" s="300"/>
      <x:c r="I725" s="300"/>
      <x:c r="J725" s="300"/>
      <x:c r="K725" s="300"/>
      <x:c r="L725" s="300"/>
      <x:c r="M725" s="300"/>
    </x:row>
    <x:row r="726">
      <x:c r="H726" s="300"/>
      <x:c r="I726" s="300"/>
      <x:c r="J726" s="300"/>
      <x:c r="K726" s="300"/>
      <x:c r="L726" s="300"/>
      <x:c r="M726" s="300"/>
    </x:row>
    <x:row r="727">
      <x:c r="H727" s="300"/>
      <x:c r="I727" s="300"/>
      <x:c r="J727" s="300"/>
      <x:c r="K727" s="300"/>
      <x:c r="L727" s="300"/>
      <x:c r="M727" s="300"/>
    </x:row>
    <x:row r="728">
      <x:c r="H728" s="300"/>
      <x:c r="I728" s="300"/>
      <x:c r="J728" s="300"/>
      <x:c r="K728" s="300"/>
      <x:c r="L728" s="300"/>
      <x:c r="M728" s="300"/>
    </x:row>
    <x:row r="729">
      <x:c r="H729" s="300"/>
      <x:c r="I729" s="300"/>
      <x:c r="J729" s="300"/>
      <x:c r="K729" s="300"/>
      <x:c r="L729" s="300"/>
      <x:c r="M729" s="300"/>
    </x:row>
    <x:row r="730">
      <x:c r="H730" s="300"/>
      <x:c r="I730" s="300"/>
      <x:c r="J730" s="300"/>
      <x:c r="K730" s="300"/>
      <x:c r="L730" s="300"/>
      <x:c r="M730" s="300"/>
    </x:row>
    <x:row r="731">
      <x:c r="H731" s="300"/>
      <x:c r="I731" s="300"/>
      <x:c r="J731" s="300"/>
      <x:c r="K731" s="300"/>
      <x:c r="L731" s="300"/>
      <x:c r="M731" s="300"/>
    </x:row>
    <x:row r="732">
      <x:c r="H732" s="300"/>
      <x:c r="I732" s="300"/>
      <x:c r="J732" s="300"/>
      <x:c r="K732" s="300"/>
      <x:c r="L732" s="300"/>
      <x:c r="M732" s="300"/>
    </x:row>
    <x:row r="733">
      <x:c r="H733" s="300"/>
      <x:c r="I733" s="300"/>
      <x:c r="J733" s="300"/>
      <x:c r="K733" s="300"/>
      <x:c r="L733" s="300"/>
      <x:c r="M733" s="300"/>
    </x:row>
    <x:row r="734">
      <x:c r="H734" s="300"/>
      <x:c r="I734" s="300"/>
      <x:c r="J734" s="300"/>
      <x:c r="K734" s="300"/>
      <x:c r="L734" s="300"/>
      <x:c r="M734" s="300"/>
    </x:row>
    <x:row r="735">
      <x:c r="H735" s="300"/>
      <x:c r="I735" s="300"/>
      <x:c r="J735" s="300"/>
      <x:c r="K735" s="300"/>
      <x:c r="L735" s="300"/>
      <x:c r="M735" s="300"/>
    </x:row>
    <x:row r="736">
      <x:c r="H736" s="300"/>
      <x:c r="I736" s="300"/>
      <x:c r="J736" s="300"/>
      <x:c r="K736" s="300"/>
      <x:c r="L736" s="300"/>
      <x:c r="M736" s="300"/>
    </x:row>
    <x:row r="737">
      <x:c r="H737" s="300"/>
      <x:c r="I737" s="300"/>
      <x:c r="J737" s="300"/>
      <x:c r="K737" s="300"/>
      <x:c r="L737" s="300"/>
      <x:c r="M737" s="300"/>
    </x:row>
    <x:row r="738">
      <x:c r="H738" s="300"/>
      <x:c r="I738" s="300"/>
      <x:c r="J738" s="300"/>
      <x:c r="K738" s="300"/>
      <x:c r="L738" s="300"/>
      <x:c r="M738" s="300"/>
    </x:row>
    <x:row r="739">
      <x:c r="H739" s="300"/>
      <x:c r="I739" s="300"/>
      <x:c r="J739" s="300"/>
      <x:c r="K739" s="300"/>
      <x:c r="L739" s="300"/>
      <x:c r="M739" s="300"/>
    </x:row>
    <x:row r="740">
      <x:c r="H740" s="300"/>
      <x:c r="I740" s="300"/>
      <x:c r="J740" s="300"/>
      <x:c r="K740" s="300"/>
      <x:c r="L740" s="300"/>
      <x:c r="M740" s="300"/>
    </x:row>
    <x:row r="741">
      <x:c r="H741" s="300"/>
      <x:c r="I741" s="300"/>
      <x:c r="J741" s="300"/>
      <x:c r="K741" s="300"/>
      <x:c r="L741" s="300"/>
      <x:c r="M741" s="300"/>
    </x:row>
    <x:row r="742">
      <x:c r="H742" s="300"/>
      <x:c r="I742" s="300"/>
      <x:c r="J742" s="300"/>
      <x:c r="K742" s="300"/>
      <x:c r="L742" s="300"/>
      <x:c r="M742" s="300"/>
    </x:row>
    <x:row r="743">
      <x:c r="H743" s="300"/>
      <x:c r="I743" s="300"/>
      <x:c r="J743" s="300"/>
      <x:c r="K743" s="300"/>
      <x:c r="L743" s="300"/>
      <x:c r="M743" s="300"/>
    </x:row>
    <x:row r="744">
      <x:c r="H744" s="300"/>
      <x:c r="I744" s="300"/>
      <x:c r="J744" s="300"/>
      <x:c r="K744" s="300"/>
      <x:c r="L744" s="300"/>
      <x:c r="M744" s="300"/>
    </x:row>
    <x:row r="745">
      <x:c r="H745" s="300"/>
      <x:c r="I745" s="300"/>
      <x:c r="J745" s="300"/>
      <x:c r="K745" s="300"/>
      <x:c r="L745" s="300"/>
      <x:c r="M745" s="300"/>
    </x:row>
    <x:row r="746">
      <x:c r="H746" s="300"/>
      <x:c r="I746" s="300"/>
      <x:c r="J746" s="300"/>
      <x:c r="K746" s="300"/>
      <x:c r="L746" s="300"/>
      <x:c r="M746" s="300"/>
    </x:row>
    <x:row r="747">
      <x:c r="H747" s="300"/>
      <x:c r="I747" s="300"/>
      <x:c r="J747" s="300"/>
      <x:c r="K747" s="300"/>
      <x:c r="L747" s="300"/>
      <x:c r="M747" s="300"/>
    </x:row>
    <x:row r="748">
      <x:c r="H748" s="300"/>
      <x:c r="I748" s="300"/>
      <x:c r="J748" s="300"/>
      <x:c r="K748" s="300"/>
      <x:c r="L748" s="300"/>
      <x:c r="M748" s="300"/>
    </x:row>
    <x:row r="749">
      <x:c r="H749" s="300"/>
      <x:c r="I749" s="300"/>
      <x:c r="J749" s="300"/>
      <x:c r="K749" s="300"/>
      <x:c r="L749" s="300"/>
      <x:c r="M749" s="300"/>
    </x:row>
    <x:row r="750">
      <x:c r="H750" s="300"/>
      <x:c r="I750" s="300"/>
      <x:c r="J750" s="300"/>
      <x:c r="K750" s="300"/>
      <x:c r="L750" s="300"/>
      <x:c r="M750" s="300"/>
    </x:row>
    <x:row r="751">
      <x:c r="H751" s="300"/>
      <x:c r="I751" s="300"/>
      <x:c r="J751" s="300"/>
      <x:c r="K751" s="300"/>
      <x:c r="L751" s="300"/>
      <x:c r="M751" s="300"/>
    </x:row>
    <x:row r="752">
      <x:c r="H752" s="300"/>
      <x:c r="I752" s="300"/>
      <x:c r="J752" s="300"/>
      <x:c r="K752" s="300"/>
      <x:c r="L752" s="300"/>
      <x:c r="M752" s="300"/>
    </x:row>
    <x:row r="753">
      <x:c r="H753" s="300"/>
      <x:c r="I753" s="300"/>
      <x:c r="J753" s="300"/>
      <x:c r="K753" s="300"/>
      <x:c r="L753" s="300"/>
      <x:c r="M753" s="300"/>
    </x:row>
    <x:row r="754">
      <x:c r="H754" s="300"/>
      <x:c r="I754" s="300"/>
      <x:c r="J754" s="300"/>
      <x:c r="K754" s="300"/>
      <x:c r="L754" s="300"/>
      <x:c r="M754" s="300"/>
    </x:row>
    <x:row r="755">
      <x:c r="H755" s="300"/>
      <x:c r="I755" s="300"/>
      <x:c r="J755" s="300"/>
      <x:c r="K755" s="300"/>
      <x:c r="L755" s="300"/>
      <x:c r="M755" s="300"/>
    </x:row>
    <x:row r="756">
      <x:c r="H756" s="300"/>
      <x:c r="I756" s="300"/>
      <x:c r="J756" s="300"/>
      <x:c r="K756" s="300"/>
      <x:c r="L756" s="300"/>
      <x:c r="M756" s="300"/>
    </x:row>
    <x:row r="757">
      <x:c r="H757" s="300"/>
      <x:c r="I757" s="300"/>
      <x:c r="J757" s="300"/>
      <x:c r="K757" s="300"/>
      <x:c r="L757" s="300"/>
      <x:c r="M757" s="300"/>
    </x:row>
    <x:row r="758">
      <x:c r="H758" s="300"/>
      <x:c r="I758" s="300"/>
      <x:c r="J758" s="300"/>
      <x:c r="K758" s="300"/>
      <x:c r="L758" s="300"/>
      <x:c r="M758" s="300"/>
    </x:row>
    <x:row r="759">
      <x:c r="H759" s="300"/>
      <x:c r="I759" s="300"/>
      <x:c r="J759" s="300"/>
      <x:c r="K759" s="300"/>
      <x:c r="L759" s="300"/>
      <x:c r="M759" s="300"/>
    </x:row>
    <x:row r="760">
      <x:c r="H760" s="300"/>
      <x:c r="I760" s="300"/>
      <x:c r="J760" s="300"/>
      <x:c r="K760" s="300"/>
      <x:c r="L760" s="300"/>
      <x:c r="M760" s="300"/>
    </x:row>
    <x:row r="761">
      <x:c r="H761" s="300"/>
      <x:c r="I761" s="300"/>
      <x:c r="J761" s="300"/>
      <x:c r="K761" s="300"/>
      <x:c r="L761" s="300"/>
      <x:c r="M761" s="300"/>
    </x:row>
    <x:row r="762">
      <x:c r="H762" s="300"/>
      <x:c r="I762" s="300"/>
      <x:c r="J762" s="300"/>
      <x:c r="K762" s="300"/>
      <x:c r="L762" s="300"/>
      <x:c r="M762" s="300"/>
    </x:row>
    <x:row r="763">
      <x:c r="H763" s="300"/>
      <x:c r="I763" s="300"/>
      <x:c r="J763" s="300"/>
      <x:c r="K763" s="300"/>
      <x:c r="L763" s="300"/>
      <x:c r="M763" s="300"/>
    </x:row>
    <x:row r="764">
      <x:c r="H764" s="300"/>
      <x:c r="I764" s="300"/>
      <x:c r="J764" s="300"/>
      <x:c r="K764" s="300"/>
      <x:c r="L764" s="300"/>
      <x:c r="M764" s="300"/>
    </x:row>
    <x:row r="765">
      <x:c r="H765" s="300"/>
      <x:c r="I765" s="300"/>
      <x:c r="J765" s="300"/>
      <x:c r="K765" s="300"/>
      <x:c r="L765" s="300"/>
      <x:c r="M765" s="300"/>
    </x:row>
    <x:row r="766">
      <x:c r="H766" s="300"/>
      <x:c r="I766" s="300"/>
      <x:c r="J766" s="300"/>
      <x:c r="K766" s="300"/>
      <x:c r="L766" s="300"/>
      <x:c r="M766" s="300"/>
    </x:row>
    <x:row r="767">
      <x:c r="H767" s="300"/>
      <x:c r="I767" s="300"/>
      <x:c r="J767" s="300"/>
      <x:c r="K767" s="300"/>
      <x:c r="L767" s="300"/>
      <x:c r="M767" s="300"/>
    </x:row>
    <x:row r="768">
      <x:c r="H768" s="300"/>
      <x:c r="I768" s="300"/>
      <x:c r="J768" s="300"/>
      <x:c r="K768" s="300"/>
      <x:c r="L768" s="300"/>
      <x:c r="M768" s="300"/>
    </x:row>
    <x:row r="769">
      <x:c r="H769" s="300"/>
      <x:c r="I769" s="300"/>
      <x:c r="J769" s="300"/>
      <x:c r="K769" s="300"/>
      <x:c r="L769" s="300"/>
      <x:c r="M769" s="300"/>
    </x:row>
    <x:row r="770">
      <x:c r="H770" s="300"/>
      <x:c r="I770" s="300"/>
      <x:c r="J770" s="300"/>
      <x:c r="K770" s="300"/>
      <x:c r="L770" s="300"/>
      <x:c r="M770" s="300"/>
    </x:row>
    <x:row r="771">
      <x:c r="H771" s="300"/>
      <x:c r="I771" s="300"/>
      <x:c r="J771" s="300"/>
      <x:c r="K771" s="300"/>
      <x:c r="L771" s="300"/>
      <x:c r="M771" s="300"/>
    </x:row>
    <x:row r="772">
      <x:c r="H772" s="300"/>
      <x:c r="I772" s="300"/>
      <x:c r="J772" s="300"/>
      <x:c r="K772" s="300"/>
      <x:c r="L772" s="300"/>
      <x:c r="M772" s="300"/>
    </x:row>
    <x:row r="773">
      <x:c r="H773" s="300"/>
      <x:c r="I773" s="300"/>
      <x:c r="J773" s="300"/>
      <x:c r="K773" s="300"/>
      <x:c r="L773" s="300"/>
      <x:c r="M773" s="300"/>
    </x:row>
    <x:row r="774">
      <x:c r="H774" s="300"/>
      <x:c r="I774" s="300"/>
      <x:c r="J774" s="300"/>
      <x:c r="K774" s="300"/>
      <x:c r="L774" s="300"/>
      <x:c r="M774" s="300"/>
    </x:row>
    <x:row r="775">
      <x:c r="H775" s="300"/>
      <x:c r="I775" s="300"/>
      <x:c r="J775" s="300"/>
      <x:c r="K775" s="300"/>
      <x:c r="L775" s="300"/>
      <x:c r="M775" s="300"/>
    </x:row>
    <x:row r="776">
      <x:c r="H776" s="300"/>
      <x:c r="I776" s="300"/>
      <x:c r="J776" s="300"/>
      <x:c r="K776" s="300"/>
      <x:c r="L776" s="300"/>
      <x:c r="M776" s="300"/>
    </x:row>
    <x:row r="777">
      <x:c r="H777" s="300"/>
      <x:c r="I777" s="300"/>
      <x:c r="J777" s="300"/>
      <x:c r="K777" s="300"/>
      <x:c r="L777" s="300"/>
      <x:c r="M777" s="300"/>
    </x:row>
    <x:row r="778">
      <x:c r="H778" s="300"/>
      <x:c r="I778" s="300"/>
      <x:c r="J778" s="300"/>
      <x:c r="K778" s="300"/>
      <x:c r="L778" s="300"/>
      <x:c r="M778" s="300"/>
    </x:row>
    <x:row r="779">
      <x:c r="H779" s="300"/>
      <x:c r="I779" s="300"/>
      <x:c r="J779" s="300"/>
      <x:c r="K779" s="300"/>
      <x:c r="L779" s="300"/>
      <x:c r="M779" s="300"/>
    </x:row>
    <x:row r="780">
      <x:c r="H780" s="300"/>
      <x:c r="I780" s="300"/>
      <x:c r="J780" s="300"/>
      <x:c r="K780" s="300"/>
      <x:c r="L780" s="300"/>
      <x:c r="M780" s="300"/>
    </x:row>
    <x:row r="781">
      <x:c r="H781" s="300"/>
      <x:c r="I781" s="300"/>
      <x:c r="J781" s="300"/>
      <x:c r="K781" s="300"/>
      <x:c r="L781" s="300"/>
      <x:c r="M781" s="300"/>
    </x:row>
    <x:row r="782">
      <x:c r="H782" s="300"/>
      <x:c r="I782" s="300"/>
      <x:c r="J782" s="300"/>
      <x:c r="K782" s="300"/>
      <x:c r="L782" s="300"/>
      <x:c r="M782" s="300"/>
    </x:row>
    <x:row r="783">
      <x:c r="H783" s="300"/>
      <x:c r="I783" s="300"/>
      <x:c r="J783" s="300"/>
      <x:c r="K783" s="300"/>
      <x:c r="L783" s="300"/>
      <x:c r="M783" s="300"/>
    </x:row>
    <x:row r="784">
      <x:c r="H784" s="300"/>
      <x:c r="I784" s="300"/>
      <x:c r="J784" s="300"/>
      <x:c r="K784" s="300"/>
      <x:c r="L784" s="300"/>
      <x:c r="M784" s="300"/>
    </x:row>
    <x:row r="785">
      <x:c r="H785" s="300"/>
      <x:c r="I785" s="300"/>
      <x:c r="J785" s="300"/>
      <x:c r="K785" s="300"/>
      <x:c r="L785" s="300"/>
      <x:c r="M785" s="300"/>
    </x:row>
    <x:row r="786">
      <x:c r="H786" s="300"/>
      <x:c r="I786" s="300"/>
      <x:c r="J786" s="300"/>
      <x:c r="K786" s="300"/>
      <x:c r="L786" s="300"/>
      <x:c r="M786" s="300"/>
    </x:row>
    <x:row r="787">
      <x:c r="H787" s="300"/>
      <x:c r="I787" s="300"/>
      <x:c r="J787" s="300"/>
      <x:c r="K787" s="300"/>
      <x:c r="L787" s="300"/>
      <x:c r="M787" s="300"/>
    </x:row>
    <x:row r="788">
      <x:c r="H788" s="300"/>
      <x:c r="I788" s="300"/>
      <x:c r="J788" s="300"/>
      <x:c r="K788" s="300"/>
      <x:c r="L788" s="300"/>
      <x:c r="M788" s="300"/>
    </x:row>
    <x:row r="789">
      <x:c r="H789" s="300"/>
      <x:c r="I789" s="300"/>
      <x:c r="J789" s="300"/>
      <x:c r="K789" s="300"/>
      <x:c r="L789" s="300"/>
      <x:c r="M789" s="300"/>
    </x:row>
    <x:row r="790">
      <x:c r="H790" s="300"/>
      <x:c r="I790" s="300"/>
      <x:c r="J790" s="300"/>
      <x:c r="K790" s="300"/>
      <x:c r="L790" s="300"/>
      <x:c r="M790" s="300"/>
    </x:row>
    <x:row r="791">
      <x:c r="H791" s="300"/>
      <x:c r="I791" s="300"/>
      <x:c r="J791" s="300"/>
      <x:c r="K791" s="300"/>
      <x:c r="L791" s="300"/>
      <x:c r="M791" s="300"/>
    </x:row>
    <x:row r="792">
      <x:c r="H792" s="300"/>
      <x:c r="I792" s="300"/>
      <x:c r="J792" s="300"/>
      <x:c r="K792" s="300"/>
      <x:c r="L792" s="300"/>
      <x:c r="M792" s="300"/>
    </x:row>
    <x:row r="793">
      <x:c r="H793" s="300"/>
      <x:c r="I793" s="300"/>
      <x:c r="J793" s="300"/>
      <x:c r="K793" s="300"/>
      <x:c r="L793" s="300"/>
      <x:c r="M793" s="300"/>
    </x:row>
    <x:row r="794">
      <x:c r="H794" s="300"/>
      <x:c r="I794" s="300"/>
      <x:c r="J794" s="300"/>
      <x:c r="K794" s="300"/>
      <x:c r="L794" s="300"/>
      <x:c r="M794" s="300"/>
    </x:row>
    <x:row r="795">
      <x:c r="H795" s="300"/>
      <x:c r="I795" s="300"/>
      <x:c r="J795" s="300"/>
      <x:c r="K795" s="300"/>
      <x:c r="L795" s="300"/>
      <x:c r="M795" s="300"/>
    </x:row>
    <x:row r="796">
      <x:c r="H796" s="300"/>
      <x:c r="I796" s="300"/>
      <x:c r="J796" s="300"/>
      <x:c r="K796" s="300"/>
      <x:c r="L796" s="300"/>
      <x:c r="M796" s="300"/>
    </x:row>
    <x:row r="797">
      <x:c r="H797" s="300"/>
      <x:c r="I797" s="300"/>
      <x:c r="J797" s="300"/>
      <x:c r="K797" s="300"/>
      <x:c r="L797" s="300"/>
      <x:c r="M797" s="300"/>
    </x:row>
    <x:row r="798">
      <x:c r="H798" s="300"/>
      <x:c r="I798" s="300"/>
      <x:c r="J798" s="300"/>
      <x:c r="K798" s="300"/>
      <x:c r="L798" s="300"/>
      <x:c r="M798" s="300"/>
    </x:row>
    <x:row r="799">
      <x:c r="H799" s="300"/>
      <x:c r="I799" s="300"/>
      <x:c r="J799" s="300"/>
      <x:c r="K799" s="300"/>
      <x:c r="L799" s="300"/>
      <x:c r="M799" s="300"/>
    </x:row>
    <x:row r="800">
      <x:c r="H800" s="300"/>
      <x:c r="I800" s="300"/>
      <x:c r="J800" s="300"/>
      <x:c r="K800" s="300"/>
      <x:c r="L800" s="300"/>
      <x:c r="M800" s="300"/>
    </x:row>
    <x:row r="801">
      <x:c r="H801" s="300"/>
      <x:c r="I801" s="300"/>
      <x:c r="J801" s="300"/>
      <x:c r="K801" s="300"/>
      <x:c r="L801" s="300"/>
      <x:c r="M801" s="300"/>
    </x:row>
    <x:row r="802">
      <x:c r="H802" s="300"/>
      <x:c r="I802" s="300"/>
      <x:c r="J802" s="300"/>
      <x:c r="K802" s="300"/>
      <x:c r="L802" s="300"/>
      <x:c r="M802" s="300"/>
    </x:row>
    <x:row r="803">
      <x:c r="H803" s="300"/>
      <x:c r="I803" s="300"/>
      <x:c r="J803" s="300"/>
      <x:c r="K803" s="300"/>
      <x:c r="L803" s="300"/>
      <x:c r="M803" s="300"/>
    </x:row>
    <x:row r="804">
      <x:c r="H804" s="300"/>
      <x:c r="I804" s="300"/>
      <x:c r="J804" s="300"/>
      <x:c r="K804" s="300"/>
      <x:c r="L804" s="300"/>
      <x:c r="M804" s="300"/>
    </x:row>
    <x:row r="805">
      <x:c r="H805" s="300"/>
      <x:c r="I805" s="300"/>
      <x:c r="J805" s="300"/>
      <x:c r="K805" s="300"/>
      <x:c r="L805" s="300"/>
      <x:c r="M805" s="300"/>
    </x:row>
    <x:row r="806">
      <x:c r="H806" s="300"/>
      <x:c r="I806" s="300"/>
      <x:c r="J806" s="300"/>
      <x:c r="K806" s="300"/>
      <x:c r="L806" s="300"/>
      <x:c r="M806" s="300"/>
    </x:row>
    <x:row r="807">
      <x:c r="H807" s="300"/>
      <x:c r="I807" s="300"/>
      <x:c r="J807" s="300"/>
      <x:c r="K807" s="300"/>
      <x:c r="L807" s="300"/>
      <x:c r="M807" s="300"/>
    </x:row>
    <x:row r="808">
      <x:c r="H808" s="300"/>
      <x:c r="I808" s="300"/>
      <x:c r="J808" s="300"/>
      <x:c r="K808" s="300"/>
      <x:c r="L808" s="300"/>
      <x:c r="M808" s="300"/>
    </x:row>
    <x:row r="809">
      <x:c r="H809" s="300"/>
      <x:c r="I809" s="300"/>
      <x:c r="J809" s="300"/>
      <x:c r="K809" s="300"/>
      <x:c r="L809" s="300"/>
      <x:c r="M809" s="300"/>
    </x:row>
    <x:row r="810">
      <x:c r="H810" s="300"/>
      <x:c r="I810" s="300"/>
      <x:c r="J810" s="300"/>
      <x:c r="K810" s="300"/>
      <x:c r="L810" s="300"/>
      <x:c r="M810" s="300"/>
    </x:row>
    <x:row r="811">
      <x:c r="H811" s="300"/>
      <x:c r="I811" s="300"/>
      <x:c r="J811" s="300"/>
      <x:c r="K811" s="300"/>
      <x:c r="L811" s="300"/>
      <x:c r="M811" s="300"/>
    </x:row>
    <x:row r="812">
      <x:c r="H812" s="300"/>
      <x:c r="I812" s="300"/>
      <x:c r="J812" s="300"/>
      <x:c r="K812" s="300"/>
      <x:c r="L812" s="300"/>
      <x:c r="M812" s="300"/>
    </x:row>
    <x:row r="813">
      <x:c r="H813" s="300"/>
      <x:c r="I813" s="300"/>
      <x:c r="J813" s="300"/>
      <x:c r="K813" s="300"/>
      <x:c r="L813" s="300"/>
      <x:c r="M813" s="300"/>
    </x:row>
    <x:row r="814">
      <x:c r="H814" s="300"/>
      <x:c r="I814" s="300"/>
      <x:c r="J814" s="300"/>
      <x:c r="K814" s="300"/>
      <x:c r="L814" s="300"/>
      <x:c r="M814" s="300"/>
    </x:row>
    <x:row r="815">
      <x:c r="H815" s="300"/>
      <x:c r="I815" s="300"/>
      <x:c r="J815" s="300"/>
      <x:c r="K815" s="300"/>
      <x:c r="L815" s="300"/>
      <x:c r="M815" s="300"/>
    </x:row>
    <x:row r="816">
      <x:c r="H816" s="300"/>
      <x:c r="I816" s="300"/>
      <x:c r="J816" s="300"/>
      <x:c r="K816" s="300"/>
      <x:c r="L816" s="300"/>
      <x:c r="M816" s="300"/>
    </x:row>
    <x:row r="817">
      <x:c r="H817" s="300"/>
      <x:c r="I817" s="300"/>
      <x:c r="J817" s="300"/>
      <x:c r="K817" s="300"/>
      <x:c r="L817" s="300"/>
      <x:c r="M817" s="300"/>
    </x:row>
    <x:row r="818">
      <x:c r="H818" s="300"/>
      <x:c r="I818" s="300"/>
      <x:c r="J818" s="300"/>
      <x:c r="K818" s="300"/>
      <x:c r="L818" s="300"/>
      <x:c r="M818" s="300"/>
    </x:row>
    <x:row r="819">
      <x:c r="H819" s="300"/>
      <x:c r="I819" s="300"/>
      <x:c r="J819" s="300"/>
      <x:c r="K819" s="300"/>
      <x:c r="L819" s="300"/>
      <x:c r="M819" s="300"/>
    </x:row>
    <x:row r="820">
      <x:c r="H820" s="300"/>
      <x:c r="I820" s="300"/>
      <x:c r="J820" s="300"/>
      <x:c r="K820" s="300"/>
      <x:c r="L820" s="300"/>
      <x:c r="M820" s="300"/>
    </x:row>
    <x:row r="821">
      <x:c r="H821" s="300"/>
      <x:c r="I821" s="300"/>
      <x:c r="J821" s="300"/>
      <x:c r="K821" s="300"/>
      <x:c r="L821" s="300"/>
      <x:c r="M821" s="300"/>
    </x:row>
    <x:row r="822">
      <x:c r="H822" s="300"/>
      <x:c r="I822" s="300"/>
      <x:c r="J822" s="300"/>
      <x:c r="K822" s="300"/>
      <x:c r="L822" s="300"/>
      <x:c r="M822" s="300"/>
    </x:row>
    <x:row r="823">
      <x:c r="H823" s="300"/>
      <x:c r="I823" s="300"/>
      <x:c r="J823" s="300"/>
      <x:c r="K823" s="300"/>
      <x:c r="L823" s="300"/>
      <x:c r="M823" s="300"/>
    </x:row>
    <x:row r="824">
      <x:c r="H824" s="300"/>
      <x:c r="I824" s="300"/>
      <x:c r="J824" s="300"/>
      <x:c r="K824" s="300"/>
      <x:c r="L824" s="300"/>
      <x:c r="M824" s="300"/>
    </x:row>
    <x:row r="825">
      <x:c r="H825" s="300"/>
      <x:c r="I825" s="300"/>
      <x:c r="J825" s="300"/>
      <x:c r="K825" s="300"/>
      <x:c r="L825" s="300"/>
      <x:c r="M825" s="300"/>
    </x:row>
    <x:row r="826">
      <x:c r="H826" s="300"/>
      <x:c r="I826" s="300"/>
      <x:c r="J826" s="300"/>
      <x:c r="K826" s="300"/>
      <x:c r="L826" s="300"/>
      <x:c r="M826" s="300"/>
    </x:row>
    <x:row r="827">
      <x:c r="H827" s="300"/>
      <x:c r="I827" s="300"/>
      <x:c r="J827" s="300"/>
      <x:c r="K827" s="300"/>
      <x:c r="L827" s="300"/>
      <x:c r="M827" s="300"/>
    </x:row>
    <x:row r="828">
      <x:c r="H828" s="300"/>
      <x:c r="I828" s="300"/>
      <x:c r="J828" s="300"/>
      <x:c r="K828" s="300"/>
      <x:c r="L828" s="300"/>
      <x:c r="M828" s="300"/>
    </x:row>
    <x:row r="829">
      <x:c r="H829" s="300"/>
      <x:c r="I829" s="300"/>
      <x:c r="J829" s="300"/>
      <x:c r="K829" s="300"/>
      <x:c r="L829" s="300"/>
      <x:c r="M829" s="300"/>
    </x:row>
    <x:row r="830">
      <x:c r="H830" s="300"/>
      <x:c r="I830" s="300"/>
      <x:c r="J830" s="300"/>
      <x:c r="K830" s="300"/>
      <x:c r="L830" s="300"/>
      <x:c r="M830" s="300"/>
    </x:row>
    <x:row r="831">
      <x:c r="H831" s="300"/>
      <x:c r="I831" s="300"/>
      <x:c r="J831" s="300"/>
      <x:c r="K831" s="300"/>
      <x:c r="L831" s="300"/>
      <x:c r="M831" s="300"/>
    </x:row>
    <x:row r="832">
      <x:c r="H832" s="300"/>
      <x:c r="I832" s="300"/>
      <x:c r="J832" s="300"/>
      <x:c r="K832" s="300"/>
      <x:c r="L832" s="300"/>
      <x:c r="M832" s="300"/>
    </x:row>
    <x:row r="833">
      <x:c r="H833" s="300"/>
      <x:c r="I833" s="300"/>
      <x:c r="J833" s="300"/>
      <x:c r="K833" s="300"/>
      <x:c r="L833" s="300"/>
      <x:c r="M833" s="300"/>
    </x:row>
    <x:row r="834">
      <x:c r="H834" s="300"/>
      <x:c r="I834" s="300"/>
      <x:c r="J834" s="300"/>
      <x:c r="K834" s="300"/>
      <x:c r="L834" s="300"/>
      <x:c r="M834" s="300"/>
    </x:row>
    <x:row r="835">
      <x:c r="H835" s="300"/>
      <x:c r="I835" s="300"/>
      <x:c r="J835" s="300"/>
      <x:c r="K835" s="300"/>
      <x:c r="L835" s="300"/>
      <x:c r="M835" s="300"/>
    </x:row>
    <x:row r="836">
      <x:c r="H836" s="300"/>
      <x:c r="I836" s="300"/>
      <x:c r="J836" s="300"/>
      <x:c r="K836" s="300"/>
      <x:c r="L836" s="300"/>
      <x:c r="M836" s="300"/>
    </x:row>
    <x:row r="837">
      <x:c r="H837" s="300"/>
      <x:c r="I837" s="300"/>
      <x:c r="J837" s="300"/>
      <x:c r="K837" s="300"/>
      <x:c r="L837" s="300"/>
      <x:c r="M837" s="300"/>
    </x:row>
    <x:row r="838">
      <x:c r="H838" s="300"/>
      <x:c r="I838" s="300"/>
      <x:c r="J838" s="300"/>
      <x:c r="K838" s="300"/>
      <x:c r="L838" s="300"/>
      <x:c r="M838" s="300"/>
    </x:row>
    <x:row r="839">
      <x:c r="H839" s="300"/>
      <x:c r="I839" s="300"/>
      <x:c r="J839" s="300"/>
      <x:c r="K839" s="300"/>
      <x:c r="L839" s="300"/>
      <x:c r="M839" s="300"/>
    </x:row>
    <x:row r="840">
      <x:c r="H840" s="300"/>
      <x:c r="I840" s="300"/>
      <x:c r="J840" s="300"/>
      <x:c r="K840" s="300"/>
      <x:c r="L840" s="300"/>
      <x:c r="M840" s="300"/>
    </x:row>
    <x:row r="841">
      <x:c r="H841" s="300"/>
      <x:c r="I841" s="300"/>
      <x:c r="J841" s="300"/>
      <x:c r="K841" s="300"/>
      <x:c r="L841" s="300"/>
      <x:c r="M841" s="300"/>
    </x:row>
    <x:row r="842">
      <x:c r="H842" s="300"/>
      <x:c r="I842" s="300"/>
      <x:c r="J842" s="300"/>
      <x:c r="K842" s="300"/>
      <x:c r="L842" s="300"/>
      <x:c r="M842" s="300"/>
    </x:row>
    <x:row r="843">
      <x:c r="H843" s="300"/>
      <x:c r="I843" s="300"/>
      <x:c r="J843" s="300"/>
      <x:c r="K843" s="300"/>
      <x:c r="L843" s="300"/>
      <x:c r="M843" s="300"/>
    </x:row>
    <x:row r="844">
      <x:c r="H844" s="300"/>
      <x:c r="I844" s="300"/>
      <x:c r="J844" s="300"/>
      <x:c r="K844" s="300"/>
      <x:c r="L844" s="300"/>
      <x:c r="M844" s="300"/>
    </x:row>
    <x:row r="845">
      <x:c r="H845" s="300"/>
      <x:c r="I845" s="300"/>
      <x:c r="J845" s="300"/>
      <x:c r="K845" s="300"/>
      <x:c r="L845" s="300"/>
      <x:c r="M845" s="300"/>
    </x:row>
    <x:row r="846">
      <x:c r="H846" s="300"/>
      <x:c r="I846" s="300"/>
      <x:c r="J846" s="300"/>
      <x:c r="K846" s="300"/>
      <x:c r="L846" s="300"/>
      <x:c r="M846" s="300"/>
    </x:row>
    <x:row r="847">
      <x:c r="H847" s="300"/>
      <x:c r="I847" s="300"/>
      <x:c r="J847" s="300"/>
      <x:c r="K847" s="300"/>
      <x:c r="L847" s="300"/>
      <x:c r="M847" s="300"/>
    </x:row>
    <x:row r="848">
      <x:c r="H848" s="300"/>
      <x:c r="I848" s="300"/>
      <x:c r="J848" s="300"/>
      <x:c r="K848" s="300"/>
      <x:c r="L848" s="300"/>
      <x:c r="M848" s="300"/>
    </x:row>
    <x:row r="849">
      <x:c r="H849" s="300"/>
      <x:c r="I849" s="300"/>
      <x:c r="J849" s="300"/>
      <x:c r="K849" s="300"/>
      <x:c r="L849" s="300"/>
      <x:c r="M849" s="300"/>
    </x:row>
    <x:row r="850">
      <x:c r="H850" s="300"/>
      <x:c r="I850" s="300"/>
      <x:c r="J850" s="300"/>
      <x:c r="K850" s="300"/>
      <x:c r="L850" s="300"/>
      <x:c r="M850" s="300"/>
    </x:row>
    <x:row r="851">
      <x:c r="H851" s="300"/>
      <x:c r="I851" s="300"/>
      <x:c r="J851" s="300"/>
      <x:c r="K851" s="300"/>
      <x:c r="L851" s="300"/>
      <x:c r="M851" s="300"/>
    </x:row>
    <x:row r="852">
      <x:c r="H852" s="300"/>
      <x:c r="I852" s="300"/>
      <x:c r="J852" s="300"/>
      <x:c r="K852" s="300"/>
      <x:c r="L852" s="300"/>
      <x:c r="M852" s="300"/>
    </x:row>
    <x:row r="853">
      <x:c r="H853" s="300"/>
      <x:c r="I853" s="300"/>
      <x:c r="J853" s="300"/>
      <x:c r="K853" s="300"/>
      <x:c r="L853" s="300"/>
      <x:c r="M853" s="300"/>
    </x:row>
    <x:row r="854">
      <x:c r="H854" s="300"/>
      <x:c r="I854" s="300"/>
      <x:c r="J854" s="300"/>
      <x:c r="K854" s="300"/>
      <x:c r="L854" s="300"/>
      <x:c r="M854" s="300"/>
    </x:row>
    <x:row r="855">
      <x:c r="H855" s="300"/>
      <x:c r="I855" s="300"/>
      <x:c r="J855" s="300"/>
      <x:c r="K855" s="300"/>
      <x:c r="L855" s="300"/>
      <x:c r="M855" s="300"/>
    </x:row>
    <x:row r="856">
      <x:c r="H856" s="300"/>
      <x:c r="I856" s="300"/>
      <x:c r="J856" s="300"/>
      <x:c r="K856" s="300"/>
      <x:c r="L856" s="300"/>
      <x:c r="M856" s="300"/>
    </x:row>
    <x:row r="857">
      <x:c r="H857" s="300"/>
      <x:c r="I857" s="300"/>
      <x:c r="J857" s="300"/>
      <x:c r="K857" s="300"/>
      <x:c r="L857" s="300"/>
      <x:c r="M857" s="300"/>
    </x:row>
    <x:row r="858">
      <x:c r="H858" s="300"/>
      <x:c r="I858" s="300"/>
      <x:c r="J858" s="300"/>
      <x:c r="K858" s="300"/>
      <x:c r="L858" s="300"/>
      <x:c r="M858" s="300"/>
    </x:row>
    <x:row r="859">
      <x:c r="H859" s="300"/>
      <x:c r="I859" s="300"/>
      <x:c r="J859" s="300"/>
      <x:c r="K859" s="300"/>
      <x:c r="L859" s="300"/>
      <x:c r="M859" s="300"/>
    </x:row>
    <x:row r="860">
      <x:c r="H860" s="300"/>
      <x:c r="I860" s="300"/>
      <x:c r="J860" s="300"/>
      <x:c r="K860" s="300"/>
      <x:c r="L860" s="300"/>
      <x:c r="M860" s="300"/>
    </x:row>
    <x:row r="861">
      <x:c r="H861" s="300"/>
      <x:c r="I861" s="300"/>
      <x:c r="J861" s="300"/>
      <x:c r="K861" s="300"/>
      <x:c r="L861" s="300"/>
      <x:c r="M861" s="300"/>
    </x:row>
    <x:row r="862">
      <x:c r="H862" s="300"/>
      <x:c r="I862" s="300"/>
      <x:c r="J862" s="300"/>
      <x:c r="K862" s="300"/>
      <x:c r="L862" s="300"/>
      <x:c r="M862" s="300"/>
    </x:row>
    <x:row r="863">
      <x:c r="H863" s="300"/>
      <x:c r="I863" s="300"/>
      <x:c r="J863" s="300"/>
      <x:c r="K863" s="300"/>
      <x:c r="L863" s="300"/>
      <x:c r="M863" s="300"/>
    </x:row>
    <x:row r="864">
      <x:c r="H864" s="300"/>
      <x:c r="I864" s="300"/>
      <x:c r="J864" s="300"/>
      <x:c r="K864" s="300"/>
      <x:c r="L864" s="300"/>
      <x:c r="M864" s="300"/>
    </x:row>
    <x:row r="865">
      <x:c r="H865" s="300"/>
      <x:c r="I865" s="300"/>
      <x:c r="J865" s="300"/>
      <x:c r="K865" s="300"/>
      <x:c r="L865" s="300"/>
      <x:c r="M865" s="300"/>
    </x:row>
    <x:row r="866">
      <x:c r="H866" s="300"/>
      <x:c r="I866" s="300"/>
      <x:c r="J866" s="300"/>
      <x:c r="K866" s="300"/>
      <x:c r="L866" s="300"/>
      <x:c r="M866" s="300"/>
    </x:row>
    <x:row r="867">
      <x:c r="H867" s="300"/>
      <x:c r="I867" s="300"/>
      <x:c r="J867" s="300"/>
      <x:c r="K867" s="300"/>
      <x:c r="L867" s="300"/>
      <x:c r="M867" s="300"/>
    </x:row>
    <x:row r="868">
      <x:c r="H868" s="300"/>
      <x:c r="I868" s="300"/>
      <x:c r="J868" s="300"/>
      <x:c r="K868" s="300"/>
      <x:c r="L868" s="300"/>
      <x:c r="M868" s="300"/>
    </x:row>
    <x:row r="869">
      <x:c r="H869" s="300"/>
      <x:c r="I869" s="300"/>
      <x:c r="J869" s="300"/>
      <x:c r="K869" s="300"/>
      <x:c r="L869" s="300"/>
      <x:c r="M869" s="300"/>
    </x:row>
    <x:row r="870">
      <x:c r="H870" s="300"/>
      <x:c r="I870" s="300"/>
      <x:c r="J870" s="300"/>
      <x:c r="K870" s="300"/>
      <x:c r="L870" s="300"/>
      <x:c r="M870" s="300"/>
    </x:row>
    <x:row r="871">
      <x:c r="H871" s="300"/>
      <x:c r="I871" s="300"/>
      <x:c r="J871" s="300"/>
      <x:c r="K871" s="300"/>
      <x:c r="L871" s="300"/>
      <x:c r="M871" s="300"/>
    </x:row>
    <x:row r="872">
      <x:c r="H872" s="300"/>
      <x:c r="I872" s="300"/>
      <x:c r="J872" s="300"/>
      <x:c r="K872" s="300"/>
      <x:c r="L872" s="300"/>
      <x:c r="M872" s="300"/>
    </x:row>
    <x:row r="873">
      <x:c r="H873" s="300"/>
      <x:c r="I873" s="300"/>
      <x:c r="J873" s="300"/>
      <x:c r="K873" s="300"/>
      <x:c r="L873" s="300"/>
      <x:c r="M873" s="300"/>
    </x:row>
    <x:row r="874">
      <x:c r="H874" s="300"/>
      <x:c r="I874" s="300"/>
      <x:c r="J874" s="300"/>
      <x:c r="K874" s="300"/>
      <x:c r="L874" s="300"/>
      <x:c r="M874" s="300"/>
    </x:row>
    <x:row r="875">
      <x:c r="H875" s="300"/>
      <x:c r="I875" s="300"/>
      <x:c r="J875" s="300"/>
      <x:c r="K875" s="300"/>
      <x:c r="L875" s="300"/>
      <x:c r="M875" s="300"/>
    </x:row>
    <x:row r="876">
      <x:c r="H876" s="300"/>
      <x:c r="I876" s="300"/>
      <x:c r="J876" s="300"/>
      <x:c r="K876" s="300"/>
      <x:c r="L876" s="300"/>
      <x:c r="M876" s="300"/>
    </x:row>
    <x:row r="877">
      <x:c r="H877" s="300"/>
      <x:c r="I877" s="300"/>
      <x:c r="J877" s="300"/>
      <x:c r="K877" s="300"/>
      <x:c r="L877" s="300"/>
      <x:c r="M877" s="300"/>
    </x:row>
    <x:row r="878">
      <x:c r="H878" s="300"/>
      <x:c r="I878" s="300"/>
      <x:c r="J878" s="300"/>
      <x:c r="K878" s="300"/>
      <x:c r="L878" s="300"/>
      <x:c r="M878" s="300"/>
    </x:row>
    <x:row r="879">
      <x:c r="H879" s="300"/>
      <x:c r="I879" s="300"/>
      <x:c r="J879" s="300"/>
      <x:c r="K879" s="300"/>
      <x:c r="L879" s="300"/>
      <x:c r="M879" s="300"/>
    </x:row>
    <x:row r="880">
      <x:c r="H880" s="300"/>
      <x:c r="I880" s="300"/>
      <x:c r="J880" s="300"/>
      <x:c r="K880" s="300"/>
      <x:c r="L880" s="300"/>
      <x:c r="M880" s="300"/>
    </x:row>
    <x:row r="881">
      <x:c r="H881" s="300"/>
      <x:c r="I881" s="300"/>
      <x:c r="J881" s="300"/>
      <x:c r="K881" s="300"/>
      <x:c r="L881" s="300"/>
      <x:c r="M881" s="300"/>
    </x:row>
    <x:row r="882">
      <x:c r="H882" s="300"/>
      <x:c r="I882" s="300"/>
      <x:c r="J882" s="300"/>
      <x:c r="K882" s="300"/>
      <x:c r="L882" s="300"/>
      <x:c r="M882" s="300"/>
    </x:row>
    <x:row r="883">
      <x:c r="H883" s="300"/>
      <x:c r="I883" s="300"/>
      <x:c r="J883" s="300"/>
      <x:c r="K883" s="300"/>
      <x:c r="L883" s="300"/>
      <x:c r="M883" s="300"/>
    </x:row>
    <x:row r="884">
      <x:c r="H884" s="300"/>
      <x:c r="I884" s="300"/>
      <x:c r="J884" s="300"/>
      <x:c r="K884" s="300"/>
      <x:c r="L884" s="300"/>
      <x:c r="M884" s="300"/>
    </x:row>
    <x:row r="885">
      <x:c r="H885" s="300"/>
      <x:c r="I885" s="300"/>
      <x:c r="J885" s="300"/>
      <x:c r="K885" s="300"/>
      <x:c r="L885" s="300"/>
      <x:c r="M885" s="300"/>
    </x:row>
    <x:row r="886">
      <x:c r="H886" s="300"/>
      <x:c r="I886" s="300"/>
      <x:c r="J886" s="300"/>
      <x:c r="K886" s="300"/>
      <x:c r="L886" s="300"/>
      <x:c r="M886" s="300"/>
    </x:row>
    <x:row r="887">
      <x:c r="H887" s="300"/>
      <x:c r="I887" s="300"/>
      <x:c r="J887" s="300"/>
      <x:c r="K887" s="300"/>
      <x:c r="L887" s="300"/>
      <x:c r="M887" s="300"/>
    </x:row>
    <x:row r="888">
      <x:c r="H888" s="300"/>
      <x:c r="I888" s="300"/>
      <x:c r="J888" s="300"/>
      <x:c r="K888" s="300"/>
      <x:c r="L888" s="300"/>
      <x:c r="M888" s="300"/>
    </x:row>
    <x:row r="889">
      <x:c r="H889" s="300"/>
      <x:c r="I889" s="300"/>
      <x:c r="J889" s="300"/>
      <x:c r="K889" s="300"/>
      <x:c r="L889" s="300"/>
      <x:c r="M889" s="300"/>
    </x:row>
    <x:row r="890">
      <x:c r="H890" s="300"/>
      <x:c r="I890" s="300"/>
      <x:c r="J890" s="300"/>
      <x:c r="K890" s="300"/>
      <x:c r="L890" s="300"/>
      <x:c r="M890" s="300"/>
    </x:row>
    <x:row r="891">
      <x:c r="H891" s="300"/>
      <x:c r="I891" s="300"/>
      <x:c r="J891" s="300"/>
      <x:c r="K891" s="300"/>
      <x:c r="L891" s="300"/>
      <x:c r="M891" s="300"/>
    </x:row>
    <x:row r="892">
      <x:c r="H892" s="300"/>
      <x:c r="I892" s="300"/>
      <x:c r="J892" s="300"/>
      <x:c r="K892" s="300"/>
      <x:c r="L892" s="300"/>
      <x:c r="M892" s="300"/>
    </x:row>
    <x:row r="893">
      <x:c r="H893" s="300"/>
      <x:c r="I893" s="300"/>
      <x:c r="J893" s="300"/>
      <x:c r="K893" s="300"/>
      <x:c r="L893" s="300"/>
      <x:c r="M893" s="300"/>
    </x:row>
    <x:row r="894">
      <x:c r="H894" s="300"/>
      <x:c r="I894" s="300"/>
      <x:c r="J894" s="300"/>
      <x:c r="K894" s="300"/>
      <x:c r="L894" s="300"/>
      <x:c r="M894" s="300"/>
    </x:row>
    <x:row r="895">
      <x:c r="H895" s="300"/>
      <x:c r="I895" s="300"/>
      <x:c r="J895" s="300"/>
      <x:c r="K895" s="300"/>
      <x:c r="L895" s="300"/>
      <x:c r="M895" s="300"/>
    </x:row>
    <x:row r="896">
      <x:c r="H896" s="300"/>
      <x:c r="I896" s="300"/>
      <x:c r="J896" s="300"/>
      <x:c r="K896" s="300"/>
      <x:c r="L896" s="300"/>
      <x:c r="M896" s="300"/>
    </x:row>
    <x:row r="897">
      <x:c r="H897" s="300"/>
      <x:c r="I897" s="300"/>
      <x:c r="J897" s="300"/>
      <x:c r="K897" s="300"/>
      <x:c r="L897" s="300"/>
      <x:c r="M897" s="300"/>
    </x:row>
    <x:row r="898">
      <x:c r="H898" s="300"/>
      <x:c r="I898" s="300"/>
      <x:c r="J898" s="300"/>
      <x:c r="K898" s="300"/>
      <x:c r="L898" s="300"/>
      <x:c r="M898" s="300"/>
    </x:row>
    <x:row r="899">
      <x:c r="H899" s="300"/>
      <x:c r="I899" s="300"/>
      <x:c r="J899" s="300"/>
      <x:c r="K899" s="300"/>
      <x:c r="L899" s="300"/>
      <x:c r="M899" s="300"/>
    </x:row>
    <x:row r="900">
      <x:c r="H900" s="300"/>
      <x:c r="I900" s="300"/>
      <x:c r="J900" s="300"/>
      <x:c r="K900" s="300"/>
      <x:c r="L900" s="300"/>
      <x:c r="M900" s="300"/>
    </x:row>
    <x:row r="901">
      <x:c r="H901" s="300"/>
      <x:c r="I901" s="300"/>
      <x:c r="J901" s="300"/>
      <x:c r="K901" s="300"/>
      <x:c r="L901" s="300"/>
      <x:c r="M901" s="300"/>
    </x:row>
    <x:row r="902">
      <x:c r="H902" s="300"/>
      <x:c r="I902" s="300"/>
      <x:c r="J902" s="300"/>
      <x:c r="K902" s="300"/>
      <x:c r="L902" s="300"/>
      <x:c r="M902" s="300"/>
    </x:row>
    <x:row r="903">
      <x:c r="H903" s="300"/>
      <x:c r="I903" s="300"/>
      <x:c r="J903" s="300"/>
      <x:c r="K903" s="300"/>
      <x:c r="L903" s="300"/>
      <x:c r="M903" s="300"/>
    </x:row>
    <x:row r="904">
      <x:c r="H904" s="300"/>
      <x:c r="I904" s="300"/>
      <x:c r="J904" s="300"/>
      <x:c r="K904" s="300"/>
      <x:c r="L904" s="300"/>
      <x:c r="M904" s="300"/>
    </x:row>
    <x:row r="905">
      <x:c r="H905" s="300"/>
      <x:c r="I905" s="300"/>
      <x:c r="J905" s="300"/>
      <x:c r="K905" s="300"/>
      <x:c r="L905" s="300"/>
      <x:c r="M905" s="300"/>
    </x:row>
    <x:row r="906">
      <x:c r="H906" s="300"/>
      <x:c r="I906" s="300"/>
      <x:c r="J906" s="300"/>
      <x:c r="K906" s="300"/>
      <x:c r="L906" s="300"/>
      <x:c r="M906" s="300"/>
    </x:row>
    <x:row r="907">
      <x:c r="H907" s="300"/>
      <x:c r="I907" s="300"/>
      <x:c r="J907" s="300"/>
      <x:c r="K907" s="300"/>
      <x:c r="L907" s="300"/>
      <x:c r="M907" s="300"/>
    </x:row>
    <x:row r="908">
      <x:c r="H908" s="300"/>
      <x:c r="I908" s="300"/>
      <x:c r="J908" s="300"/>
      <x:c r="K908" s="300"/>
      <x:c r="L908" s="300"/>
      <x:c r="M908" s="300"/>
    </x:row>
    <x:row r="909">
      <x:c r="H909" s="300"/>
      <x:c r="I909" s="300"/>
      <x:c r="J909" s="300"/>
      <x:c r="K909" s="300"/>
      <x:c r="L909" s="300"/>
      <x:c r="M909" s="300"/>
    </x:row>
    <x:row r="910">
      <x:c r="H910" s="300"/>
      <x:c r="I910" s="300"/>
      <x:c r="J910" s="300"/>
      <x:c r="K910" s="300"/>
      <x:c r="L910" s="300"/>
      <x:c r="M910" s="300"/>
    </x:row>
    <x:row r="911">
      <x:c r="H911" s="300"/>
      <x:c r="I911" s="300"/>
      <x:c r="J911" s="300"/>
      <x:c r="K911" s="300"/>
      <x:c r="L911" s="300"/>
      <x:c r="M911" s="300"/>
    </x:row>
    <x:row r="912">
      <x:c r="H912" s="300"/>
      <x:c r="I912" s="300"/>
      <x:c r="J912" s="300"/>
      <x:c r="K912" s="300"/>
      <x:c r="L912" s="300"/>
      <x:c r="M912" s="300"/>
    </x:row>
    <x:row r="913">
      <x:c r="H913" s="300"/>
      <x:c r="I913" s="300"/>
      <x:c r="J913" s="300"/>
      <x:c r="K913" s="300"/>
      <x:c r="L913" s="300"/>
      <x:c r="M913" s="300"/>
    </x:row>
    <x:row r="914">
      <x:c r="H914" s="300"/>
      <x:c r="I914" s="300"/>
      <x:c r="J914" s="300"/>
      <x:c r="K914" s="300"/>
      <x:c r="L914" s="300"/>
      <x:c r="M914" s="300"/>
    </x:row>
    <x:row r="915">
      <x:c r="H915" s="300"/>
      <x:c r="I915" s="300"/>
      <x:c r="J915" s="300"/>
      <x:c r="K915" s="300"/>
      <x:c r="L915" s="300"/>
      <x:c r="M915" s="300"/>
    </x:row>
    <x:row r="916">
      <x:c r="H916" s="300"/>
      <x:c r="I916" s="300"/>
      <x:c r="J916" s="300"/>
      <x:c r="K916" s="300"/>
      <x:c r="L916" s="300"/>
      <x:c r="M916" s="300"/>
    </x:row>
    <x:row r="917">
      <x:c r="H917" s="300"/>
      <x:c r="I917" s="300"/>
      <x:c r="J917" s="300"/>
      <x:c r="K917" s="300"/>
      <x:c r="L917" s="300"/>
      <x:c r="M917" s="300"/>
    </x:row>
    <x:row r="918">
      <x:c r="H918" s="300"/>
      <x:c r="I918" s="300"/>
      <x:c r="J918" s="300"/>
      <x:c r="K918" s="300"/>
      <x:c r="L918" s="300"/>
      <x:c r="M918" s="300"/>
    </x:row>
    <x:row r="919">
      <x:c r="H919" s="300"/>
      <x:c r="I919" s="300"/>
      <x:c r="J919" s="300"/>
      <x:c r="K919" s="300"/>
      <x:c r="L919" s="300"/>
      <x:c r="M919" s="300"/>
    </x:row>
    <x:row r="920">
      <x:c r="H920" s="300"/>
      <x:c r="I920" s="300"/>
      <x:c r="J920" s="300"/>
      <x:c r="K920" s="300"/>
      <x:c r="L920" s="300"/>
      <x:c r="M920" s="300"/>
    </x:row>
    <x:row r="921">
      <x:c r="H921" s="300"/>
      <x:c r="I921" s="300"/>
      <x:c r="J921" s="300"/>
      <x:c r="K921" s="300"/>
      <x:c r="L921" s="300"/>
      <x:c r="M921" s="300"/>
    </x:row>
    <x:row r="922">
      <x:c r="H922" s="300"/>
      <x:c r="I922" s="300"/>
      <x:c r="J922" s="300"/>
      <x:c r="K922" s="300"/>
      <x:c r="L922" s="300"/>
      <x:c r="M922" s="300"/>
    </x:row>
    <x:row r="923">
      <x:c r="H923" s="300"/>
      <x:c r="I923" s="300"/>
      <x:c r="J923" s="300"/>
      <x:c r="K923" s="300"/>
      <x:c r="L923" s="300"/>
      <x:c r="M923" s="300"/>
    </x:row>
    <x:row r="924">
      <x:c r="H924" s="300"/>
      <x:c r="I924" s="300"/>
      <x:c r="J924" s="300"/>
      <x:c r="K924" s="300"/>
      <x:c r="L924" s="300"/>
      <x:c r="M924" s="300"/>
    </x:row>
    <x:row r="925">
      <x:c r="H925" s="300"/>
      <x:c r="I925" s="300"/>
      <x:c r="J925" s="300"/>
      <x:c r="K925" s="300"/>
      <x:c r="L925" s="300"/>
      <x:c r="M925" s="300"/>
    </x:row>
    <x:row r="926">
      <x:c r="H926" s="300"/>
      <x:c r="I926" s="300"/>
      <x:c r="J926" s="300"/>
      <x:c r="K926" s="300"/>
      <x:c r="L926" s="300"/>
      <x:c r="M926" s="300"/>
    </x:row>
    <x:row r="927">
      <x:c r="H927" s="300"/>
      <x:c r="I927" s="300"/>
      <x:c r="J927" s="300"/>
      <x:c r="K927" s="300"/>
      <x:c r="L927" s="300"/>
      <x:c r="M927" s="300"/>
    </x:row>
    <x:row r="928">
      <x:c r="H928" s="300"/>
      <x:c r="I928" s="300"/>
      <x:c r="J928" s="300"/>
      <x:c r="K928" s="300"/>
      <x:c r="L928" s="300"/>
      <x:c r="M928" s="300"/>
    </x:row>
    <x:row r="929">
      <x:c r="H929" s="300"/>
      <x:c r="I929" s="300"/>
      <x:c r="J929" s="300"/>
      <x:c r="K929" s="300"/>
      <x:c r="L929" s="300"/>
      <x:c r="M929" s="300"/>
    </x:row>
    <x:row r="930">
      <x:c r="H930" s="300"/>
      <x:c r="I930" s="300"/>
      <x:c r="J930" s="300"/>
      <x:c r="K930" s="300"/>
      <x:c r="L930" s="300"/>
      <x:c r="M930" s="300"/>
    </x:row>
    <x:row r="931">
      <x:c r="H931" s="300"/>
      <x:c r="I931" s="300"/>
      <x:c r="J931" s="300"/>
      <x:c r="K931" s="300"/>
      <x:c r="L931" s="300"/>
      <x:c r="M931" s="300"/>
    </x:row>
    <x:row r="932">
      <x:c r="H932" s="300"/>
      <x:c r="I932" s="300"/>
      <x:c r="J932" s="300"/>
      <x:c r="K932" s="300"/>
      <x:c r="L932" s="300"/>
      <x:c r="M932" s="300"/>
    </x:row>
    <x:row r="933">
      <x:c r="H933" s="300"/>
      <x:c r="I933" s="300"/>
      <x:c r="J933" s="300"/>
      <x:c r="K933" s="300"/>
      <x:c r="L933" s="300"/>
      <x:c r="M933" s="300"/>
    </x:row>
    <x:row r="934">
      <x:c r="H934" s="300"/>
      <x:c r="I934" s="300"/>
      <x:c r="J934" s="300"/>
      <x:c r="K934" s="300"/>
      <x:c r="L934" s="300"/>
      <x:c r="M934" s="300"/>
    </x:row>
    <x:row r="935">
      <x:c r="H935" s="300"/>
      <x:c r="I935" s="300"/>
      <x:c r="J935" s="300"/>
      <x:c r="K935" s="300"/>
      <x:c r="L935" s="300"/>
      <x:c r="M935" s="300"/>
    </x:row>
    <x:row r="936">
      <x:c r="H936" s="300"/>
      <x:c r="I936" s="300"/>
      <x:c r="J936" s="300"/>
      <x:c r="K936" s="300"/>
      <x:c r="L936" s="300"/>
      <x:c r="M936" s="300"/>
    </x:row>
    <x:row r="937">
      <x:c r="H937" s="300"/>
      <x:c r="I937" s="300"/>
      <x:c r="J937" s="300"/>
      <x:c r="K937" s="300"/>
      <x:c r="L937" s="300"/>
      <x:c r="M937" s="300"/>
    </x:row>
    <x:row r="938">
      <x:c r="H938" s="300"/>
      <x:c r="I938" s="300"/>
      <x:c r="J938" s="300"/>
      <x:c r="K938" s="300"/>
      <x:c r="L938" s="300"/>
      <x:c r="M938" s="300"/>
    </x:row>
    <x:row r="939">
      <x:c r="H939" s="300"/>
      <x:c r="I939" s="300"/>
      <x:c r="J939" s="300"/>
      <x:c r="K939" s="300"/>
      <x:c r="L939" s="300"/>
      <x:c r="M939" s="300"/>
    </x:row>
    <x:row r="940">
      <x:c r="H940" s="300"/>
      <x:c r="I940" s="300"/>
      <x:c r="J940" s="300"/>
      <x:c r="K940" s="300"/>
      <x:c r="L940" s="300"/>
      <x:c r="M940" s="300"/>
    </x:row>
    <x:row r="941">
      <x:c r="H941" s="300"/>
      <x:c r="I941" s="300"/>
      <x:c r="J941" s="300"/>
      <x:c r="K941" s="300"/>
      <x:c r="L941" s="300"/>
      <x:c r="M941" s="300"/>
    </x:row>
    <x:row r="942">
      <x:c r="H942" s="300"/>
      <x:c r="I942" s="300"/>
      <x:c r="J942" s="300"/>
      <x:c r="K942" s="300"/>
      <x:c r="L942" s="300"/>
      <x:c r="M942" s="300"/>
    </x:row>
    <x:row r="943">
      <x:c r="H943" s="300"/>
      <x:c r="I943" s="300"/>
      <x:c r="J943" s="300"/>
      <x:c r="K943" s="300"/>
      <x:c r="L943" s="300"/>
      <x:c r="M943" s="300"/>
    </x:row>
    <x:row r="944">
      <x:c r="H944" s="300"/>
      <x:c r="I944" s="300"/>
      <x:c r="J944" s="300"/>
      <x:c r="K944" s="300"/>
      <x:c r="L944" s="300"/>
      <x:c r="M944" s="300"/>
    </x:row>
    <x:row r="945">
      <x:c r="H945" s="300"/>
      <x:c r="I945" s="300"/>
      <x:c r="J945" s="300"/>
      <x:c r="K945" s="300"/>
      <x:c r="L945" s="300"/>
      <x:c r="M945" s="300"/>
    </x:row>
    <x:row r="946">
      <x:c r="H946" s="300"/>
      <x:c r="I946" s="300"/>
      <x:c r="J946" s="300"/>
      <x:c r="K946" s="300"/>
      <x:c r="L946" s="300"/>
      <x:c r="M946" s="300"/>
    </x:row>
    <x:row r="947">
      <x:c r="H947" s="300"/>
      <x:c r="I947" s="300"/>
      <x:c r="J947" s="300"/>
      <x:c r="K947" s="300"/>
      <x:c r="L947" s="300"/>
      <x:c r="M947" s="300"/>
    </x:row>
    <x:row r="948">
      <x:c r="H948" s="300"/>
      <x:c r="I948" s="300"/>
      <x:c r="J948" s="300"/>
      <x:c r="K948" s="300"/>
      <x:c r="L948" s="300"/>
      <x:c r="M948" s="300"/>
    </x:row>
    <x:row r="949">
      <x:c r="H949" s="300"/>
      <x:c r="I949" s="300"/>
      <x:c r="J949" s="300"/>
      <x:c r="K949" s="300"/>
      <x:c r="L949" s="300"/>
      <x:c r="M949" s="300"/>
    </x:row>
    <x:row r="950">
      <x:c r="H950" s="300"/>
      <x:c r="I950" s="300"/>
      <x:c r="J950" s="300"/>
      <x:c r="K950" s="300"/>
      <x:c r="L950" s="300"/>
      <x:c r="M950" s="300"/>
    </x:row>
    <x:row r="951">
      <x:c r="H951" s="300"/>
      <x:c r="I951" s="300"/>
      <x:c r="J951" s="300"/>
      <x:c r="K951" s="300"/>
      <x:c r="L951" s="300"/>
      <x:c r="M951" s="300"/>
    </x:row>
    <x:row r="952">
      <x:c r="H952" s="300"/>
      <x:c r="I952" s="300"/>
      <x:c r="J952" s="300"/>
      <x:c r="K952" s="300"/>
      <x:c r="L952" s="300"/>
      <x:c r="M952" s="300"/>
    </x:row>
    <x:row r="953">
      <x:c r="H953" s="300"/>
      <x:c r="I953" s="300"/>
      <x:c r="J953" s="300"/>
      <x:c r="K953" s="300"/>
      <x:c r="L953" s="300"/>
      <x:c r="M953" s="300"/>
    </x:row>
    <x:row r="954">
      <x:c r="H954" s="300"/>
      <x:c r="I954" s="300"/>
      <x:c r="J954" s="300"/>
      <x:c r="K954" s="300"/>
      <x:c r="L954" s="300"/>
      <x:c r="M954" s="300"/>
    </x:row>
    <x:row r="955">
      <x:c r="H955" s="300"/>
      <x:c r="I955" s="300"/>
      <x:c r="J955" s="300"/>
      <x:c r="K955" s="300"/>
      <x:c r="L955" s="300"/>
      <x:c r="M955" s="300"/>
    </x:row>
    <x:row r="956">
      <x:c r="H956" s="300"/>
      <x:c r="I956" s="300"/>
      <x:c r="J956" s="300"/>
      <x:c r="K956" s="300"/>
      <x:c r="L956" s="300"/>
      <x:c r="M956" s="300"/>
    </x:row>
    <x:row r="957">
      <x:c r="H957" s="300"/>
      <x:c r="I957" s="300"/>
      <x:c r="J957" s="300"/>
      <x:c r="K957" s="300"/>
      <x:c r="L957" s="300"/>
      <x:c r="M957" s="300"/>
    </x:row>
    <x:row r="958">
      <x:c r="H958" s="300"/>
      <x:c r="I958" s="300"/>
      <x:c r="J958" s="300"/>
      <x:c r="K958" s="300"/>
      <x:c r="L958" s="300"/>
      <x:c r="M958" s="300"/>
    </x:row>
    <x:row r="959">
      <x:c r="H959" s="300"/>
      <x:c r="I959" s="300"/>
      <x:c r="J959" s="300"/>
      <x:c r="K959" s="300"/>
      <x:c r="L959" s="300"/>
      <x:c r="M959" s="300"/>
    </x:row>
    <x:row r="960">
      <x:c r="H960" s="300"/>
      <x:c r="I960" s="300"/>
      <x:c r="J960" s="300"/>
      <x:c r="K960" s="300"/>
      <x:c r="L960" s="300"/>
      <x:c r="M960" s="300"/>
    </x:row>
    <x:row r="961">
      <x:c r="H961" s="300"/>
      <x:c r="I961" s="300"/>
      <x:c r="J961" s="300"/>
      <x:c r="K961" s="300"/>
      <x:c r="L961" s="300"/>
      <x:c r="M961" s="300"/>
    </x:row>
    <x:row r="962">
      <x:c r="H962" s="300"/>
      <x:c r="I962" s="300"/>
      <x:c r="J962" s="300"/>
      <x:c r="K962" s="300"/>
      <x:c r="L962" s="300"/>
      <x:c r="M962" s="300"/>
    </x:row>
    <x:row r="963">
      <x:c r="H963" s="300"/>
      <x:c r="I963" s="300"/>
      <x:c r="J963" s="300"/>
      <x:c r="K963" s="300"/>
      <x:c r="L963" s="300"/>
      <x:c r="M963" s="300"/>
    </x:row>
    <x:row r="964">
      <x:c r="H964" s="300"/>
      <x:c r="I964" s="300"/>
      <x:c r="J964" s="300"/>
      <x:c r="K964" s="300"/>
      <x:c r="L964" s="300"/>
      <x:c r="M964" s="300"/>
    </x:row>
    <x:row r="965">
      <x:c r="H965" s="300"/>
      <x:c r="I965" s="300"/>
      <x:c r="J965" s="300"/>
      <x:c r="K965" s="300"/>
      <x:c r="L965" s="300"/>
      <x:c r="M965" s="300"/>
    </x:row>
    <x:row r="966">
      <x:c r="H966" s="300"/>
      <x:c r="I966" s="300"/>
      <x:c r="J966" s="300"/>
      <x:c r="K966" s="300"/>
      <x:c r="L966" s="300"/>
      <x:c r="M966" s="300"/>
    </x:row>
    <x:row r="967">
      <x:c r="H967" s="300"/>
      <x:c r="I967" s="300"/>
      <x:c r="J967" s="300"/>
      <x:c r="K967" s="300"/>
      <x:c r="L967" s="300"/>
      <x:c r="M967" s="300"/>
    </x:row>
    <x:row r="968">
      <x:c r="H968" s="300"/>
      <x:c r="I968" s="300"/>
      <x:c r="J968" s="300"/>
      <x:c r="K968" s="300"/>
      <x:c r="L968" s="300"/>
      <x:c r="M968" s="300"/>
    </x:row>
    <x:row r="969">
      <x:c r="H969" s="300"/>
      <x:c r="I969" s="300"/>
      <x:c r="J969" s="300"/>
      <x:c r="K969" s="300"/>
      <x:c r="L969" s="300"/>
      <x:c r="M969" s="300"/>
    </x:row>
    <x:row r="970">
      <x:c r="H970" s="300"/>
      <x:c r="I970" s="300"/>
      <x:c r="J970" s="300"/>
      <x:c r="K970" s="300"/>
      <x:c r="L970" s="300"/>
      <x:c r="M970" s="300"/>
    </x:row>
    <x:row r="971">
      <x:c r="H971" s="300"/>
      <x:c r="I971" s="300"/>
      <x:c r="J971" s="300"/>
      <x:c r="K971" s="300"/>
      <x:c r="L971" s="300"/>
      <x:c r="M971" s="300"/>
    </x:row>
    <x:row r="972">
      <x:c r="H972" s="300"/>
      <x:c r="I972" s="300"/>
      <x:c r="J972" s="300"/>
      <x:c r="K972" s="300"/>
      <x:c r="L972" s="300"/>
      <x:c r="M972" s="300"/>
    </x:row>
    <x:row r="973">
      <x:c r="H973" s="300"/>
      <x:c r="I973" s="300"/>
      <x:c r="J973" s="300"/>
      <x:c r="K973" s="300"/>
      <x:c r="L973" s="300"/>
      <x:c r="M973" s="300"/>
    </x:row>
    <x:row r="974">
      <x:c r="H974" s="300"/>
      <x:c r="I974" s="300"/>
      <x:c r="J974" s="300"/>
      <x:c r="K974" s="300"/>
      <x:c r="L974" s="300"/>
      <x:c r="M974" s="300"/>
    </x:row>
    <x:row r="975">
      <x:c r="H975" s="300"/>
      <x:c r="I975" s="300"/>
      <x:c r="J975" s="300"/>
      <x:c r="K975" s="300"/>
      <x:c r="L975" s="300"/>
      <x:c r="M975" s="300"/>
    </x:row>
    <x:row r="976">
      <x:c r="H976" s="300"/>
      <x:c r="I976" s="300"/>
      <x:c r="J976" s="300"/>
      <x:c r="K976" s="300"/>
      <x:c r="L976" s="300"/>
      <x:c r="M976" s="300"/>
    </x:row>
    <x:row r="977">
      <x:c r="H977" s="300"/>
      <x:c r="I977" s="300"/>
      <x:c r="J977" s="300"/>
      <x:c r="K977" s="300"/>
      <x:c r="L977" s="300"/>
      <x:c r="M977" s="300"/>
    </x:row>
    <x:row r="978">
      <x:c r="H978" s="300"/>
      <x:c r="I978" s="300"/>
      <x:c r="J978" s="300"/>
      <x:c r="K978" s="300"/>
      <x:c r="L978" s="300"/>
      <x:c r="M978" s="300"/>
    </x:row>
    <x:row r="979">
      <x:c r="H979" s="300"/>
      <x:c r="I979" s="300"/>
      <x:c r="J979" s="300"/>
      <x:c r="K979" s="300"/>
      <x:c r="L979" s="300"/>
      <x:c r="M979" s="300"/>
    </x:row>
    <x:row r="980">
      <x:c r="H980" s="300"/>
      <x:c r="I980" s="300"/>
      <x:c r="J980" s="300"/>
      <x:c r="K980" s="300"/>
      <x:c r="L980" s="300"/>
      <x:c r="M980" s="300"/>
    </x:row>
    <x:row r="981">
      <x:c r="H981" s="300"/>
      <x:c r="I981" s="300"/>
      <x:c r="J981" s="300"/>
      <x:c r="K981" s="300"/>
      <x:c r="L981" s="300"/>
      <x:c r="M981" s="300"/>
    </x:row>
    <x:row r="982">
      <x:c r="H982" s="300"/>
      <x:c r="I982" s="300"/>
      <x:c r="J982" s="300"/>
      <x:c r="K982" s="300"/>
      <x:c r="L982" s="300"/>
      <x:c r="M982" s="300"/>
    </x:row>
    <x:row r="983">
      <x:c r="H983" s="300"/>
      <x:c r="I983" s="300"/>
      <x:c r="J983" s="300"/>
      <x:c r="K983" s="300"/>
      <x:c r="L983" s="300"/>
      <x:c r="M983" s="300"/>
    </x:row>
    <x:row r="984">
      <x:c r="H984" s="300"/>
      <x:c r="I984" s="300"/>
      <x:c r="J984" s="300"/>
      <x:c r="K984" s="300"/>
      <x:c r="L984" s="300"/>
      <x:c r="M984" s="300"/>
    </x:row>
    <x:row r="985">
      <x:c r="H985" s="300"/>
      <x:c r="I985" s="300"/>
      <x:c r="J985" s="300"/>
      <x:c r="K985" s="300"/>
      <x:c r="L985" s="300"/>
      <x:c r="M985" s="300"/>
    </x:row>
    <x:row r="986">
      <x:c r="H986" s="300"/>
      <x:c r="I986" s="300"/>
      <x:c r="J986" s="300"/>
      <x:c r="K986" s="300"/>
      <x:c r="L986" s="300"/>
      <x:c r="M986" s="300"/>
    </x:row>
    <x:row r="987">
      <x:c r="H987" s="300"/>
      <x:c r="I987" s="300"/>
      <x:c r="J987" s="300"/>
      <x:c r="K987" s="300"/>
      <x:c r="L987" s="300"/>
      <x:c r="M987" s="300"/>
    </x:row>
    <x:row r="988">
      <x:c r="H988" s="300"/>
      <x:c r="I988" s="300"/>
      <x:c r="J988" s="300"/>
      <x:c r="K988" s="300"/>
      <x:c r="L988" s="300"/>
      <x:c r="M988" s="300"/>
    </x:row>
    <x:row r="989">
      <x:c r="H989" s="300"/>
      <x:c r="I989" s="300"/>
      <x:c r="J989" s="300"/>
      <x:c r="K989" s="300"/>
      <x:c r="L989" s="300"/>
      <x:c r="M989" s="300"/>
    </x:row>
    <x:row r="990">
      <x:c r="H990" s="300"/>
      <x:c r="I990" s="300"/>
      <x:c r="J990" s="300"/>
      <x:c r="K990" s="300"/>
      <x:c r="L990" s="300"/>
      <x:c r="M990" s="300"/>
    </x:row>
    <x:row r="991">
      <x:c r="H991" s="300"/>
      <x:c r="I991" s="300"/>
      <x:c r="J991" s="300"/>
      <x:c r="K991" s="300"/>
      <x:c r="L991" s="300"/>
      <x:c r="M991" s="300"/>
    </x:row>
    <x:row r="992">
      <x:c r="H992" s="300"/>
      <x:c r="I992" s="300"/>
      <x:c r="J992" s="300"/>
      <x:c r="K992" s="300"/>
      <x:c r="L992" s="300"/>
      <x:c r="M992" s="300"/>
    </x:row>
    <x:row r="993">
      <x:c r="H993" s="300"/>
      <x:c r="I993" s="300"/>
      <x:c r="J993" s="300"/>
      <x:c r="K993" s="300"/>
      <x:c r="L993" s="300"/>
      <x:c r="M993" s="300"/>
    </x:row>
    <x:row r="994">
      <x:c r="H994" s="300"/>
      <x:c r="I994" s="300"/>
      <x:c r="J994" s="300"/>
      <x:c r="K994" s="300"/>
      <x:c r="L994" s="300"/>
      <x:c r="M994" s="300"/>
    </x:row>
    <x:row r="995">
      <x:c r="H995" s="300"/>
      <x:c r="I995" s="300"/>
      <x:c r="J995" s="300"/>
      <x:c r="K995" s="300"/>
      <x:c r="L995" s="300"/>
      <x:c r="M995" s="300"/>
    </x:row>
    <x:row r="996">
      <x:c r="H996" s="300"/>
      <x:c r="I996" s="300"/>
      <x:c r="J996" s="300"/>
      <x:c r="K996" s="300"/>
      <x:c r="L996" s="300"/>
      <x:c r="M996" s="300"/>
    </x:row>
    <x:row r="997">
      <x:c r="H997" s="300"/>
      <x:c r="I997" s="300"/>
      <x:c r="J997" s="300"/>
      <x:c r="K997" s="300"/>
      <x:c r="L997" s="300"/>
      <x:c r="M997" s="300"/>
    </x:row>
    <x:row r="998">
      <x:c r="H998" s="300"/>
      <x:c r="I998" s="300"/>
      <x:c r="J998" s="300"/>
      <x:c r="K998" s="300"/>
      <x:c r="L998" s="300"/>
      <x:c r="M998" s="300"/>
    </x:row>
    <x:row r="999">
      <x:c r="H999" s="300"/>
      <x:c r="I999" s="300"/>
      <x:c r="J999" s="300"/>
      <x:c r="K999" s="300"/>
      <x:c r="L999" s="300"/>
      <x:c r="M999" s="300"/>
    </x:row>
    <x:row r="1000">
      <x:c r="H1000" s="300"/>
      <x:c r="I1000" s="300"/>
      <x:c r="J1000" s="300"/>
      <x:c r="K1000" s="300"/>
      <x:c r="L1000" s="300"/>
      <x:c r="M1000" s="300"/>
    </x:row>
    <x:row r="1001">
      <x:c r="H1001" s="300"/>
      <x:c r="I1001" s="300"/>
      <x:c r="J1001" s="300"/>
      <x:c r="K1001" s="300"/>
      <x:c r="L1001" s="300"/>
      <x:c r="M1001" s="300"/>
    </x:row>
    <x:row r="1002">
      <x:c r="H1002" s="300"/>
      <x:c r="I1002" s="300"/>
      <x:c r="J1002" s="300"/>
      <x:c r="K1002" s="300"/>
      <x:c r="L1002" s="300"/>
      <x:c r="M1002" s="300"/>
    </x:row>
    <x:row r="1003">
      <x:c r="H1003" s="300"/>
      <x:c r="I1003" s="300"/>
      <x:c r="J1003" s="300"/>
      <x:c r="K1003" s="300"/>
      <x:c r="L1003" s="300"/>
      <x:c r="M1003" s="300"/>
    </x:row>
    <x:row r="1004">
      <x:c r="H1004" s="300"/>
      <x:c r="I1004" s="300"/>
      <x:c r="J1004" s="300"/>
      <x:c r="K1004" s="300"/>
      <x:c r="L1004" s="300"/>
      <x:c r="M1004" s="300"/>
    </x:row>
    <x:row r="1005">
      <x:c r="H1005" s="300"/>
      <x:c r="I1005" s="300"/>
      <x:c r="J1005" s="300"/>
      <x:c r="K1005" s="300"/>
      <x:c r="L1005" s="300"/>
      <x:c r="M1005" s="300"/>
    </x:row>
    <x:row r="1006">
      <x:c r="H1006" s="300"/>
      <x:c r="I1006" s="300"/>
      <x:c r="J1006" s="300"/>
      <x:c r="K1006" s="300"/>
      <x:c r="L1006" s="300"/>
      <x:c r="M1006" s="300"/>
    </x:row>
    <x:row r="1007">
      <x:c r="H1007" s="300"/>
      <x:c r="I1007" s="300"/>
      <x:c r="J1007" s="300"/>
      <x:c r="K1007" s="300"/>
      <x:c r="L1007" s="300"/>
      <x:c r="M1007" s="300"/>
    </x:row>
    <x:row r="1008">
      <x:c r="H1008" s="300"/>
      <x:c r="I1008" s="300"/>
      <x:c r="J1008" s="300"/>
      <x:c r="K1008" s="300"/>
      <x:c r="L1008" s="300"/>
      <x:c r="M1008" s="300"/>
    </x:row>
    <x:row r="1009">
      <x:c r="H1009" s="300"/>
      <x:c r="I1009" s="300"/>
      <x:c r="J1009" s="300"/>
      <x:c r="K1009" s="300"/>
      <x:c r="L1009" s="300"/>
      <x:c r="M1009" s="300"/>
    </x:row>
    <x:row r="1010">
      <x:c r="H1010" s="300"/>
      <x:c r="I1010" s="300"/>
      <x:c r="J1010" s="300"/>
      <x:c r="K1010" s="300"/>
      <x:c r="L1010" s="300"/>
      <x:c r="M1010" s="300"/>
    </x:row>
    <x:row r="1011">
      <x:c r="H1011" s="300"/>
      <x:c r="I1011" s="300"/>
      <x:c r="J1011" s="300"/>
      <x:c r="K1011" s="300"/>
      <x:c r="L1011" s="300"/>
      <x:c r="M1011" s="300"/>
    </x:row>
    <x:row r="1012">
      <x:c r="H1012" s="300"/>
      <x:c r="I1012" s="300"/>
      <x:c r="J1012" s="300"/>
      <x:c r="K1012" s="300"/>
      <x:c r="L1012" s="300"/>
      <x:c r="M1012" s="300"/>
    </x:row>
    <x:row r="1013">
      <x:c r="H1013" s="300"/>
      <x:c r="I1013" s="300"/>
      <x:c r="J1013" s="300"/>
      <x:c r="K1013" s="300"/>
      <x:c r="L1013" s="300"/>
      <x:c r="M1013" s="300"/>
    </x:row>
    <x:row r="1014">
      <x:c r="H1014" s="300"/>
      <x:c r="I1014" s="300"/>
      <x:c r="J1014" s="300"/>
      <x:c r="K1014" s="300"/>
      <x:c r="L1014" s="300"/>
      <x:c r="M1014" s="300"/>
    </x:row>
    <x:row r="1015">
      <x:c r="H1015" s="300"/>
      <x:c r="I1015" s="300"/>
      <x:c r="J1015" s="300"/>
      <x:c r="K1015" s="300"/>
      <x:c r="L1015" s="300"/>
      <x:c r="M1015" s="300"/>
    </x:row>
    <x:row r="1016">
      <x:c r="H1016" s="300"/>
      <x:c r="I1016" s="300"/>
      <x:c r="J1016" s="300"/>
      <x:c r="K1016" s="300"/>
      <x:c r="L1016" s="300"/>
      <x:c r="M1016" s="300"/>
    </x:row>
    <x:row r="1017">
      <x:c r="H1017" s="300"/>
      <x:c r="I1017" s="300"/>
      <x:c r="J1017" s="300"/>
      <x:c r="K1017" s="300"/>
      <x:c r="L1017" s="300"/>
      <x:c r="M1017" s="300"/>
    </x:row>
    <x:row r="1018">
      <x:c r="H1018" s="300"/>
      <x:c r="I1018" s="300"/>
      <x:c r="J1018" s="300"/>
      <x:c r="K1018" s="300"/>
      <x:c r="L1018" s="300"/>
      <x:c r="M1018" s="300"/>
    </x:row>
    <x:row r="1019">
      <x:c r="H1019" s="300"/>
      <x:c r="I1019" s="300"/>
      <x:c r="J1019" s="300"/>
      <x:c r="K1019" s="300"/>
      <x:c r="L1019" s="300"/>
      <x:c r="M1019" s="300"/>
    </x:row>
    <x:row r="1020">
      <x:c r="H1020" s="300"/>
      <x:c r="I1020" s="300"/>
      <x:c r="J1020" s="300"/>
      <x:c r="K1020" s="300"/>
      <x:c r="L1020" s="300"/>
      <x:c r="M1020" s="300"/>
    </x:row>
    <x:row r="1021">
      <x:c r="H1021" s="300"/>
      <x:c r="I1021" s="300"/>
      <x:c r="J1021" s="300"/>
      <x:c r="K1021" s="300"/>
      <x:c r="L1021" s="300"/>
      <x:c r="M1021" s="300"/>
    </x:row>
    <x:row r="1022">
      <x:c r="H1022" s="300"/>
      <x:c r="I1022" s="300"/>
      <x:c r="J1022" s="300"/>
      <x:c r="K1022" s="300"/>
      <x:c r="L1022" s="300"/>
      <x:c r="M1022" s="300"/>
    </x:row>
    <x:row r="1023">
      <x:c r="H1023" s="300"/>
      <x:c r="I1023" s="300"/>
      <x:c r="J1023" s="300"/>
      <x:c r="K1023" s="300"/>
      <x:c r="L1023" s="300"/>
      <x:c r="M1023" s="300"/>
    </x:row>
    <x:row r="1024">
      <x:c r="H1024" s="300"/>
      <x:c r="I1024" s="300"/>
      <x:c r="J1024" s="300"/>
      <x:c r="K1024" s="300"/>
      <x:c r="L1024" s="300"/>
      <x:c r="M1024" s="300"/>
    </x:row>
    <x:row r="1025">
      <x:c r="H1025" s="300"/>
      <x:c r="I1025" s="300"/>
      <x:c r="J1025" s="300"/>
      <x:c r="K1025" s="300"/>
      <x:c r="L1025" s="300"/>
      <x:c r="M1025" s="300"/>
    </x:row>
    <x:row r="1026">
      <x:c r="H1026" s="300"/>
      <x:c r="I1026" s="300"/>
      <x:c r="J1026" s="300"/>
      <x:c r="K1026" s="300"/>
      <x:c r="L1026" s="300"/>
      <x:c r="M1026" s="300"/>
    </x:row>
    <x:row r="1027">
      <x:c r="H1027" s="300"/>
      <x:c r="I1027" s="300"/>
      <x:c r="J1027" s="300"/>
      <x:c r="K1027" s="300"/>
      <x:c r="L1027" s="300"/>
      <x:c r="M1027" s="300"/>
    </x:row>
    <x:row r="1028">
      <x:c r="H1028" s="300"/>
      <x:c r="I1028" s="300"/>
      <x:c r="J1028" s="300"/>
      <x:c r="K1028" s="300"/>
      <x:c r="L1028" s="300"/>
      <x:c r="M1028" s="300"/>
    </x:row>
    <x:row r="1029">
      <x:c r="H1029" s="300"/>
      <x:c r="I1029" s="300"/>
      <x:c r="J1029" s="300"/>
      <x:c r="K1029" s="300"/>
      <x:c r="L1029" s="300"/>
      <x:c r="M1029" s="300"/>
    </x:row>
    <x:row r="1030">
      <x:c r="H1030" s="300"/>
      <x:c r="I1030" s="300"/>
      <x:c r="J1030" s="300"/>
      <x:c r="K1030" s="300"/>
      <x:c r="L1030" s="300"/>
      <x:c r="M1030" s="300"/>
    </x:row>
    <x:row r="1031">
      <x:c r="H1031" s="300"/>
      <x:c r="I1031" s="300"/>
      <x:c r="J1031" s="300"/>
      <x:c r="K1031" s="300"/>
      <x:c r="L1031" s="300"/>
      <x:c r="M1031" s="300"/>
    </x:row>
    <x:row r="1032">
      <x:c r="H1032" s="300"/>
      <x:c r="I1032" s="300"/>
      <x:c r="J1032" s="300"/>
      <x:c r="K1032" s="300"/>
      <x:c r="L1032" s="300"/>
      <x:c r="M1032" s="300"/>
    </x:row>
    <x:row r="1033">
      <x:c r="H1033" s="300"/>
      <x:c r="I1033" s="300"/>
      <x:c r="J1033" s="300"/>
      <x:c r="K1033" s="300"/>
      <x:c r="L1033" s="300"/>
      <x:c r="M1033" s="300"/>
    </x:row>
    <x:row r="1034">
      <x:c r="H1034" s="300"/>
      <x:c r="I1034" s="300"/>
      <x:c r="J1034" s="300"/>
      <x:c r="K1034" s="300"/>
      <x:c r="L1034" s="300"/>
      <x:c r="M1034" s="300"/>
    </x:row>
    <x:row r="1035">
      <x:c r="H1035" s="300"/>
      <x:c r="I1035" s="300"/>
      <x:c r="J1035" s="300"/>
      <x:c r="K1035" s="300"/>
      <x:c r="L1035" s="300"/>
      <x:c r="M1035" s="300"/>
    </x:row>
    <x:row r="1036">
      <x:c r="H1036" s="300"/>
      <x:c r="I1036" s="300"/>
      <x:c r="J1036" s="300"/>
      <x:c r="K1036" s="300"/>
      <x:c r="L1036" s="300"/>
      <x:c r="M1036" s="300"/>
    </x:row>
    <x:row r="1037">
      <x:c r="H1037" s="300"/>
      <x:c r="I1037" s="300"/>
      <x:c r="J1037" s="300"/>
      <x:c r="K1037" s="300"/>
      <x:c r="L1037" s="300"/>
      <x:c r="M1037" s="300"/>
    </x:row>
    <x:row r="1038">
      <x:c r="H1038" s="300"/>
      <x:c r="I1038" s="300"/>
      <x:c r="J1038" s="300"/>
      <x:c r="K1038" s="300"/>
      <x:c r="L1038" s="300"/>
      <x:c r="M1038" s="300"/>
    </x:row>
    <x:row r="1039">
      <x:c r="H1039" s="300"/>
      <x:c r="I1039" s="300"/>
      <x:c r="J1039" s="300"/>
      <x:c r="K1039" s="300"/>
      <x:c r="L1039" s="300"/>
      <x:c r="M1039" s="300"/>
    </x:row>
    <x:row r="1040">
      <x:c r="H1040" s="300"/>
      <x:c r="I1040" s="300"/>
      <x:c r="J1040" s="300"/>
      <x:c r="K1040" s="300"/>
      <x:c r="L1040" s="300"/>
      <x:c r="M1040" s="300"/>
    </x:row>
    <x:row r="1041">
      <x:c r="H1041" s="300"/>
      <x:c r="I1041" s="300"/>
      <x:c r="J1041" s="300"/>
      <x:c r="K1041" s="300"/>
      <x:c r="L1041" s="300"/>
      <x:c r="M1041" s="300"/>
    </x:row>
    <x:row r="1042">
      <x:c r="H1042" s="300"/>
      <x:c r="I1042" s="300"/>
      <x:c r="J1042" s="300"/>
      <x:c r="K1042" s="300"/>
      <x:c r="L1042" s="300"/>
      <x:c r="M1042" s="300"/>
    </x:row>
    <x:row r="1043">
      <x:c r="H1043" s="300"/>
      <x:c r="I1043" s="300"/>
      <x:c r="J1043" s="300"/>
      <x:c r="K1043" s="300"/>
      <x:c r="L1043" s="300"/>
      <x:c r="M1043" s="300"/>
    </x:row>
    <x:row r="1044">
      <x:c r="H1044" s="300"/>
      <x:c r="I1044" s="300"/>
      <x:c r="J1044" s="300"/>
      <x:c r="K1044" s="300"/>
      <x:c r="L1044" s="300"/>
      <x:c r="M1044" s="300"/>
    </x:row>
    <x:row r="1045">
      <x:c r="H1045" s="300"/>
      <x:c r="I1045" s="300"/>
      <x:c r="J1045" s="300"/>
      <x:c r="K1045" s="300"/>
      <x:c r="L1045" s="300"/>
      <x:c r="M1045" s="300"/>
    </x:row>
    <x:row r="1046">
      <x:c r="H1046" s="300"/>
      <x:c r="I1046" s="300"/>
      <x:c r="J1046" s="300"/>
      <x:c r="K1046" s="300"/>
      <x:c r="L1046" s="300"/>
      <x:c r="M1046" s="300"/>
    </x:row>
    <x:row r="1047">
      <x:c r="H1047" s="300"/>
      <x:c r="I1047" s="300"/>
      <x:c r="J1047" s="300"/>
      <x:c r="K1047" s="300"/>
      <x:c r="L1047" s="300"/>
      <x:c r="M1047" s="300"/>
    </x:row>
    <x:row r="1048">
      <x:c r="H1048" s="300"/>
      <x:c r="I1048" s="300"/>
      <x:c r="J1048" s="300"/>
      <x:c r="K1048" s="300"/>
      <x:c r="L1048" s="300"/>
      <x:c r="M1048" s="300"/>
    </x:row>
    <x:row r="1049">
      <x:c r="H1049" s="300"/>
      <x:c r="I1049" s="300"/>
      <x:c r="J1049" s="300"/>
      <x:c r="K1049" s="300"/>
      <x:c r="L1049" s="300"/>
      <x:c r="M1049" s="300"/>
    </x:row>
    <x:row r="1050">
      <x:c r="H1050" s="300"/>
      <x:c r="I1050" s="300"/>
      <x:c r="J1050" s="300"/>
      <x:c r="K1050" s="300"/>
      <x:c r="L1050" s="300"/>
      <x:c r="M1050" s="300"/>
    </x:row>
    <x:row r="1051">
      <x:c r="H1051" s="300"/>
      <x:c r="I1051" s="300"/>
      <x:c r="J1051" s="300"/>
      <x:c r="K1051" s="300"/>
      <x:c r="L1051" s="300"/>
      <x:c r="M1051" s="300"/>
    </x:row>
    <x:row r="1052">
      <x:c r="H1052" s="300"/>
      <x:c r="I1052" s="300"/>
      <x:c r="J1052" s="300"/>
      <x:c r="K1052" s="300"/>
      <x:c r="L1052" s="300"/>
      <x:c r="M1052" s="300"/>
    </x:row>
    <x:row r="1053">
      <x:c r="H1053" s="300"/>
      <x:c r="I1053" s="300"/>
      <x:c r="J1053" s="300"/>
      <x:c r="K1053" s="300"/>
      <x:c r="L1053" s="300"/>
      <x:c r="M1053" s="300"/>
    </x:row>
    <x:row r="1054">
      <x:c r="H1054" s="300"/>
      <x:c r="I1054" s="300"/>
      <x:c r="J1054" s="300"/>
      <x:c r="K1054" s="300"/>
      <x:c r="L1054" s="300"/>
      <x:c r="M1054" s="300"/>
    </x:row>
    <x:row r="1055">
      <x:c r="H1055" s="300"/>
      <x:c r="I1055" s="300"/>
      <x:c r="J1055" s="300"/>
      <x:c r="K1055" s="300"/>
      <x:c r="L1055" s="300"/>
      <x:c r="M1055" s="300"/>
    </x:row>
    <x:row r="1056">
      <x:c r="H1056" s="300"/>
      <x:c r="I1056" s="300"/>
      <x:c r="J1056" s="300"/>
      <x:c r="K1056" s="300"/>
      <x:c r="L1056" s="300"/>
      <x:c r="M1056" s="300"/>
    </x:row>
    <x:row r="1057">
      <x:c r="H1057" s="300"/>
      <x:c r="I1057" s="300"/>
      <x:c r="J1057" s="300"/>
      <x:c r="K1057" s="300"/>
      <x:c r="L1057" s="300"/>
      <x:c r="M1057" s="300"/>
    </x:row>
    <x:row r="1058">
      <x:c r="H1058" s="300"/>
      <x:c r="I1058" s="300"/>
      <x:c r="J1058" s="300"/>
      <x:c r="K1058" s="300"/>
      <x:c r="L1058" s="300"/>
      <x:c r="M1058" s="300"/>
    </x:row>
    <x:row r="1059">
      <x:c r="H1059" s="300"/>
      <x:c r="I1059" s="300"/>
      <x:c r="J1059" s="300"/>
      <x:c r="K1059" s="300"/>
      <x:c r="L1059" s="300"/>
      <x:c r="M1059" s="300"/>
    </x:row>
    <x:row r="1060">
      <x:c r="H1060" s="300"/>
      <x:c r="I1060" s="300"/>
      <x:c r="J1060" s="300"/>
      <x:c r="K1060" s="300"/>
      <x:c r="L1060" s="300"/>
      <x:c r="M1060" s="300"/>
    </x:row>
    <x:row r="1061">
      <x:c r="H1061" s="300"/>
      <x:c r="I1061" s="300"/>
      <x:c r="J1061" s="300"/>
      <x:c r="K1061" s="300"/>
      <x:c r="L1061" s="300"/>
      <x:c r="M1061" s="300"/>
    </x:row>
    <x:row r="1062">
      <x:c r="H1062" s="300"/>
      <x:c r="I1062" s="300"/>
      <x:c r="J1062" s="300"/>
      <x:c r="K1062" s="300"/>
      <x:c r="L1062" s="300"/>
      <x:c r="M1062" s="300"/>
    </x:row>
    <x:row r="1063">
      <x:c r="H1063" s="300"/>
      <x:c r="I1063" s="300"/>
      <x:c r="J1063" s="300"/>
      <x:c r="K1063" s="300"/>
      <x:c r="L1063" s="300"/>
      <x:c r="M1063" s="300"/>
    </x:row>
    <x:row r="1064">
      <x:c r="H1064" s="300"/>
      <x:c r="I1064" s="300"/>
      <x:c r="J1064" s="300"/>
      <x:c r="K1064" s="300"/>
      <x:c r="L1064" s="300"/>
      <x:c r="M1064" s="300"/>
    </x:row>
    <x:row r="1065">
      <x:c r="H1065" s="300"/>
      <x:c r="I1065" s="300"/>
      <x:c r="J1065" s="300"/>
      <x:c r="K1065" s="300"/>
      <x:c r="L1065" s="300"/>
      <x:c r="M1065" s="300"/>
    </x:row>
    <x:row r="1066">
      <x:c r="H1066" s="300"/>
      <x:c r="I1066" s="300"/>
      <x:c r="J1066" s="300"/>
      <x:c r="K1066" s="300"/>
      <x:c r="L1066" s="300"/>
      <x:c r="M1066" s="300"/>
    </x:row>
    <x:row r="1067">
      <x:c r="H1067" s="300"/>
      <x:c r="I1067" s="300"/>
      <x:c r="J1067" s="300"/>
      <x:c r="K1067" s="300"/>
      <x:c r="L1067" s="300"/>
      <x:c r="M1067" s="300"/>
    </x:row>
    <x:row r="1068">
      <x:c r="H1068" s="300"/>
      <x:c r="I1068" s="300"/>
      <x:c r="J1068" s="300"/>
      <x:c r="K1068" s="300"/>
      <x:c r="L1068" s="300"/>
      <x:c r="M1068" s="300"/>
    </x:row>
    <x:row r="1069">
      <x:c r="H1069" s="300"/>
      <x:c r="I1069" s="300"/>
      <x:c r="J1069" s="300"/>
      <x:c r="K1069" s="300"/>
      <x:c r="L1069" s="300"/>
      <x:c r="M1069" s="300"/>
    </x:row>
    <x:row r="1070">
      <x:c r="H1070" s="300"/>
      <x:c r="I1070" s="300"/>
      <x:c r="J1070" s="300"/>
      <x:c r="K1070" s="300"/>
      <x:c r="L1070" s="300"/>
      <x:c r="M1070" s="300"/>
    </x:row>
    <x:row r="1071">
      <x:c r="H1071" s="300"/>
      <x:c r="I1071" s="300"/>
      <x:c r="J1071" s="300"/>
      <x:c r="K1071" s="300"/>
      <x:c r="L1071" s="300"/>
      <x:c r="M1071" s="300"/>
    </x:row>
    <x:row r="1072">
      <x:c r="H1072" s="300"/>
      <x:c r="I1072" s="300"/>
      <x:c r="J1072" s="300"/>
      <x:c r="K1072" s="300"/>
      <x:c r="L1072" s="300"/>
      <x:c r="M1072" s="300"/>
    </x:row>
    <x:row r="1073">
      <x:c r="H1073" s="300"/>
      <x:c r="I1073" s="300"/>
      <x:c r="J1073" s="300"/>
      <x:c r="K1073" s="300"/>
      <x:c r="L1073" s="300"/>
      <x:c r="M1073" s="300"/>
    </x:row>
    <x:row r="1074">
      <x:c r="H1074" s="300"/>
      <x:c r="I1074" s="300"/>
      <x:c r="J1074" s="300"/>
      <x:c r="K1074" s="300"/>
      <x:c r="L1074" s="300"/>
      <x:c r="M1074" s="300"/>
    </x:row>
    <x:row r="1075">
      <x:c r="H1075" s="300"/>
      <x:c r="I1075" s="300"/>
      <x:c r="J1075" s="300"/>
      <x:c r="K1075" s="300"/>
      <x:c r="L1075" s="300"/>
      <x:c r="M1075" s="300"/>
    </x:row>
    <x:row r="1076">
      <x:c r="H1076" s="300"/>
      <x:c r="I1076" s="300"/>
      <x:c r="J1076" s="300"/>
      <x:c r="K1076" s="300"/>
      <x:c r="L1076" s="300"/>
      <x:c r="M1076" s="300"/>
    </x:row>
    <x:row r="1077">
      <x:c r="H1077" s="300"/>
      <x:c r="I1077" s="300"/>
      <x:c r="J1077" s="300"/>
      <x:c r="K1077" s="300"/>
      <x:c r="L1077" s="300"/>
      <x:c r="M1077" s="300"/>
    </x:row>
    <x:row r="1078">
      <x:c r="H1078" s="300"/>
      <x:c r="I1078" s="300"/>
      <x:c r="J1078" s="300"/>
      <x:c r="K1078" s="300"/>
      <x:c r="L1078" s="300"/>
      <x:c r="M1078" s="300"/>
    </x:row>
    <x:row r="1079">
      <x:c r="H1079" s="300"/>
      <x:c r="I1079" s="300"/>
      <x:c r="J1079" s="300"/>
      <x:c r="K1079" s="300"/>
      <x:c r="L1079" s="300"/>
      <x:c r="M1079" s="300"/>
    </x:row>
    <x:row r="1080">
      <x:c r="H1080" s="300"/>
      <x:c r="I1080" s="300"/>
      <x:c r="J1080" s="300"/>
      <x:c r="K1080" s="300"/>
      <x:c r="L1080" s="300"/>
      <x:c r="M1080" s="300"/>
    </x:row>
    <x:row r="1081">
      <x:c r="H1081" s="300"/>
      <x:c r="I1081" s="300"/>
      <x:c r="J1081" s="300"/>
      <x:c r="K1081" s="300"/>
      <x:c r="L1081" s="300"/>
      <x:c r="M1081" s="300"/>
    </x:row>
    <x:row r="1082">
      <x:c r="H1082" s="300"/>
      <x:c r="I1082" s="300"/>
      <x:c r="J1082" s="300"/>
      <x:c r="K1082" s="300"/>
      <x:c r="L1082" s="300"/>
      <x:c r="M1082" s="300"/>
    </x:row>
    <x:row r="1083">
      <x:c r="H1083" s="300"/>
      <x:c r="I1083" s="300"/>
      <x:c r="J1083" s="300"/>
      <x:c r="K1083" s="300"/>
      <x:c r="L1083" s="300"/>
      <x:c r="M1083" s="300"/>
    </x:row>
    <x:row r="1084">
      <x:c r="H1084" s="300"/>
      <x:c r="I1084" s="300"/>
      <x:c r="J1084" s="300"/>
      <x:c r="K1084" s="300"/>
      <x:c r="L1084" s="300"/>
      <x:c r="M1084" s="300"/>
    </x:row>
    <x:row r="1085">
      <x:c r="H1085" s="300"/>
      <x:c r="I1085" s="300"/>
      <x:c r="J1085" s="300"/>
      <x:c r="K1085" s="300"/>
      <x:c r="L1085" s="300"/>
      <x:c r="M1085" s="300"/>
    </x:row>
    <x:row r="1086">
      <x:c r="H1086" s="300"/>
      <x:c r="I1086" s="300"/>
      <x:c r="J1086" s="300"/>
      <x:c r="K1086" s="300"/>
      <x:c r="L1086" s="300"/>
      <x:c r="M1086" s="300"/>
    </x:row>
    <x:row r="1087">
      <x:c r="H1087" s="300"/>
      <x:c r="I1087" s="300"/>
      <x:c r="J1087" s="300"/>
      <x:c r="K1087" s="300"/>
      <x:c r="L1087" s="300"/>
      <x:c r="M1087" s="300"/>
    </x:row>
    <x:row r="1088">
      <x:c r="H1088" s="300"/>
      <x:c r="I1088" s="300"/>
      <x:c r="J1088" s="300"/>
      <x:c r="K1088" s="300"/>
      <x:c r="L1088" s="300"/>
      <x:c r="M1088" s="300"/>
    </x:row>
    <x:row r="1089">
      <x:c r="H1089" s="300"/>
      <x:c r="I1089" s="300"/>
      <x:c r="J1089" s="300"/>
      <x:c r="K1089" s="300"/>
      <x:c r="L1089" s="300"/>
      <x:c r="M1089" s="300"/>
    </x:row>
    <x:row r="1090">
      <x:c r="H1090" s="300"/>
      <x:c r="I1090" s="300"/>
      <x:c r="J1090" s="300"/>
      <x:c r="K1090" s="300"/>
      <x:c r="L1090" s="300"/>
      <x:c r="M1090" s="300"/>
    </x:row>
    <x:row r="1091">
      <x:c r="H1091" s="300"/>
      <x:c r="I1091" s="300"/>
      <x:c r="J1091" s="300"/>
      <x:c r="K1091" s="300"/>
      <x:c r="L1091" s="300"/>
      <x:c r="M1091" s="300"/>
    </x:row>
    <x:row r="1092">
      <x:c r="H1092" s="300"/>
      <x:c r="I1092" s="300"/>
      <x:c r="J1092" s="300"/>
      <x:c r="K1092" s="300"/>
      <x:c r="L1092" s="300"/>
      <x:c r="M1092" s="300"/>
    </x:row>
    <x:row r="1093">
      <x:c r="H1093" s="300"/>
      <x:c r="I1093" s="300"/>
      <x:c r="J1093" s="300"/>
      <x:c r="K1093" s="300"/>
      <x:c r="L1093" s="300"/>
      <x:c r="M1093" s="300"/>
    </x:row>
    <x:row r="1094">
      <x:c r="H1094" s="300"/>
      <x:c r="I1094" s="300"/>
      <x:c r="J1094" s="300"/>
      <x:c r="K1094" s="300"/>
      <x:c r="L1094" s="300"/>
      <x:c r="M1094" s="300"/>
    </x:row>
    <x:row r="1095">
      <x:c r="H1095" s="300"/>
      <x:c r="I1095" s="300"/>
      <x:c r="J1095" s="300"/>
      <x:c r="K1095" s="300"/>
      <x:c r="L1095" s="300"/>
      <x:c r="M1095" s="300"/>
    </x:row>
    <x:row r="1096">
      <x:c r="H1096" s="300"/>
      <x:c r="I1096" s="300"/>
      <x:c r="J1096" s="300"/>
      <x:c r="K1096" s="300"/>
      <x:c r="L1096" s="300"/>
      <x:c r="M1096" s="300"/>
    </x:row>
    <x:row r="1097">
      <x:c r="H1097" s="300"/>
      <x:c r="I1097" s="300"/>
      <x:c r="J1097" s="300"/>
      <x:c r="K1097" s="300"/>
      <x:c r="L1097" s="300"/>
      <x:c r="M1097" s="300"/>
    </x:row>
    <x:row r="1098">
      <x:c r="H1098" s="300"/>
      <x:c r="I1098" s="300"/>
      <x:c r="J1098" s="300"/>
      <x:c r="K1098" s="300"/>
      <x:c r="L1098" s="300"/>
      <x:c r="M1098" s="300"/>
    </x:row>
    <x:row r="1099">
      <x:c r="H1099" s="300"/>
      <x:c r="I1099" s="300"/>
      <x:c r="J1099" s="300"/>
      <x:c r="K1099" s="300"/>
      <x:c r="L1099" s="300"/>
      <x:c r="M1099" s="300"/>
    </x:row>
    <x:row r="1100">
      <x:c r="H1100" s="300"/>
      <x:c r="I1100" s="300"/>
      <x:c r="J1100" s="300"/>
      <x:c r="K1100" s="300"/>
      <x:c r="L1100" s="300"/>
      <x:c r="M1100" s="300"/>
    </x:row>
    <x:row r="1101">
      <x:c r="H1101" s="300"/>
      <x:c r="I1101" s="300"/>
      <x:c r="J1101" s="300"/>
      <x:c r="K1101" s="300"/>
      <x:c r="L1101" s="300"/>
      <x:c r="M1101" s="300"/>
    </x:row>
    <x:row r="1102">
      <x:c r="H1102" s="300"/>
      <x:c r="I1102" s="300"/>
      <x:c r="J1102" s="300"/>
      <x:c r="K1102" s="300"/>
      <x:c r="L1102" s="300"/>
      <x:c r="M1102" s="300"/>
    </x:row>
    <x:row r="1103">
      <x:c r="H1103" s="300"/>
      <x:c r="I1103" s="300"/>
      <x:c r="J1103" s="300"/>
      <x:c r="K1103" s="300"/>
      <x:c r="L1103" s="300"/>
      <x:c r="M1103" s="300"/>
    </x:row>
    <x:row r="1104">
      <x:c r="H1104" s="300"/>
      <x:c r="I1104" s="300"/>
      <x:c r="J1104" s="300"/>
      <x:c r="K1104" s="300"/>
      <x:c r="L1104" s="300"/>
      <x:c r="M1104" s="300"/>
    </x:row>
    <x:row r="1105">
      <x:c r="H1105" s="300"/>
      <x:c r="I1105" s="300"/>
      <x:c r="J1105" s="300"/>
      <x:c r="K1105" s="300"/>
      <x:c r="L1105" s="300"/>
      <x:c r="M1105" s="300"/>
    </x:row>
    <x:row r="1106">
      <x:c r="H1106" s="300"/>
      <x:c r="I1106" s="300"/>
      <x:c r="J1106" s="300"/>
      <x:c r="K1106" s="300"/>
      <x:c r="L1106" s="300"/>
      <x:c r="M1106" s="300"/>
    </x:row>
    <x:row r="1107">
      <x:c r="H1107" s="300"/>
      <x:c r="I1107" s="300"/>
      <x:c r="J1107" s="300"/>
      <x:c r="K1107" s="300"/>
      <x:c r="L1107" s="300"/>
      <x:c r="M1107" s="300"/>
    </x:row>
    <x:row r="1108">
      <x:c r="H1108" s="300"/>
      <x:c r="I1108" s="300"/>
      <x:c r="J1108" s="300"/>
      <x:c r="K1108" s="300"/>
      <x:c r="L1108" s="300"/>
      <x:c r="M1108" s="300"/>
    </x:row>
    <x:row r="1109">
      <x:c r="H1109" s="300"/>
      <x:c r="I1109" s="300"/>
      <x:c r="J1109" s="300"/>
      <x:c r="K1109" s="300"/>
      <x:c r="L1109" s="300"/>
      <x:c r="M1109" s="300"/>
    </x:row>
    <x:row r="1110">
      <x:c r="H1110" s="300"/>
      <x:c r="I1110" s="300"/>
      <x:c r="J1110" s="300"/>
      <x:c r="K1110" s="300"/>
      <x:c r="L1110" s="300"/>
      <x:c r="M1110" s="300"/>
    </x:row>
    <x:row r="1111">
      <x:c r="H1111" s="300"/>
      <x:c r="I1111" s="300"/>
      <x:c r="J1111" s="300"/>
      <x:c r="K1111" s="300"/>
      <x:c r="L1111" s="300"/>
      <x:c r="M1111" s="300"/>
    </x:row>
    <x:row r="1112">
      <x:c r="H1112" s="300"/>
      <x:c r="I1112" s="300"/>
      <x:c r="J1112" s="300"/>
      <x:c r="K1112" s="300"/>
      <x:c r="L1112" s="300"/>
      <x:c r="M1112" s="300"/>
    </x:row>
    <x:row r="1113">
      <x:c r="H1113" s="300"/>
      <x:c r="I1113" s="300"/>
      <x:c r="J1113" s="300"/>
      <x:c r="K1113" s="300"/>
      <x:c r="L1113" s="300"/>
      <x:c r="M1113" s="300"/>
    </x:row>
    <x:row r="1114">
      <x:c r="H1114" s="300"/>
      <x:c r="I1114" s="300"/>
      <x:c r="J1114" s="300"/>
      <x:c r="K1114" s="300"/>
      <x:c r="L1114" s="300"/>
      <x:c r="M1114" s="300"/>
    </x:row>
    <x:row r="1115">
      <x:c r="H1115" s="300"/>
      <x:c r="I1115" s="300"/>
      <x:c r="J1115" s="300"/>
      <x:c r="K1115" s="300"/>
      <x:c r="L1115" s="300"/>
      <x:c r="M1115" s="300"/>
    </x:row>
    <x:row r="1116">
      <x:c r="H1116" s="300"/>
      <x:c r="I1116" s="300"/>
      <x:c r="J1116" s="300"/>
      <x:c r="K1116" s="300"/>
      <x:c r="L1116" s="300"/>
      <x:c r="M1116" s="300"/>
    </x:row>
    <x:row r="1117">
      <x:c r="H1117" s="300"/>
      <x:c r="I1117" s="300"/>
      <x:c r="J1117" s="300"/>
      <x:c r="K1117" s="300"/>
      <x:c r="L1117" s="300"/>
      <x:c r="M1117" s="300"/>
    </x:row>
    <x:row r="1118">
      <x:c r="H1118" s="300"/>
      <x:c r="I1118" s="300"/>
      <x:c r="J1118" s="300"/>
      <x:c r="K1118" s="300"/>
      <x:c r="L1118" s="300"/>
      <x:c r="M1118" s="300"/>
    </x:row>
    <x:row r="1119">
      <x:c r="H1119" s="300"/>
      <x:c r="I1119" s="300"/>
      <x:c r="J1119" s="300"/>
      <x:c r="K1119" s="300"/>
      <x:c r="L1119" s="300"/>
      <x:c r="M1119" s="300"/>
    </x:row>
    <x:row r="1120">
      <x:c r="H1120" s="300"/>
      <x:c r="I1120" s="300"/>
      <x:c r="J1120" s="300"/>
      <x:c r="K1120" s="300"/>
      <x:c r="L1120" s="300"/>
      <x:c r="M1120" s="300"/>
    </x:row>
    <x:row r="1121">
      <x:c r="H1121" s="300"/>
      <x:c r="I1121" s="300"/>
      <x:c r="J1121" s="300"/>
      <x:c r="K1121" s="300"/>
      <x:c r="L1121" s="300"/>
      <x:c r="M1121" s="300"/>
    </x:row>
    <x:row r="1122">
      <x:c r="H1122" s="300"/>
      <x:c r="I1122" s="300"/>
      <x:c r="J1122" s="300"/>
      <x:c r="K1122" s="300"/>
      <x:c r="L1122" s="300"/>
      <x:c r="M1122" s="300"/>
    </x:row>
    <x:row r="1123">
      <x:c r="H1123" s="300"/>
      <x:c r="I1123" s="300"/>
      <x:c r="J1123" s="300"/>
      <x:c r="K1123" s="300"/>
      <x:c r="L1123" s="300"/>
      <x:c r="M1123" s="300"/>
    </x:row>
    <x:row r="1124">
      <x:c r="H1124" s="300"/>
      <x:c r="I1124" s="300"/>
      <x:c r="J1124" s="300"/>
      <x:c r="K1124" s="300"/>
      <x:c r="L1124" s="300"/>
      <x:c r="M1124" s="300"/>
    </x:row>
    <x:row r="1125">
      <x:c r="H1125" s="300"/>
      <x:c r="I1125" s="300"/>
      <x:c r="J1125" s="300"/>
      <x:c r="K1125" s="300"/>
      <x:c r="L1125" s="300"/>
      <x:c r="M1125" s="300"/>
    </x:row>
    <x:row r="1126">
      <x:c r="H1126" s="300"/>
      <x:c r="I1126" s="300"/>
      <x:c r="J1126" s="300"/>
      <x:c r="K1126" s="300"/>
      <x:c r="L1126" s="300"/>
      <x:c r="M1126" s="300"/>
    </x:row>
    <x:row r="1127">
      <x:c r="H1127" s="300"/>
      <x:c r="I1127" s="300"/>
      <x:c r="J1127" s="300"/>
      <x:c r="K1127" s="300"/>
      <x:c r="L1127" s="300"/>
      <x:c r="M1127" s="300"/>
    </x:row>
    <x:row r="1128">
      <x:c r="H1128" s="300"/>
      <x:c r="I1128" s="300"/>
      <x:c r="J1128" s="300"/>
      <x:c r="K1128" s="300"/>
      <x:c r="L1128" s="300"/>
      <x:c r="M1128" s="300"/>
    </x:row>
    <x:row r="1129">
      <x:c r="H1129" s="300"/>
      <x:c r="I1129" s="300"/>
      <x:c r="J1129" s="300"/>
      <x:c r="K1129" s="300"/>
      <x:c r="L1129" s="300"/>
      <x:c r="M1129" s="300"/>
    </x:row>
    <x:row r="1130">
      <x:c r="H1130" s="300"/>
      <x:c r="I1130" s="300"/>
      <x:c r="J1130" s="300"/>
      <x:c r="K1130" s="300"/>
      <x:c r="L1130" s="300"/>
      <x:c r="M1130" s="300"/>
    </x:row>
    <x:row r="1131">
      <x:c r="H1131" s="300"/>
      <x:c r="I1131" s="300"/>
      <x:c r="J1131" s="300"/>
      <x:c r="K1131" s="300"/>
      <x:c r="L1131" s="300"/>
      <x:c r="M1131" s="300"/>
    </x:row>
    <x:row r="1132">
      <x:c r="H1132" s="300"/>
      <x:c r="I1132" s="300"/>
      <x:c r="J1132" s="300"/>
      <x:c r="K1132" s="300"/>
      <x:c r="L1132" s="300"/>
      <x:c r="M1132" s="300"/>
    </x:row>
    <x:row r="1133">
      <x:c r="H1133" s="300"/>
      <x:c r="I1133" s="300"/>
      <x:c r="J1133" s="300"/>
      <x:c r="K1133" s="300"/>
      <x:c r="L1133" s="300"/>
      <x:c r="M1133" s="300"/>
    </x:row>
    <x:row r="1134">
      <x:c r="H1134" s="300"/>
      <x:c r="I1134" s="300"/>
      <x:c r="J1134" s="300"/>
      <x:c r="K1134" s="300"/>
      <x:c r="L1134" s="300"/>
      <x:c r="M1134" s="300"/>
    </x:row>
    <x:row r="1135">
      <x:c r="H1135" s="300"/>
      <x:c r="I1135" s="300"/>
      <x:c r="J1135" s="300"/>
      <x:c r="K1135" s="300"/>
      <x:c r="L1135" s="300"/>
      <x:c r="M1135" s="300"/>
    </x:row>
    <x:row r="1136">
      <x:c r="H1136" s="300"/>
      <x:c r="I1136" s="300"/>
      <x:c r="J1136" s="300"/>
      <x:c r="K1136" s="300"/>
      <x:c r="L1136" s="300"/>
      <x:c r="M1136" s="300"/>
    </x:row>
    <x:row r="1137">
      <x:c r="H1137" s="300"/>
      <x:c r="I1137" s="300"/>
      <x:c r="J1137" s="300"/>
      <x:c r="K1137" s="300"/>
      <x:c r="L1137" s="300"/>
      <x:c r="M1137" s="300"/>
    </x:row>
    <x:row r="1138">
      <x:c r="H1138" s="300"/>
      <x:c r="I1138" s="300"/>
      <x:c r="J1138" s="300"/>
      <x:c r="K1138" s="300"/>
      <x:c r="L1138" s="300"/>
      <x:c r="M1138" s="300"/>
    </x:row>
    <x:row r="1139">
      <x:c r="H1139" s="300"/>
      <x:c r="I1139" s="300"/>
      <x:c r="J1139" s="300"/>
      <x:c r="K1139" s="300"/>
      <x:c r="L1139" s="300"/>
      <x:c r="M1139" s="300"/>
    </x:row>
    <x:row r="1140">
      <x:c r="H1140" s="300"/>
      <x:c r="I1140" s="300"/>
      <x:c r="J1140" s="300"/>
      <x:c r="K1140" s="300"/>
      <x:c r="L1140" s="300"/>
      <x:c r="M1140" s="300"/>
    </x:row>
    <x:row r="1141">
      <x:c r="H1141" s="300"/>
      <x:c r="I1141" s="300"/>
      <x:c r="J1141" s="300"/>
      <x:c r="K1141" s="300"/>
      <x:c r="L1141" s="300"/>
      <x:c r="M1141" s="300"/>
    </x:row>
    <x:row r="1142">
      <x:c r="H1142" s="300"/>
      <x:c r="I1142" s="300"/>
      <x:c r="J1142" s="300"/>
      <x:c r="K1142" s="300"/>
      <x:c r="L1142" s="300"/>
      <x:c r="M1142" s="300"/>
    </x:row>
    <x:row r="1143">
      <x:c r="H1143" s="300"/>
      <x:c r="I1143" s="300"/>
      <x:c r="J1143" s="300"/>
      <x:c r="K1143" s="300"/>
      <x:c r="L1143" s="300"/>
      <x:c r="M1143" s="300"/>
    </x:row>
    <x:row r="1144">
      <x:c r="H1144" s="300"/>
      <x:c r="I1144" s="300"/>
      <x:c r="J1144" s="300"/>
      <x:c r="K1144" s="300"/>
      <x:c r="L1144" s="300"/>
      <x:c r="M1144" s="300"/>
    </x:row>
    <x:row r="1145">
      <x:c r="H1145" s="300"/>
      <x:c r="I1145" s="300"/>
      <x:c r="J1145" s="300"/>
      <x:c r="K1145" s="300"/>
      <x:c r="L1145" s="300"/>
      <x:c r="M1145" s="300"/>
    </x:row>
    <x:row r="1146">
      <x:c r="H1146" s="300"/>
      <x:c r="I1146" s="300"/>
      <x:c r="J1146" s="300"/>
      <x:c r="K1146" s="300"/>
      <x:c r="L1146" s="300"/>
      <x:c r="M1146" s="300"/>
    </x:row>
    <x:row r="1147">
      <x:c r="H1147" s="300"/>
      <x:c r="I1147" s="300"/>
      <x:c r="J1147" s="300"/>
      <x:c r="K1147" s="300"/>
      <x:c r="L1147" s="300"/>
      <x:c r="M1147" s="300"/>
    </x:row>
    <x:row r="1148">
      <x:c r="H1148" s="300"/>
      <x:c r="I1148" s="300"/>
      <x:c r="J1148" s="300"/>
      <x:c r="K1148" s="300"/>
      <x:c r="L1148" s="300"/>
      <x:c r="M1148" s="300"/>
    </x:row>
    <x:row r="1149">
      <x:c r="H1149" s="300"/>
      <x:c r="I1149" s="300"/>
      <x:c r="J1149" s="300"/>
      <x:c r="K1149" s="300"/>
      <x:c r="L1149" s="300"/>
      <x:c r="M1149" s="300"/>
    </x:row>
    <x:row r="1150">
      <x:c r="H1150" s="300"/>
      <x:c r="I1150" s="300"/>
      <x:c r="J1150" s="300"/>
      <x:c r="K1150" s="300"/>
      <x:c r="L1150" s="300"/>
      <x:c r="M1150" s="300"/>
    </x:row>
    <x:row r="1151">
      <x:c r="H1151" s="300"/>
      <x:c r="I1151" s="300"/>
      <x:c r="J1151" s="300"/>
      <x:c r="K1151" s="300"/>
      <x:c r="L1151" s="300"/>
      <x:c r="M1151" s="300"/>
    </x:row>
    <x:row r="1152">
      <x:c r="H1152" s="300"/>
      <x:c r="I1152" s="300"/>
      <x:c r="J1152" s="300"/>
      <x:c r="K1152" s="300"/>
      <x:c r="L1152" s="300"/>
      <x:c r="M1152" s="300"/>
    </x:row>
    <x:row r="1153">
      <x:c r="H1153" s="300"/>
      <x:c r="I1153" s="300"/>
      <x:c r="J1153" s="300"/>
      <x:c r="K1153" s="300"/>
      <x:c r="L1153" s="300"/>
      <x:c r="M1153" s="300"/>
    </x:row>
    <x:row r="1154">
      <x:c r="H1154" s="300"/>
      <x:c r="I1154" s="300"/>
      <x:c r="J1154" s="300"/>
      <x:c r="K1154" s="300"/>
      <x:c r="L1154" s="300"/>
      <x:c r="M1154" s="300"/>
    </x:row>
    <x:row r="1155">
      <x:c r="H1155" s="300"/>
      <x:c r="I1155" s="300"/>
      <x:c r="J1155" s="300"/>
      <x:c r="K1155" s="300"/>
      <x:c r="L1155" s="300"/>
      <x:c r="M1155" s="300"/>
    </x:row>
    <x:row r="1156">
      <x:c r="H1156" s="300"/>
      <x:c r="I1156" s="300"/>
      <x:c r="J1156" s="300"/>
      <x:c r="K1156" s="300"/>
      <x:c r="L1156" s="300"/>
      <x:c r="M1156" s="300"/>
    </x:row>
    <x:row r="1157">
      <x:c r="H1157" s="300"/>
      <x:c r="I1157" s="300"/>
      <x:c r="J1157" s="300"/>
      <x:c r="K1157" s="300"/>
      <x:c r="L1157" s="300"/>
      <x:c r="M1157" s="300"/>
    </x:row>
    <x:row r="1158">
      <x:c r="H1158" s="300"/>
      <x:c r="I1158" s="300"/>
      <x:c r="J1158" s="300"/>
      <x:c r="K1158" s="300"/>
      <x:c r="L1158" s="300"/>
      <x:c r="M1158" s="300"/>
    </x:row>
    <x:row r="1159">
      <x:c r="H1159" s="300"/>
      <x:c r="I1159" s="300"/>
      <x:c r="J1159" s="300"/>
      <x:c r="K1159" s="300"/>
      <x:c r="L1159" s="300"/>
      <x:c r="M1159" s="300"/>
    </x:row>
    <x:row r="1160">
      <x:c r="H1160" s="300"/>
      <x:c r="I1160" s="300"/>
      <x:c r="J1160" s="300"/>
      <x:c r="K1160" s="300"/>
      <x:c r="L1160" s="300"/>
      <x:c r="M1160" s="300"/>
    </x:row>
    <x:row r="1161">
      <x:c r="H1161" s="300"/>
      <x:c r="I1161" s="300"/>
      <x:c r="J1161" s="300"/>
      <x:c r="K1161" s="300"/>
      <x:c r="L1161" s="300"/>
      <x:c r="M1161" s="300"/>
    </x:row>
    <x:row r="1162">
      <x:c r="H1162" s="300"/>
      <x:c r="I1162" s="300"/>
      <x:c r="J1162" s="300"/>
      <x:c r="K1162" s="300"/>
      <x:c r="L1162" s="300"/>
      <x:c r="M1162" s="300"/>
    </x:row>
    <x:row r="1163">
      <x:c r="H1163" s="300"/>
      <x:c r="I1163" s="300"/>
      <x:c r="J1163" s="300"/>
      <x:c r="K1163" s="300"/>
      <x:c r="L1163" s="300"/>
      <x:c r="M1163" s="300"/>
    </x:row>
    <x:row r="1164">
      <x:c r="H1164" s="300"/>
      <x:c r="I1164" s="300"/>
      <x:c r="J1164" s="300"/>
      <x:c r="K1164" s="300"/>
      <x:c r="L1164" s="300"/>
      <x:c r="M1164" s="300"/>
    </x:row>
    <x:row r="1165">
      <x:c r="H1165" s="300"/>
      <x:c r="I1165" s="300"/>
      <x:c r="J1165" s="300"/>
      <x:c r="K1165" s="300"/>
      <x:c r="L1165" s="300"/>
      <x:c r="M1165" s="300"/>
    </x:row>
    <x:row r="1166">
      <x:c r="H1166" s="300"/>
      <x:c r="I1166" s="300"/>
      <x:c r="J1166" s="300"/>
      <x:c r="K1166" s="300"/>
      <x:c r="L1166" s="300"/>
      <x:c r="M1166" s="300"/>
    </x:row>
    <x:row r="1167">
      <x:c r="H1167" s="300"/>
      <x:c r="I1167" s="300"/>
      <x:c r="J1167" s="300"/>
      <x:c r="K1167" s="300"/>
      <x:c r="L1167" s="300"/>
      <x:c r="M1167" s="300"/>
    </x:row>
    <x:row r="1168">
      <x:c r="H1168" s="300"/>
      <x:c r="I1168" s="300"/>
      <x:c r="J1168" s="300"/>
      <x:c r="K1168" s="300"/>
      <x:c r="L1168" s="300"/>
      <x:c r="M1168" s="300"/>
    </x:row>
    <x:row r="1169">
      <x:c r="H1169" s="300"/>
      <x:c r="I1169" s="300"/>
      <x:c r="J1169" s="300"/>
      <x:c r="K1169" s="300"/>
      <x:c r="L1169" s="300"/>
      <x:c r="M1169" s="300"/>
    </x:row>
    <x:row r="1170">
      <x:c r="H1170" s="300"/>
      <x:c r="I1170" s="300"/>
      <x:c r="J1170" s="300"/>
      <x:c r="K1170" s="300"/>
      <x:c r="L1170" s="300"/>
      <x:c r="M1170" s="300"/>
    </x:row>
    <x:row r="1171">
      <x:c r="H1171" s="300"/>
      <x:c r="I1171" s="300"/>
      <x:c r="J1171" s="300"/>
      <x:c r="K1171" s="300"/>
      <x:c r="L1171" s="300"/>
      <x:c r="M1171" s="300"/>
    </x:row>
    <x:row r="1172">
      <x:c r="H1172" s="300"/>
      <x:c r="I1172" s="300"/>
      <x:c r="J1172" s="300"/>
      <x:c r="K1172" s="300"/>
      <x:c r="L1172" s="300"/>
      <x:c r="M1172" s="300"/>
    </x:row>
    <x:row r="1173">
      <x:c r="H1173" s="300"/>
      <x:c r="I1173" s="300"/>
      <x:c r="J1173" s="300"/>
      <x:c r="K1173" s="300"/>
      <x:c r="L1173" s="300"/>
      <x:c r="M1173" s="300"/>
    </x:row>
    <x:row r="1174">
      <x:c r="H1174" s="300"/>
      <x:c r="I1174" s="300"/>
      <x:c r="J1174" s="300"/>
      <x:c r="K1174" s="300"/>
      <x:c r="L1174" s="300"/>
      <x:c r="M1174" s="300"/>
    </x:row>
    <x:row r="1175">
      <x:c r="H1175" s="300"/>
      <x:c r="I1175" s="300"/>
      <x:c r="J1175" s="300"/>
      <x:c r="K1175" s="300"/>
      <x:c r="L1175" s="300"/>
      <x:c r="M1175" s="300"/>
    </x:row>
    <x:row r="1176">
      <x:c r="H1176" s="300"/>
      <x:c r="I1176" s="300"/>
      <x:c r="J1176" s="300"/>
      <x:c r="K1176" s="300"/>
      <x:c r="L1176" s="300"/>
      <x:c r="M1176" s="300"/>
    </x:row>
    <x:row r="1177">
      <x:c r="H1177" s="300"/>
      <x:c r="I1177" s="300"/>
      <x:c r="J1177" s="300"/>
      <x:c r="K1177" s="300"/>
      <x:c r="L1177" s="300"/>
      <x:c r="M1177" s="300"/>
    </x:row>
    <x:row r="1178">
      <x:c r="H1178" s="300"/>
      <x:c r="I1178" s="300"/>
      <x:c r="J1178" s="300"/>
      <x:c r="K1178" s="300"/>
      <x:c r="L1178" s="300"/>
      <x:c r="M1178" s="300"/>
    </x:row>
    <x:row r="1179">
      <x:c r="H1179" s="300"/>
      <x:c r="I1179" s="300"/>
      <x:c r="J1179" s="300"/>
      <x:c r="K1179" s="300"/>
      <x:c r="L1179" s="300"/>
      <x:c r="M1179" s="300"/>
    </x:row>
    <x:row r="1180">
      <x:c r="H1180" s="300"/>
      <x:c r="I1180" s="300"/>
      <x:c r="J1180" s="300"/>
      <x:c r="K1180" s="300"/>
      <x:c r="L1180" s="300"/>
      <x:c r="M1180" s="300"/>
    </x:row>
    <x:row r="1181">
      <x:c r="H1181" s="300"/>
      <x:c r="I1181" s="300"/>
      <x:c r="J1181" s="300"/>
      <x:c r="K1181" s="300"/>
      <x:c r="L1181" s="300"/>
      <x:c r="M1181" s="300"/>
    </x:row>
    <x:row r="1182">
      <x:c r="H1182" s="300"/>
      <x:c r="I1182" s="300"/>
      <x:c r="J1182" s="300"/>
      <x:c r="K1182" s="300"/>
      <x:c r="L1182" s="300"/>
      <x:c r="M1182" s="300"/>
    </x:row>
    <x:row r="1183">
      <x:c r="H1183" s="300"/>
      <x:c r="I1183" s="300"/>
      <x:c r="J1183" s="300"/>
      <x:c r="K1183" s="300"/>
      <x:c r="L1183" s="300"/>
      <x:c r="M1183" s="300"/>
    </x:row>
    <x:row r="1184">
      <x:c r="H1184" s="300"/>
      <x:c r="I1184" s="300"/>
      <x:c r="J1184" s="300"/>
      <x:c r="K1184" s="300"/>
      <x:c r="L1184" s="300"/>
      <x:c r="M1184" s="300"/>
    </x:row>
    <x:row r="1185">
      <x:c r="H1185" s="300"/>
      <x:c r="I1185" s="300"/>
      <x:c r="J1185" s="300"/>
      <x:c r="K1185" s="300"/>
      <x:c r="L1185" s="300"/>
      <x:c r="M1185" s="300"/>
    </x:row>
    <x:row r="1186">
      <x:c r="H1186" s="300"/>
      <x:c r="I1186" s="300"/>
      <x:c r="J1186" s="300"/>
      <x:c r="K1186" s="300"/>
      <x:c r="L1186" s="300"/>
      <x:c r="M1186" s="300"/>
    </x:row>
    <x:row r="1187">
      <x:c r="H1187" s="300"/>
      <x:c r="I1187" s="300"/>
      <x:c r="J1187" s="300"/>
      <x:c r="K1187" s="300"/>
      <x:c r="L1187" s="300"/>
      <x:c r="M1187" s="300"/>
    </x:row>
    <x:row r="1188">
      <x:c r="H1188" s="300"/>
      <x:c r="I1188" s="300"/>
      <x:c r="J1188" s="300"/>
      <x:c r="K1188" s="300"/>
      <x:c r="L1188" s="300"/>
      <x:c r="M1188" s="300"/>
    </x:row>
    <x:row r="1189">
      <x:c r="H1189" s="300"/>
      <x:c r="I1189" s="300"/>
      <x:c r="J1189" s="300"/>
      <x:c r="K1189" s="300"/>
      <x:c r="L1189" s="300"/>
      <x:c r="M1189" s="300"/>
    </x:row>
    <x:row r="1190">
      <x:c r="H1190" s="300"/>
      <x:c r="I1190" s="300"/>
      <x:c r="J1190" s="300"/>
      <x:c r="K1190" s="300"/>
      <x:c r="L1190" s="300"/>
      <x:c r="M1190" s="300"/>
    </x:row>
    <x:row r="1191">
      <x:c r="H1191" s="300"/>
      <x:c r="I1191" s="300"/>
      <x:c r="J1191" s="300"/>
      <x:c r="K1191" s="300"/>
      <x:c r="L1191" s="300"/>
      <x:c r="M1191" s="300"/>
    </x:row>
    <x:row r="1192">
      <x:c r="H1192" s="300"/>
      <x:c r="I1192" s="300"/>
      <x:c r="J1192" s="300"/>
      <x:c r="K1192" s="300"/>
      <x:c r="L1192" s="300"/>
      <x:c r="M1192" s="300"/>
    </x:row>
    <x:row r="1193">
      <x:c r="H1193" s="300"/>
      <x:c r="I1193" s="300"/>
      <x:c r="J1193" s="300"/>
      <x:c r="K1193" s="300"/>
      <x:c r="L1193" s="300"/>
      <x:c r="M1193" s="300"/>
    </x:row>
    <x:row r="1194">
      <x:c r="H1194" s="300"/>
      <x:c r="I1194" s="300"/>
      <x:c r="J1194" s="300"/>
      <x:c r="K1194" s="300"/>
      <x:c r="L1194" s="300"/>
      <x:c r="M1194" s="300"/>
    </x:row>
    <x:row r="1195">
      <x:c r="H1195" s="300"/>
      <x:c r="I1195" s="300"/>
      <x:c r="J1195" s="300"/>
      <x:c r="K1195" s="300"/>
      <x:c r="L1195" s="300"/>
      <x:c r="M1195" s="300"/>
    </x:row>
    <x:row r="1196">
      <x:c r="H1196" s="300"/>
      <x:c r="I1196" s="300"/>
      <x:c r="J1196" s="300"/>
      <x:c r="K1196" s="300"/>
      <x:c r="L1196" s="300"/>
      <x:c r="M1196" s="300"/>
    </x:row>
    <x:row r="1197">
      <x:c r="H1197" s="300"/>
      <x:c r="I1197" s="300"/>
      <x:c r="J1197" s="300"/>
      <x:c r="K1197" s="300"/>
      <x:c r="L1197" s="300"/>
      <x:c r="M1197" s="300"/>
    </x:row>
    <x:row r="1198">
      <x:c r="H1198" s="300"/>
      <x:c r="I1198" s="300"/>
      <x:c r="J1198" s="300"/>
      <x:c r="K1198" s="300"/>
      <x:c r="L1198" s="300"/>
      <x:c r="M1198" s="300"/>
    </x:row>
    <x:row r="1199">
      <x:c r="H1199" s="300"/>
      <x:c r="I1199" s="300"/>
      <x:c r="J1199" s="300"/>
      <x:c r="K1199" s="300"/>
      <x:c r="L1199" s="300"/>
      <x:c r="M1199" s="300"/>
    </x:row>
    <x:row r="1200">
      <x:c r="H1200" s="300"/>
      <x:c r="I1200" s="300"/>
      <x:c r="J1200" s="300"/>
      <x:c r="K1200" s="300"/>
      <x:c r="L1200" s="300"/>
      <x:c r="M1200" s="300"/>
    </x:row>
    <x:row r="1201">
      <x:c r="H1201" s="300"/>
      <x:c r="I1201" s="300"/>
      <x:c r="J1201" s="300"/>
      <x:c r="K1201" s="300"/>
      <x:c r="L1201" s="300"/>
      <x:c r="M1201" s="300"/>
    </x:row>
    <x:row r="1202">
      <x:c r="H1202" s="300"/>
      <x:c r="I1202" s="300"/>
      <x:c r="J1202" s="300"/>
      <x:c r="K1202" s="300"/>
      <x:c r="L1202" s="300"/>
      <x:c r="M1202" s="300"/>
    </x:row>
    <x:row r="1203">
      <x:c r="H1203" s="300"/>
      <x:c r="I1203" s="300"/>
      <x:c r="J1203" s="300"/>
      <x:c r="K1203" s="300"/>
      <x:c r="L1203" s="300"/>
      <x:c r="M1203" s="300"/>
    </x:row>
    <x:row r="1204">
      <x:c r="H1204" s="300"/>
      <x:c r="I1204" s="300"/>
      <x:c r="J1204" s="300"/>
      <x:c r="K1204" s="300"/>
      <x:c r="L1204" s="300"/>
      <x:c r="M1204" s="300"/>
    </x:row>
    <x:row r="1205">
      <x:c r="H1205" s="300"/>
      <x:c r="I1205" s="300"/>
      <x:c r="J1205" s="300"/>
      <x:c r="K1205" s="300"/>
      <x:c r="L1205" s="300"/>
      <x:c r="M1205" s="300"/>
    </x:row>
    <x:row r="1206">
      <x:c r="H1206" s="300"/>
      <x:c r="I1206" s="300"/>
      <x:c r="J1206" s="300"/>
      <x:c r="K1206" s="300"/>
      <x:c r="L1206" s="300"/>
      <x:c r="M1206" s="300"/>
    </x:row>
    <x:row r="1207">
      <x:c r="H1207" s="300"/>
      <x:c r="I1207" s="300"/>
      <x:c r="J1207" s="300"/>
      <x:c r="K1207" s="300"/>
      <x:c r="L1207" s="300"/>
      <x:c r="M1207" s="300"/>
    </x:row>
    <x:row r="1208">
      <x:c r="H1208" s="300"/>
      <x:c r="I1208" s="300"/>
      <x:c r="J1208" s="300"/>
      <x:c r="K1208" s="300"/>
      <x:c r="L1208" s="300"/>
      <x:c r="M1208" s="300"/>
    </x:row>
    <x:row r="1209">
      <x:c r="H1209" s="300"/>
      <x:c r="I1209" s="300"/>
      <x:c r="J1209" s="300"/>
      <x:c r="K1209" s="300"/>
      <x:c r="L1209" s="300"/>
      <x:c r="M1209" s="300"/>
    </x:row>
    <x:row r="1210">
      <x:c r="H1210" s="300"/>
      <x:c r="I1210" s="300"/>
      <x:c r="J1210" s="300"/>
      <x:c r="K1210" s="300"/>
      <x:c r="L1210" s="300"/>
      <x:c r="M1210" s="300"/>
    </x:row>
    <x:row r="1211">
      <x:c r="H1211" s="300"/>
      <x:c r="I1211" s="300"/>
      <x:c r="J1211" s="300"/>
      <x:c r="K1211" s="300"/>
      <x:c r="L1211" s="300"/>
      <x:c r="M1211" s="300"/>
    </x:row>
    <x:row r="1212">
      <x:c r="H1212" s="300"/>
      <x:c r="I1212" s="300"/>
      <x:c r="J1212" s="300"/>
      <x:c r="K1212" s="300"/>
      <x:c r="L1212" s="300"/>
      <x:c r="M1212" s="300"/>
    </x:row>
    <x:row r="1213">
      <x:c r="H1213" s="300"/>
      <x:c r="I1213" s="300"/>
      <x:c r="J1213" s="300"/>
      <x:c r="K1213" s="300"/>
      <x:c r="L1213" s="300"/>
      <x:c r="M1213" s="300"/>
    </x:row>
    <x:row r="1214">
      <x:c r="H1214" s="300"/>
      <x:c r="I1214" s="300"/>
      <x:c r="J1214" s="300"/>
      <x:c r="K1214" s="300"/>
      <x:c r="L1214" s="300"/>
      <x:c r="M1214" s="300"/>
    </x:row>
    <x:row r="1215">
      <x:c r="H1215" s="300"/>
      <x:c r="I1215" s="300"/>
      <x:c r="J1215" s="300"/>
      <x:c r="K1215" s="300"/>
      <x:c r="L1215" s="300"/>
      <x:c r="M1215" s="300"/>
    </x:row>
    <x:row r="1216">
      <x:c r="H1216" s="300"/>
      <x:c r="I1216" s="300"/>
      <x:c r="J1216" s="300"/>
      <x:c r="K1216" s="300"/>
      <x:c r="L1216" s="300"/>
      <x:c r="M1216" s="300"/>
    </x:row>
    <x:row r="1217">
      <x:c r="H1217" s="300"/>
      <x:c r="I1217" s="300"/>
      <x:c r="J1217" s="300"/>
      <x:c r="K1217" s="300"/>
      <x:c r="L1217" s="300"/>
      <x:c r="M1217" s="300"/>
    </x:row>
    <x:row r="1218">
      <x:c r="H1218" s="300"/>
      <x:c r="I1218" s="300"/>
      <x:c r="J1218" s="300"/>
      <x:c r="K1218" s="300"/>
      <x:c r="L1218" s="300"/>
      <x:c r="M1218" s="300"/>
    </x:row>
    <x:row r="1219">
      <x:c r="H1219" s="300"/>
      <x:c r="I1219" s="300"/>
      <x:c r="J1219" s="300"/>
      <x:c r="K1219" s="300"/>
      <x:c r="L1219" s="300"/>
      <x:c r="M1219" s="300"/>
    </x:row>
    <x:row r="1220">
      <x:c r="H1220" s="300"/>
      <x:c r="I1220" s="300"/>
      <x:c r="J1220" s="300"/>
      <x:c r="K1220" s="300"/>
      <x:c r="L1220" s="300"/>
      <x:c r="M1220" s="300"/>
    </x:row>
    <x:row r="1221">
      <x:c r="H1221" s="300"/>
      <x:c r="I1221" s="300"/>
      <x:c r="J1221" s="300"/>
      <x:c r="K1221" s="300"/>
      <x:c r="L1221" s="300"/>
      <x:c r="M1221" s="300"/>
    </x:row>
    <x:row r="1222">
      <x:c r="H1222" s="300"/>
      <x:c r="I1222" s="300"/>
      <x:c r="J1222" s="300"/>
      <x:c r="K1222" s="300"/>
      <x:c r="L1222" s="300"/>
      <x:c r="M1222" s="300"/>
    </x:row>
    <x:row r="1223">
      <x:c r="H1223" s="300"/>
      <x:c r="I1223" s="300"/>
      <x:c r="J1223" s="300"/>
      <x:c r="K1223" s="300"/>
      <x:c r="L1223" s="300"/>
      <x:c r="M1223" s="300"/>
    </x:row>
    <x:row r="1224">
      <x:c r="H1224" s="300"/>
      <x:c r="I1224" s="300"/>
      <x:c r="J1224" s="300"/>
      <x:c r="K1224" s="300"/>
      <x:c r="L1224" s="300"/>
      <x:c r="M1224" s="300"/>
    </x:row>
    <x:row r="1225">
      <x:c r="H1225" s="300"/>
      <x:c r="I1225" s="300"/>
      <x:c r="J1225" s="300"/>
      <x:c r="K1225" s="300"/>
      <x:c r="L1225" s="300"/>
      <x:c r="M1225" s="300"/>
    </x:row>
    <x:row r="1226">
      <x:c r="H1226" s="300"/>
      <x:c r="I1226" s="300"/>
      <x:c r="J1226" s="300"/>
      <x:c r="K1226" s="300"/>
      <x:c r="L1226" s="300"/>
      <x:c r="M1226" s="300"/>
    </x:row>
    <x:row r="1227">
      <x:c r="H1227" s="300"/>
      <x:c r="I1227" s="300"/>
      <x:c r="J1227" s="300"/>
      <x:c r="K1227" s="300"/>
      <x:c r="L1227" s="300"/>
      <x:c r="M1227" s="300"/>
    </x:row>
    <x:row r="1228">
      <x:c r="H1228" s="300"/>
      <x:c r="I1228" s="300"/>
      <x:c r="J1228" s="300"/>
      <x:c r="K1228" s="300"/>
      <x:c r="L1228" s="300"/>
      <x:c r="M1228" s="300"/>
    </x:row>
    <x:row r="1229">
      <x:c r="H1229" s="300"/>
      <x:c r="I1229" s="300"/>
      <x:c r="J1229" s="300"/>
      <x:c r="K1229" s="300"/>
      <x:c r="L1229" s="300"/>
      <x:c r="M1229" s="300"/>
    </x:row>
    <x:row r="1230">
      <x:c r="H1230" s="300"/>
      <x:c r="I1230" s="300"/>
      <x:c r="J1230" s="300"/>
      <x:c r="K1230" s="300"/>
      <x:c r="L1230" s="300"/>
      <x:c r="M1230" s="300"/>
    </x:row>
    <x:row r="1231">
      <x:c r="H1231" s="300"/>
      <x:c r="I1231" s="300"/>
      <x:c r="J1231" s="300"/>
      <x:c r="K1231" s="300"/>
      <x:c r="L1231" s="300"/>
      <x:c r="M1231" s="300"/>
    </x:row>
    <x:row r="1232">
      <x:c r="H1232" s="300"/>
      <x:c r="I1232" s="300"/>
      <x:c r="J1232" s="300"/>
      <x:c r="K1232" s="300"/>
      <x:c r="L1232" s="300"/>
      <x:c r="M1232" s="300"/>
    </x:row>
    <x:row r="1233">
      <x:c r="H1233" s="300"/>
      <x:c r="I1233" s="300"/>
      <x:c r="J1233" s="300"/>
      <x:c r="K1233" s="300"/>
      <x:c r="L1233" s="300"/>
      <x:c r="M1233" s="300"/>
    </x:row>
    <x:row r="1234">
      <x:c r="H1234" s="300"/>
      <x:c r="I1234" s="300"/>
      <x:c r="J1234" s="300"/>
      <x:c r="K1234" s="300"/>
      <x:c r="L1234" s="300"/>
      <x:c r="M1234" s="300"/>
    </x:row>
    <x:row r="1235">
      <x:c r="H1235" s="300"/>
      <x:c r="I1235" s="300"/>
      <x:c r="J1235" s="300"/>
      <x:c r="K1235" s="300"/>
      <x:c r="L1235" s="300"/>
      <x:c r="M1235" s="300"/>
    </x:row>
    <x:row r="1236">
      <x:c r="H1236" s="300"/>
      <x:c r="I1236" s="300"/>
      <x:c r="J1236" s="300"/>
      <x:c r="K1236" s="300"/>
      <x:c r="L1236" s="300"/>
      <x:c r="M1236" s="300"/>
    </x:row>
    <x:row r="1237">
      <x:c r="H1237" s="300"/>
      <x:c r="I1237" s="300"/>
      <x:c r="J1237" s="300"/>
      <x:c r="K1237" s="300"/>
      <x:c r="L1237" s="300"/>
      <x:c r="M1237" s="300"/>
    </x:row>
    <x:row r="1238">
      <x:c r="H1238" s="300"/>
      <x:c r="I1238" s="300"/>
      <x:c r="J1238" s="300"/>
      <x:c r="K1238" s="300"/>
      <x:c r="L1238" s="300"/>
      <x:c r="M1238" s="300"/>
    </x:row>
    <x:row r="1239">
      <x:c r="H1239" s="300"/>
      <x:c r="I1239" s="300"/>
      <x:c r="J1239" s="300"/>
      <x:c r="K1239" s="300"/>
      <x:c r="L1239" s="300"/>
      <x:c r="M1239" s="300"/>
    </x:row>
    <x:row r="1240">
      <x:c r="H1240" s="300"/>
      <x:c r="I1240" s="300"/>
      <x:c r="J1240" s="300"/>
      <x:c r="K1240" s="300"/>
      <x:c r="L1240" s="300"/>
      <x:c r="M1240" s="300"/>
    </x:row>
    <x:row r="1241">
      <x:c r="H1241" s="300"/>
      <x:c r="I1241" s="300"/>
      <x:c r="J1241" s="300"/>
      <x:c r="K1241" s="300"/>
      <x:c r="L1241" s="300"/>
      <x:c r="M1241" s="300"/>
    </x:row>
    <x:row r="1242">
      <x:c r="H1242" s="300"/>
      <x:c r="I1242" s="300"/>
      <x:c r="J1242" s="300"/>
      <x:c r="K1242" s="300"/>
      <x:c r="L1242" s="300"/>
      <x:c r="M1242" s="300"/>
    </x:row>
    <x:row r="1243">
      <x:c r="H1243" s="300"/>
      <x:c r="I1243" s="300"/>
      <x:c r="J1243" s="300"/>
      <x:c r="K1243" s="300"/>
      <x:c r="L1243" s="300"/>
      <x:c r="M1243" s="300"/>
    </x:row>
    <x:row r="1244">
      <x:c r="H1244" s="300"/>
      <x:c r="I1244" s="300"/>
      <x:c r="J1244" s="300"/>
      <x:c r="K1244" s="300"/>
      <x:c r="L1244" s="300"/>
      <x:c r="M1244" s="300"/>
    </x:row>
    <x:row r="1245">
      <x:c r="H1245" s="300"/>
      <x:c r="I1245" s="300"/>
      <x:c r="J1245" s="300"/>
      <x:c r="K1245" s="300"/>
      <x:c r="L1245" s="300"/>
      <x:c r="M1245" s="300"/>
    </x:row>
    <x:row r="1246">
      <x:c r="H1246" s="300"/>
      <x:c r="I1246" s="300"/>
      <x:c r="J1246" s="300"/>
      <x:c r="K1246" s="300"/>
      <x:c r="L1246" s="300"/>
      <x:c r="M1246" s="300"/>
    </x:row>
    <x:row r="1247">
      <x:c r="H1247" s="300"/>
      <x:c r="I1247" s="300"/>
      <x:c r="J1247" s="300"/>
      <x:c r="K1247" s="300"/>
      <x:c r="L1247" s="300"/>
      <x:c r="M1247" s="300"/>
    </x:row>
    <x:row r="1248">
      <x:c r="H1248" s="300"/>
      <x:c r="I1248" s="300"/>
      <x:c r="J1248" s="300"/>
      <x:c r="K1248" s="300"/>
      <x:c r="L1248" s="300"/>
      <x:c r="M1248" s="300"/>
    </x:row>
    <x:row r="1249">
      <x:c r="H1249" s="300"/>
      <x:c r="I1249" s="300"/>
      <x:c r="J1249" s="300"/>
      <x:c r="K1249" s="300"/>
      <x:c r="L1249" s="300"/>
      <x:c r="M1249" s="300"/>
    </x:row>
    <x:row r="1250">
      <x:c r="H1250" s="300"/>
      <x:c r="I1250" s="300"/>
      <x:c r="J1250" s="300"/>
      <x:c r="K1250" s="300"/>
      <x:c r="L1250" s="300"/>
      <x:c r="M1250" s="300"/>
    </x:row>
    <x:row r="1251">
      <x:c r="H1251" s="300"/>
      <x:c r="I1251" s="300"/>
      <x:c r="J1251" s="300"/>
      <x:c r="K1251" s="300"/>
      <x:c r="L1251" s="300"/>
      <x:c r="M1251" s="300"/>
    </x:row>
    <x:row r="1252">
      <x:c r="H1252" s="300"/>
      <x:c r="I1252" s="300"/>
      <x:c r="J1252" s="300"/>
      <x:c r="K1252" s="300"/>
      <x:c r="L1252" s="300"/>
      <x:c r="M1252" s="300"/>
    </x:row>
    <x:row r="1253">
      <x:c r="H1253" s="300"/>
      <x:c r="I1253" s="300"/>
      <x:c r="J1253" s="300"/>
      <x:c r="K1253" s="300"/>
      <x:c r="L1253" s="300"/>
      <x:c r="M1253" s="300"/>
    </x:row>
    <x:row r="1254">
      <x:c r="H1254" s="300"/>
      <x:c r="I1254" s="300"/>
      <x:c r="J1254" s="300"/>
      <x:c r="K1254" s="300"/>
      <x:c r="L1254" s="300"/>
      <x:c r="M1254" s="300"/>
    </x:row>
    <x:row r="1255">
      <x:c r="H1255" s="300"/>
      <x:c r="I1255" s="300"/>
      <x:c r="J1255" s="300"/>
      <x:c r="K1255" s="300"/>
      <x:c r="L1255" s="300"/>
      <x:c r="M1255" s="300"/>
    </x:row>
    <x:row r="1256">
      <x:c r="H1256" s="300"/>
      <x:c r="I1256" s="300"/>
      <x:c r="J1256" s="300"/>
      <x:c r="K1256" s="300"/>
      <x:c r="L1256" s="300"/>
      <x:c r="M1256" s="300"/>
    </x:row>
    <x:row r="1257">
      <x:c r="H1257" s="300"/>
      <x:c r="I1257" s="300"/>
      <x:c r="J1257" s="300"/>
      <x:c r="K1257" s="300"/>
      <x:c r="L1257" s="300"/>
      <x:c r="M1257" s="300"/>
    </x:row>
    <x:row r="1258">
      <x:c r="H1258" s="300"/>
      <x:c r="I1258" s="300"/>
      <x:c r="J1258" s="300"/>
      <x:c r="K1258" s="300"/>
      <x:c r="L1258" s="300"/>
      <x:c r="M1258" s="300"/>
    </x:row>
    <x:row r="1259">
      <x:c r="H1259" s="300"/>
      <x:c r="I1259" s="300"/>
      <x:c r="J1259" s="300"/>
      <x:c r="K1259" s="300"/>
      <x:c r="L1259" s="300"/>
      <x:c r="M1259" s="300"/>
    </x:row>
    <x:row r="1260">
      <x:c r="H1260" s="300"/>
      <x:c r="I1260" s="300"/>
      <x:c r="J1260" s="300"/>
      <x:c r="K1260" s="300"/>
      <x:c r="L1260" s="300"/>
      <x:c r="M1260" s="300"/>
    </x:row>
    <x:row r="1261">
      <x:c r="H1261" s="300"/>
      <x:c r="I1261" s="300"/>
      <x:c r="J1261" s="300"/>
      <x:c r="K1261" s="300"/>
      <x:c r="L1261" s="300"/>
      <x:c r="M1261" s="300"/>
    </x:row>
    <x:row r="1262">
      <x:c r="H1262" s="300"/>
      <x:c r="I1262" s="300"/>
      <x:c r="J1262" s="300"/>
      <x:c r="K1262" s="300"/>
      <x:c r="L1262" s="300"/>
      <x:c r="M1262" s="300"/>
    </x:row>
    <x:row r="1263">
      <x:c r="H1263" s="300"/>
      <x:c r="I1263" s="300"/>
      <x:c r="J1263" s="300"/>
      <x:c r="K1263" s="300"/>
      <x:c r="L1263" s="300"/>
      <x:c r="M1263" s="300"/>
    </x:row>
    <x:row r="1264">
      <x:c r="H1264" s="300"/>
      <x:c r="I1264" s="300"/>
      <x:c r="J1264" s="300"/>
      <x:c r="K1264" s="300"/>
      <x:c r="L1264" s="300"/>
      <x:c r="M1264" s="300"/>
    </x:row>
    <x:row r="1265">
      <x:c r="H1265" s="300"/>
      <x:c r="I1265" s="300"/>
      <x:c r="J1265" s="300"/>
      <x:c r="K1265" s="300"/>
      <x:c r="L1265" s="300"/>
      <x:c r="M1265" s="300"/>
    </x:row>
    <x:row r="1266">
      <x:c r="H1266" s="300"/>
      <x:c r="I1266" s="300"/>
      <x:c r="J1266" s="300"/>
      <x:c r="K1266" s="300"/>
      <x:c r="L1266" s="300"/>
      <x:c r="M1266" s="300"/>
    </x:row>
    <x:row r="1267">
      <x:c r="H1267" s="300"/>
      <x:c r="I1267" s="300"/>
      <x:c r="J1267" s="300"/>
      <x:c r="K1267" s="300"/>
      <x:c r="L1267" s="300"/>
      <x:c r="M1267" s="300"/>
    </x:row>
    <x:row r="1268">
      <x:c r="H1268" s="300"/>
      <x:c r="I1268" s="300"/>
      <x:c r="J1268" s="300"/>
      <x:c r="K1268" s="300"/>
      <x:c r="L1268" s="300"/>
      <x:c r="M1268" s="300"/>
    </x:row>
    <x:row r="1269">
      <x:c r="H1269" s="300"/>
      <x:c r="I1269" s="300"/>
      <x:c r="J1269" s="300"/>
      <x:c r="K1269" s="300"/>
      <x:c r="L1269" s="300"/>
      <x:c r="M1269" s="300"/>
    </x:row>
    <x:row r="1270">
      <x:c r="H1270" s="300"/>
      <x:c r="I1270" s="300"/>
      <x:c r="J1270" s="300"/>
      <x:c r="K1270" s="300"/>
      <x:c r="L1270" s="300"/>
      <x:c r="M1270" s="300"/>
    </x:row>
    <x:row r="1271">
      <x:c r="H1271" s="300"/>
      <x:c r="I1271" s="300"/>
      <x:c r="J1271" s="300"/>
      <x:c r="K1271" s="300"/>
      <x:c r="L1271" s="300"/>
      <x:c r="M1271" s="300"/>
    </x:row>
    <x:row r="1272">
      <x:c r="H1272" s="300"/>
      <x:c r="I1272" s="300"/>
      <x:c r="J1272" s="300"/>
      <x:c r="K1272" s="300"/>
      <x:c r="L1272" s="300"/>
      <x:c r="M1272" s="300"/>
    </x:row>
    <x:row r="1273">
      <x:c r="H1273" s="300"/>
      <x:c r="I1273" s="300"/>
      <x:c r="J1273" s="300"/>
      <x:c r="K1273" s="300"/>
      <x:c r="L1273" s="300"/>
      <x:c r="M1273" s="300"/>
    </x:row>
    <x:row r="1274">
      <x:c r="H1274" s="300"/>
      <x:c r="I1274" s="300"/>
      <x:c r="J1274" s="300"/>
      <x:c r="K1274" s="300"/>
      <x:c r="L1274" s="300"/>
      <x:c r="M1274" s="300"/>
    </x:row>
    <x:row r="1275">
      <x:c r="H1275" s="300"/>
      <x:c r="I1275" s="300"/>
      <x:c r="J1275" s="300"/>
      <x:c r="K1275" s="300"/>
      <x:c r="L1275" s="300"/>
      <x:c r="M1275" s="300"/>
    </x:row>
    <x:row r="1276">
      <x:c r="H1276" s="300"/>
      <x:c r="I1276" s="300"/>
      <x:c r="J1276" s="300"/>
      <x:c r="K1276" s="300"/>
      <x:c r="L1276" s="300"/>
      <x:c r="M1276" s="300"/>
    </x:row>
    <x:row r="1277">
      <x:c r="H1277" s="300"/>
      <x:c r="I1277" s="300"/>
      <x:c r="J1277" s="300"/>
      <x:c r="K1277" s="300"/>
      <x:c r="L1277" s="300"/>
      <x:c r="M1277" s="300"/>
    </x:row>
    <x:row r="1278">
      <x:c r="H1278" s="300"/>
      <x:c r="I1278" s="300"/>
      <x:c r="J1278" s="300"/>
      <x:c r="K1278" s="300"/>
      <x:c r="L1278" s="300"/>
      <x:c r="M1278" s="300"/>
    </x:row>
    <x:row r="1279">
      <x:c r="H1279" s="300"/>
      <x:c r="I1279" s="300"/>
      <x:c r="J1279" s="300"/>
      <x:c r="K1279" s="300"/>
      <x:c r="L1279" s="300"/>
      <x:c r="M1279" s="300"/>
    </x:row>
    <x:row r="1280">
      <x:c r="H1280" s="300"/>
      <x:c r="I1280" s="300"/>
      <x:c r="J1280" s="300"/>
      <x:c r="K1280" s="300"/>
      <x:c r="L1280" s="300"/>
      <x:c r="M1280" s="300"/>
    </x:row>
    <x:row r="1281">
      <x:c r="H1281" s="300"/>
      <x:c r="I1281" s="300"/>
      <x:c r="J1281" s="300"/>
      <x:c r="K1281" s="300"/>
      <x:c r="L1281" s="300"/>
      <x:c r="M1281" s="300"/>
    </x:row>
    <x:row r="1282">
      <x:c r="H1282" s="300"/>
      <x:c r="I1282" s="300"/>
      <x:c r="J1282" s="300"/>
      <x:c r="K1282" s="300"/>
      <x:c r="L1282" s="300"/>
      <x:c r="M1282" s="300"/>
    </x:row>
    <x:row r="1283">
      <x:c r="H1283" s="300"/>
      <x:c r="I1283" s="300"/>
      <x:c r="J1283" s="300"/>
      <x:c r="K1283" s="300"/>
      <x:c r="L1283" s="300"/>
      <x:c r="M1283" s="300"/>
    </x:row>
    <x:row r="1284">
      <x:c r="H1284" s="300"/>
      <x:c r="I1284" s="300"/>
      <x:c r="J1284" s="300"/>
      <x:c r="K1284" s="300"/>
      <x:c r="L1284" s="300"/>
      <x:c r="M1284" s="300"/>
    </x:row>
    <x:row r="1285">
      <x:c r="H1285" s="300"/>
      <x:c r="I1285" s="300"/>
      <x:c r="J1285" s="300"/>
      <x:c r="K1285" s="300"/>
      <x:c r="L1285" s="300"/>
      <x:c r="M1285" s="300"/>
    </x:row>
    <x:row r="1286">
      <x:c r="H1286" s="300"/>
      <x:c r="I1286" s="300"/>
      <x:c r="J1286" s="300"/>
      <x:c r="K1286" s="300"/>
      <x:c r="L1286" s="300"/>
      <x:c r="M1286" s="300"/>
    </x:row>
    <x:row r="1287">
      <x:c r="H1287" s="300"/>
      <x:c r="I1287" s="300"/>
      <x:c r="J1287" s="300"/>
      <x:c r="K1287" s="300"/>
      <x:c r="L1287" s="300"/>
      <x:c r="M1287" s="300"/>
    </x:row>
    <x:row r="1288">
      <x:c r="H1288" s="300"/>
      <x:c r="I1288" s="300"/>
      <x:c r="J1288" s="300"/>
      <x:c r="K1288" s="300"/>
      <x:c r="L1288" s="300"/>
      <x:c r="M1288" s="300"/>
    </x:row>
    <x:row r="1289">
      <x:c r="H1289" s="300"/>
      <x:c r="I1289" s="300"/>
      <x:c r="J1289" s="300"/>
      <x:c r="K1289" s="300"/>
      <x:c r="L1289" s="300"/>
      <x:c r="M1289" s="300"/>
    </x:row>
    <x:row r="1290">
      <x:c r="H1290" s="300"/>
      <x:c r="I1290" s="300"/>
      <x:c r="J1290" s="300"/>
      <x:c r="K1290" s="300"/>
      <x:c r="L1290" s="300"/>
      <x:c r="M1290" s="300"/>
    </x:row>
    <x:row r="1291">
      <x:c r="H1291" s="300"/>
      <x:c r="I1291" s="300"/>
      <x:c r="J1291" s="300"/>
      <x:c r="K1291" s="300"/>
      <x:c r="L1291" s="300"/>
      <x:c r="M1291" s="300"/>
    </x:row>
    <x:row r="1292">
      <x:c r="H1292" s="300"/>
      <x:c r="I1292" s="300"/>
      <x:c r="J1292" s="300"/>
      <x:c r="K1292" s="300"/>
      <x:c r="L1292" s="300"/>
      <x:c r="M1292" s="300"/>
    </x:row>
    <x:row r="1293">
      <x:c r="H1293" s="300"/>
      <x:c r="I1293" s="300"/>
      <x:c r="J1293" s="300"/>
      <x:c r="K1293" s="300"/>
      <x:c r="L1293" s="300"/>
      <x:c r="M1293" s="300"/>
    </x:row>
    <x:row r="1294">
      <x:c r="H1294" s="300"/>
      <x:c r="I1294" s="300"/>
      <x:c r="J1294" s="300"/>
      <x:c r="K1294" s="300"/>
      <x:c r="L1294" s="300"/>
      <x:c r="M1294" s="300"/>
    </x:row>
    <x:row r="1295">
      <x:c r="H1295" s="300"/>
      <x:c r="I1295" s="300"/>
      <x:c r="J1295" s="300"/>
      <x:c r="K1295" s="300"/>
      <x:c r="L1295" s="300"/>
      <x:c r="M1295" s="300"/>
    </x:row>
    <x:row r="1296">
      <x:c r="H1296" s="300"/>
      <x:c r="I1296" s="300"/>
      <x:c r="J1296" s="300"/>
      <x:c r="K1296" s="300"/>
      <x:c r="L1296" s="300"/>
      <x:c r="M1296" s="300"/>
    </x:row>
    <x:row r="1297">
      <x:c r="H1297" s="300"/>
      <x:c r="I1297" s="300"/>
      <x:c r="J1297" s="300"/>
      <x:c r="K1297" s="300"/>
      <x:c r="L1297" s="300"/>
      <x:c r="M1297" s="300"/>
    </x:row>
    <x:row r="1298">
      <x:c r="H1298" s="300"/>
      <x:c r="I1298" s="300"/>
      <x:c r="J1298" s="300"/>
      <x:c r="K1298" s="300"/>
      <x:c r="L1298" s="300"/>
      <x:c r="M1298" s="300"/>
    </x:row>
    <x:row r="1299">
      <x:c r="H1299" s="300"/>
      <x:c r="I1299" s="300"/>
      <x:c r="J1299" s="300"/>
      <x:c r="K1299" s="300"/>
      <x:c r="L1299" s="300"/>
      <x:c r="M1299" s="300"/>
    </x:row>
    <x:row r="1300">
      <x:c r="H1300" s="300"/>
      <x:c r="I1300" s="300"/>
      <x:c r="J1300" s="300"/>
      <x:c r="K1300" s="300"/>
      <x:c r="L1300" s="300"/>
      <x:c r="M1300" s="300"/>
    </x:row>
    <x:row r="1301">
      <x:c r="H1301" s="300"/>
      <x:c r="I1301" s="300"/>
      <x:c r="J1301" s="300"/>
      <x:c r="K1301" s="300"/>
      <x:c r="L1301" s="300"/>
      <x:c r="M1301" s="300"/>
    </x:row>
    <x:row r="1302">
      <x:c r="H1302" s="300"/>
      <x:c r="I1302" s="300"/>
      <x:c r="J1302" s="300"/>
      <x:c r="K1302" s="300"/>
      <x:c r="L1302" s="300"/>
      <x:c r="M1302" s="300"/>
    </x:row>
    <x:row r="1303">
      <x:c r="H1303" s="300"/>
      <x:c r="I1303" s="300"/>
      <x:c r="J1303" s="300"/>
      <x:c r="K1303" s="300"/>
      <x:c r="L1303" s="300"/>
      <x:c r="M1303" s="300"/>
    </x:row>
    <x:row r="1304">
      <x:c r="H1304" s="300"/>
      <x:c r="I1304" s="300"/>
      <x:c r="J1304" s="300"/>
      <x:c r="K1304" s="300"/>
      <x:c r="L1304" s="300"/>
      <x:c r="M1304" s="300"/>
    </x:row>
    <x:row r="1305">
      <x:c r="H1305" s="300"/>
      <x:c r="I1305" s="300"/>
      <x:c r="J1305" s="300"/>
      <x:c r="K1305" s="300"/>
      <x:c r="L1305" s="300"/>
      <x:c r="M1305" s="300"/>
    </x:row>
    <x:row r="1306">
      <x:c r="H1306" s="300"/>
      <x:c r="I1306" s="300"/>
      <x:c r="J1306" s="300"/>
      <x:c r="K1306" s="300"/>
      <x:c r="L1306" s="300"/>
      <x:c r="M1306" s="300"/>
    </x:row>
    <x:row r="1307">
      <x:c r="H1307" s="300"/>
      <x:c r="I1307" s="300"/>
      <x:c r="J1307" s="300"/>
      <x:c r="K1307" s="300"/>
      <x:c r="L1307" s="300"/>
      <x:c r="M1307" s="300"/>
    </x:row>
    <x:row r="1308">
      <x:c r="H1308" s="300"/>
      <x:c r="I1308" s="300"/>
      <x:c r="J1308" s="300"/>
      <x:c r="K1308" s="300"/>
      <x:c r="L1308" s="300"/>
      <x:c r="M1308" s="300"/>
    </x:row>
    <x:row r="1309">
      <x:c r="H1309" s="300"/>
      <x:c r="I1309" s="300"/>
      <x:c r="J1309" s="300"/>
      <x:c r="K1309" s="300"/>
      <x:c r="L1309" s="300"/>
      <x:c r="M1309" s="300"/>
    </x:row>
    <x:row r="1310">
      <x:c r="H1310" s="300"/>
      <x:c r="I1310" s="300"/>
      <x:c r="J1310" s="300"/>
      <x:c r="K1310" s="300"/>
      <x:c r="L1310" s="300"/>
      <x:c r="M1310" s="300"/>
    </x:row>
    <x:row r="1311">
      <x:c r="H1311" s="300"/>
      <x:c r="I1311" s="300"/>
      <x:c r="J1311" s="300"/>
      <x:c r="K1311" s="300"/>
      <x:c r="L1311" s="300"/>
      <x:c r="M1311" s="300"/>
    </x:row>
    <x:row r="1312">
      <x:c r="H1312" s="300"/>
      <x:c r="I1312" s="300"/>
      <x:c r="J1312" s="300"/>
      <x:c r="K1312" s="300"/>
      <x:c r="L1312" s="300"/>
      <x:c r="M1312" s="300"/>
    </x:row>
    <x:row r="1313">
      <x:c r="H1313" s="300"/>
      <x:c r="I1313" s="300"/>
      <x:c r="J1313" s="300"/>
      <x:c r="K1313" s="300"/>
      <x:c r="L1313" s="300"/>
      <x:c r="M1313" s="300"/>
    </x:row>
    <x:row r="1314">
      <x:c r="H1314" s="300"/>
      <x:c r="I1314" s="300"/>
      <x:c r="J1314" s="300"/>
      <x:c r="K1314" s="300"/>
      <x:c r="L1314" s="300"/>
      <x:c r="M1314" s="300"/>
    </x:row>
    <x:row r="1315">
      <x:c r="H1315" s="300"/>
      <x:c r="I1315" s="300"/>
      <x:c r="J1315" s="300"/>
      <x:c r="K1315" s="300"/>
      <x:c r="L1315" s="300"/>
      <x:c r="M1315" s="300"/>
    </x:row>
    <x:row r="1316">
      <x:c r="H1316" s="300"/>
      <x:c r="I1316" s="300"/>
      <x:c r="J1316" s="300"/>
      <x:c r="K1316" s="300"/>
      <x:c r="L1316" s="300"/>
      <x:c r="M1316" s="300"/>
    </x:row>
    <x:row r="1317">
      <x:c r="H1317" s="300"/>
      <x:c r="I1317" s="300"/>
      <x:c r="J1317" s="300"/>
      <x:c r="K1317" s="300"/>
      <x:c r="L1317" s="300"/>
      <x:c r="M1317" s="300"/>
    </x:row>
    <x:row r="1318">
      <x:c r="H1318" s="300"/>
      <x:c r="I1318" s="300"/>
      <x:c r="J1318" s="300"/>
      <x:c r="K1318" s="300"/>
      <x:c r="L1318" s="300"/>
      <x:c r="M1318" s="300"/>
    </x:row>
    <x:row r="1319">
      <x:c r="H1319" s="300"/>
      <x:c r="I1319" s="300"/>
      <x:c r="J1319" s="300"/>
      <x:c r="K1319" s="300"/>
      <x:c r="L1319" s="300"/>
      <x:c r="M1319" s="300"/>
    </x:row>
    <x:row r="1320">
      <x:c r="H1320" s="300"/>
      <x:c r="I1320" s="300"/>
      <x:c r="J1320" s="300"/>
      <x:c r="K1320" s="300"/>
      <x:c r="L1320" s="300"/>
      <x:c r="M1320" s="300"/>
    </x:row>
    <x:row r="1321">
      <x:c r="H1321" s="300"/>
      <x:c r="I1321" s="300"/>
      <x:c r="J1321" s="300"/>
      <x:c r="K1321" s="300"/>
      <x:c r="L1321" s="300"/>
      <x:c r="M1321" s="300"/>
    </x:row>
    <x:row r="1322">
      <x:c r="H1322" s="300"/>
      <x:c r="I1322" s="300"/>
      <x:c r="J1322" s="300"/>
      <x:c r="K1322" s="300"/>
      <x:c r="L1322" s="300"/>
      <x:c r="M1322" s="300"/>
    </x:row>
    <x:row r="1323">
      <x:c r="H1323" s="300"/>
      <x:c r="I1323" s="300"/>
      <x:c r="J1323" s="300"/>
      <x:c r="K1323" s="300"/>
      <x:c r="L1323" s="300"/>
      <x:c r="M1323" s="300"/>
    </x:row>
    <x:row r="1324">
      <x:c r="H1324" s="300"/>
      <x:c r="I1324" s="300"/>
      <x:c r="J1324" s="300"/>
      <x:c r="K1324" s="300"/>
      <x:c r="L1324" s="300"/>
      <x:c r="M1324" s="300"/>
    </x:row>
    <x:row r="1325">
      <x:c r="H1325" s="300"/>
      <x:c r="I1325" s="300"/>
      <x:c r="J1325" s="300"/>
      <x:c r="K1325" s="300"/>
      <x:c r="L1325" s="300"/>
      <x:c r="M1325" s="300"/>
    </x:row>
    <x:row r="1326">
      <x:c r="H1326" s="300"/>
      <x:c r="I1326" s="300"/>
      <x:c r="J1326" s="300"/>
      <x:c r="K1326" s="300"/>
      <x:c r="L1326" s="300"/>
      <x:c r="M1326" s="300"/>
    </x:row>
    <x:row r="1327">
      <x:c r="H1327" s="300"/>
      <x:c r="I1327" s="300"/>
      <x:c r="J1327" s="300"/>
      <x:c r="K1327" s="300"/>
      <x:c r="L1327" s="300"/>
      <x:c r="M1327" s="300"/>
    </x:row>
    <x:row r="1328">
      <x:c r="H1328" s="300"/>
      <x:c r="I1328" s="300"/>
      <x:c r="J1328" s="300"/>
      <x:c r="K1328" s="300"/>
      <x:c r="L1328" s="300"/>
      <x:c r="M1328" s="300"/>
    </x:row>
    <x:row r="1329">
      <x:c r="H1329" s="300"/>
      <x:c r="I1329" s="300"/>
      <x:c r="J1329" s="300"/>
      <x:c r="K1329" s="300"/>
      <x:c r="L1329" s="300"/>
      <x:c r="M1329" s="300"/>
    </x:row>
    <x:row r="1330">
      <x:c r="H1330" s="300"/>
      <x:c r="I1330" s="300"/>
      <x:c r="J1330" s="300"/>
      <x:c r="K1330" s="300"/>
      <x:c r="L1330" s="300"/>
      <x:c r="M1330" s="300"/>
    </x:row>
    <x:row r="1331">
      <x:c r="H1331" s="300"/>
      <x:c r="I1331" s="300"/>
      <x:c r="J1331" s="300"/>
      <x:c r="K1331" s="300"/>
      <x:c r="L1331" s="300"/>
      <x:c r="M1331" s="300"/>
    </x:row>
    <x:row r="1332">
      <x:c r="H1332" s="300"/>
      <x:c r="I1332" s="300"/>
      <x:c r="J1332" s="300"/>
      <x:c r="K1332" s="300"/>
      <x:c r="L1332" s="300"/>
      <x:c r="M1332" s="300"/>
    </x:row>
    <x:row r="1333">
      <x:c r="H1333" s="300"/>
      <x:c r="I1333" s="300"/>
      <x:c r="J1333" s="300"/>
      <x:c r="K1333" s="300"/>
      <x:c r="L1333" s="300"/>
      <x:c r="M1333" s="300"/>
    </x:row>
    <x:row r="1334">
      <x:c r="H1334" s="300"/>
      <x:c r="I1334" s="300"/>
      <x:c r="J1334" s="300"/>
      <x:c r="K1334" s="300"/>
      <x:c r="L1334" s="300"/>
      <x:c r="M1334" s="300"/>
    </x:row>
    <x:row r="1335">
      <x:c r="H1335" s="300"/>
      <x:c r="I1335" s="300"/>
      <x:c r="J1335" s="300"/>
      <x:c r="K1335" s="300"/>
      <x:c r="L1335" s="300"/>
      <x:c r="M1335" s="300"/>
    </x:row>
    <x:row r="1336">
      <x:c r="H1336" s="300"/>
      <x:c r="I1336" s="300"/>
      <x:c r="J1336" s="300"/>
      <x:c r="K1336" s="300"/>
      <x:c r="L1336" s="300"/>
      <x:c r="M1336" s="300"/>
    </x:row>
    <x:row r="1337">
      <x:c r="H1337" s="300"/>
      <x:c r="I1337" s="300"/>
      <x:c r="J1337" s="300"/>
      <x:c r="K1337" s="300"/>
      <x:c r="L1337" s="300"/>
      <x:c r="M1337" s="300"/>
    </x:row>
    <x:row r="1338">
      <x:c r="H1338" s="300"/>
      <x:c r="I1338" s="300"/>
      <x:c r="J1338" s="300"/>
      <x:c r="K1338" s="300"/>
      <x:c r="L1338" s="300"/>
      <x:c r="M1338" s="300"/>
    </x:row>
    <x:row r="1339">
      <x:c r="H1339" s="300"/>
      <x:c r="I1339" s="300"/>
      <x:c r="J1339" s="300"/>
      <x:c r="K1339" s="300"/>
      <x:c r="L1339" s="300"/>
      <x:c r="M1339" s="300"/>
    </x:row>
    <x:row r="1340">
      <x:c r="H1340" s="300"/>
      <x:c r="I1340" s="300"/>
      <x:c r="J1340" s="300"/>
      <x:c r="K1340" s="300"/>
      <x:c r="L1340" s="300"/>
      <x:c r="M1340" s="300"/>
    </x:row>
    <x:row r="1341">
      <x:c r="H1341" s="300"/>
      <x:c r="I1341" s="300"/>
      <x:c r="J1341" s="300"/>
      <x:c r="K1341" s="300"/>
      <x:c r="L1341" s="300"/>
      <x:c r="M1341" s="300"/>
    </x:row>
    <x:row r="1342">
      <x:c r="H1342" s="300"/>
      <x:c r="I1342" s="300"/>
      <x:c r="J1342" s="300"/>
      <x:c r="K1342" s="300"/>
      <x:c r="L1342" s="300"/>
      <x:c r="M1342" s="300"/>
    </x:row>
    <x:row r="1343">
      <x:c r="H1343" s="300"/>
      <x:c r="I1343" s="300"/>
      <x:c r="J1343" s="300"/>
      <x:c r="K1343" s="300"/>
      <x:c r="L1343" s="300"/>
      <x:c r="M1343" s="300"/>
    </x:row>
    <x:row r="1344">
      <x:c r="H1344" s="300"/>
      <x:c r="I1344" s="300"/>
      <x:c r="J1344" s="300"/>
      <x:c r="K1344" s="300"/>
      <x:c r="L1344" s="300"/>
      <x:c r="M1344" s="300"/>
    </x:row>
    <x:row r="1345">
      <x:c r="H1345" s="300"/>
      <x:c r="I1345" s="300"/>
      <x:c r="J1345" s="300"/>
      <x:c r="K1345" s="300"/>
      <x:c r="L1345" s="300"/>
      <x:c r="M1345" s="300"/>
    </x:row>
    <x:row r="1346">
      <x:c r="H1346" s="300"/>
      <x:c r="I1346" s="300"/>
      <x:c r="J1346" s="300"/>
      <x:c r="K1346" s="300"/>
      <x:c r="L1346" s="300"/>
      <x:c r="M1346" s="300"/>
    </x:row>
    <x:row r="1347">
      <x:c r="H1347" s="300"/>
      <x:c r="I1347" s="300"/>
      <x:c r="J1347" s="300"/>
      <x:c r="K1347" s="300"/>
      <x:c r="L1347" s="300"/>
      <x:c r="M1347" s="300"/>
    </x:row>
    <x:row r="1348">
      <x:c r="H1348" s="300"/>
      <x:c r="I1348" s="300"/>
      <x:c r="J1348" s="300"/>
      <x:c r="K1348" s="300"/>
      <x:c r="L1348" s="300"/>
      <x:c r="M1348" s="300"/>
    </x:row>
    <x:row r="1349">
      <x:c r="H1349" s="300"/>
      <x:c r="I1349" s="300"/>
      <x:c r="J1349" s="300"/>
      <x:c r="K1349" s="300"/>
      <x:c r="L1349" s="300"/>
      <x:c r="M1349" s="300"/>
    </x:row>
    <x:row r="1350">
      <x:c r="H1350" s="300"/>
      <x:c r="I1350" s="300"/>
      <x:c r="J1350" s="300"/>
      <x:c r="K1350" s="300"/>
      <x:c r="L1350" s="300"/>
      <x:c r="M1350" s="300"/>
    </x:row>
    <x:row r="1351">
      <x:c r="H1351" s="300"/>
      <x:c r="I1351" s="300"/>
      <x:c r="J1351" s="300"/>
      <x:c r="K1351" s="300"/>
      <x:c r="L1351" s="300"/>
      <x:c r="M1351" s="300"/>
    </x:row>
    <x:row r="1352">
      <x:c r="H1352" s="300"/>
      <x:c r="I1352" s="300"/>
      <x:c r="J1352" s="300"/>
      <x:c r="K1352" s="300"/>
      <x:c r="L1352" s="300"/>
      <x:c r="M1352" s="300"/>
    </x:row>
    <x:row r="1353">
      <x:c r="H1353" s="300"/>
      <x:c r="I1353" s="300"/>
      <x:c r="J1353" s="300"/>
      <x:c r="K1353" s="300"/>
      <x:c r="L1353" s="300"/>
      <x:c r="M1353" s="300"/>
    </x:row>
    <x:row r="1354">
      <x:c r="H1354" s="300"/>
      <x:c r="I1354" s="300"/>
      <x:c r="J1354" s="300"/>
      <x:c r="K1354" s="300"/>
      <x:c r="L1354" s="300"/>
      <x:c r="M1354" s="300"/>
    </x:row>
    <x:row r="1355">
      <x:c r="H1355" s="300"/>
      <x:c r="I1355" s="300"/>
      <x:c r="J1355" s="300"/>
      <x:c r="K1355" s="300"/>
      <x:c r="L1355" s="300"/>
      <x:c r="M1355" s="300"/>
    </x:row>
    <x:row r="1356">
      <x:c r="H1356" s="300"/>
      <x:c r="I1356" s="300"/>
      <x:c r="J1356" s="300"/>
      <x:c r="K1356" s="300"/>
      <x:c r="L1356" s="300"/>
      <x:c r="M1356" s="300"/>
    </x:row>
    <x:row r="1357">
      <x:c r="H1357" s="300"/>
      <x:c r="I1357" s="300"/>
      <x:c r="J1357" s="300"/>
      <x:c r="K1357" s="300"/>
      <x:c r="L1357" s="300"/>
      <x:c r="M1357" s="300"/>
    </x:row>
    <x:row r="1358">
      <x:c r="H1358" s="300"/>
      <x:c r="I1358" s="300"/>
      <x:c r="J1358" s="300"/>
      <x:c r="K1358" s="300"/>
      <x:c r="L1358" s="300"/>
      <x:c r="M1358" s="300"/>
    </x:row>
    <x:row r="1359">
      <x:c r="H1359" s="300"/>
      <x:c r="I1359" s="300"/>
      <x:c r="J1359" s="300"/>
      <x:c r="K1359" s="300"/>
      <x:c r="L1359" s="300"/>
      <x:c r="M1359" s="300"/>
    </x:row>
    <x:row r="1360">
      <x:c r="H1360" s="300"/>
      <x:c r="I1360" s="300"/>
      <x:c r="J1360" s="300"/>
      <x:c r="K1360" s="300"/>
      <x:c r="L1360" s="300"/>
      <x:c r="M1360" s="300"/>
    </x:row>
    <x:row r="1361">
      <x:c r="H1361" s="300"/>
      <x:c r="I1361" s="300"/>
      <x:c r="J1361" s="300"/>
      <x:c r="K1361" s="300"/>
      <x:c r="L1361" s="300"/>
      <x:c r="M1361" s="300"/>
    </x:row>
    <x:row r="1362">
      <x:c r="H1362" s="300"/>
      <x:c r="I1362" s="300"/>
      <x:c r="J1362" s="300"/>
      <x:c r="K1362" s="300"/>
      <x:c r="L1362" s="300"/>
      <x:c r="M1362" s="300"/>
    </x:row>
    <x:row r="1363">
      <x:c r="H1363" s="300"/>
      <x:c r="I1363" s="300"/>
      <x:c r="J1363" s="300"/>
      <x:c r="K1363" s="300"/>
      <x:c r="L1363" s="300"/>
      <x:c r="M1363" s="300"/>
    </x:row>
    <x:row r="1364">
      <x:c r="H1364" s="300"/>
      <x:c r="I1364" s="300"/>
      <x:c r="J1364" s="300"/>
      <x:c r="K1364" s="300"/>
      <x:c r="L1364" s="300"/>
      <x:c r="M1364" s="300"/>
    </x:row>
    <x:row r="1365">
      <x:c r="H1365" s="300"/>
      <x:c r="I1365" s="300"/>
      <x:c r="J1365" s="300"/>
      <x:c r="K1365" s="300"/>
      <x:c r="L1365" s="300"/>
      <x:c r="M1365" s="300"/>
    </x:row>
    <x:row r="1366">
      <x:c r="H1366" s="300"/>
      <x:c r="I1366" s="300"/>
      <x:c r="J1366" s="300"/>
      <x:c r="K1366" s="300"/>
      <x:c r="L1366" s="300"/>
      <x:c r="M1366" s="300"/>
    </x:row>
    <x:row r="1367">
      <x:c r="H1367" s="300"/>
      <x:c r="I1367" s="300"/>
      <x:c r="J1367" s="300"/>
      <x:c r="K1367" s="300"/>
      <x:c r="L1367" s="300"/>
      <x:c r="M1367" s="300"/>
    </x:row>
    <x:row r="1368">
      <x:c r="H1368" s="300"/>
      <x:c r="I1368" s="300"/>
      <x:c r="J1368" s="300"/>
      <x:c r="K1368" s="300"/>
      <x:c r="L1368" s="300"/>
      <x:c r="M1368" s="300"/>
    </x:row>
    <x:row r="1369">
      <x:c r="H1369" s="300"/>
      <x:c r="I1369" s="300"/>
      <x:c r="J1369" s="300"/>
      <x:c r="K1369" s="300"/>
      <x:c r="L1369" s="300"/>
      <x:c r="M1369" s="300"/>
    </x:row>
    <x:row r="1370">
      <x:c r="H1370" s="300"/>
      <x:c r="I1370" s="300"/>
      <x:c r="J1370" s="300"/>
      <x:c r="K1370" s="300"/>
      <x:c r="L1370" s="300"/>
      <x:c r="M1370" s="300"/>
    </x:row>
    <x:row r="1371">
      <x:c r="H1371" s="300"/>
      <x:c r="I1371" s="300"/>
      <x:c r="J1371" s="300"/>
      <x:c r="K1371" s="300"/>
      <x:c r="L1371" s="300"/>
      <x:c r="M1371" s="300"/>
    </x:row>
    <x:row r="1372">
      <x:c r="H1372" s="300"/>
      <x:c r="I1372" s="300"/>
      <x:c r="J1372" s="300"/>
      <x:c r="K1372" s="300"/>
      <x:c r="L1372" s="300"/>
      <x:c r="M1372" s="300"/>
    </x:row>
    <x:row r="1373">
      <x:c r="H1373" s="300"/>
      <x:c r="I1373" s="300"/>
      <x:c r="J1373" s="300"/>
      <x:c r="K1373" s="300"/>
      <x:c r="L1373" s="300"/>
      <x:c r="M1373" s="300"/>
    </x:row>
    <x:row r="1374">
      <x:c r="H1374" s="300"/>
      <x:c r="I1374" s="300"/>
      <x:c r="J1374" s="300"/>
      <x:c r="K1374" s="300"/>
      <x:c r="L1374" s="300"/>
      <x:c r="M1374" s="300"/>
    </x:row>
    <x:row r="1375">
      <x:c r="H1375" s="300"/>
      <x:c r="I1375" s="300"/>
      <x:c r="J1375" s="300"/>
      <x:c r="K1375" s="300"/>
      <x:c r="L1375" s="300"/>
      <x:c r="M1375" s="300"/>
    </x:row>
    <x:row r="1376">
      <x:c r="H1376" s="300"/>
      <x:c r="I1376" s="300"/>
      <x:c r="J1376" s="300"/>
      <x:c r="K1376" s="300"/>
      <x:c r="L1376" s="300"/>
      <x:c r="M1376" s="300"/>
    </x:row>
    <x:row r="1377">
      <x:c r="H1377" s="300"/>
      <x:c r="I1377" s="300"/>
      <x:c r="J1377" s="300"/>
      <x:c r="K1377" s="300"/>
      <x:c r="L1377" s="300"/>
      <x:c r="M1377" s="300"/>
    </x:row>
    <x:row r="1378">
      <x:c r="H1378" s="300"/>
      <x:c r="I1378" s="300"/>
      <x:c r="J1378" s="300"/>
      <x:c r="K1378" s="300"/>
      <x:c r="L1378" s="300"/>
      <x:c r="M1378" s="300"/>
    </x:row>
    <x:row r="1379">
      <x:c r="H1379" s="300"/>
      <x:c r="I1379" s="300"/>
      <x:c r="J1379" s="300"/>
      <x:c r="K1379" s="300"/>
      <x:c r="L1379" s="300"/>
      <x:c r="M1379" s="300"/>
    </x:row>
    <x:row r="1380">
      <x:c r="H1380" s="300"/>
      <x:c r="I1380" s="300"/>
      <x:c r="J1380" s="300"/>
      <x:c r="K1380" s="300"/>
      <x:c r="L1380" s="300"/>
      <x:c r="M1380" s="300"/>
    </x:row>
    <x:row r="1381">
      <x:c r="H1381" s="300"/>
      <x:c r="I1381" s="300"/>
      <x:c r="J1381" s="300"/>
      <x:c r="K1381" s="300"/>
      <x:c r="L1381" s="300"/>
      <x:c r="M1381" s="300"/>
    </x:row>
    <x:row r="1382">
      <x:c r="H1382" s="300"/>
      <x:c r="I1382" s="300"/>
      <x:c r="J1382" s="300"/>
      <x:c r="K1382" s="300"/>
      <x:c r="L1382" s="300"/>
      <x:c r="M1382" s="300"/>
    </x:row>
    <x:row r="1383">
      <x:c r="H1383" s="300"/>
      <x:c r="I1383" s="300"/>
      <x:c r="J1383" s="300"/>
      <x:c r="K1383" s="300"/>
      <x:c r="L1383" s="300"/>
      <x:c r="M1383" s="300"/>
    </x:row>
    <x:row r="1384">
      <x:c r="H1384" s="300"/>
      <x:c r="I1384" s="300"/>
      <x:c r="J1384" s="300"/>
      <x:c r="K1384" s="300"/>
      <x:c r="L1384" s="300"/>
      <x:c r="M1384" s="300"/>
    </x:row>
    <x:row r="1385">
      <x:c r="H1385" s="300"/>
      <x:c r="I1385" s="300"/>
      <x:c r="J1385" s="300"/>
      <x:c r="K1385" s="300"/>
      <x:c r="L1385" s="300"/>
      <x:c r="M1385" s="300"/>
    </x:row>
    <x:row r="1386">
      <x:c r="H1386" s="300"/>
      <x:c r="I1386" s="300"/>
      <x:c r="J1386" s="300"/>
      <x:c r="K1386" s="300"/>
      <x:c r="L1386" s="300"/>
      <x:c r="M1386" s="300"/>
    </x:row>
    <x:row r="1387">
      <x:c r="H1387" s="300"/>
      <x:c r="I1387" s="300"/>
      <x:c r="J1387" s="300"/>
      <x:c r="K1387" s="300"/>
      <x:c r="L1387" s="300"/>
      <x:c r="M1387" s="300"/>
    </x:row>
    <x:row r="1388">
      <x:c r="H1388" s="300"/>
      <x:c r="I1388" s="300"/>
      <x:c r="J1388" s="300"/>
      <x:c r="K1388" s="300"/>
      <x:c r="L1388" s="300"/>
      <x:c r="M1388" s="300"/>
    </x:row>
    <x:row r="1389">
      <x:c r="H1389" s="300"/>
      <x:c r="I1389" s="300"/>
      <x:c r="J1389" s="300"/>
      <x:c r="K1389" s="300"/>
      <x:c r="L1389" s="300"/>
      <x:c r="M1389" s="300"/>
    </x:row>
    <x:row r="1390">
      <x:c r="H1390" s="300"/>
      <x:c r="I1390" s="300"/>
      <x:c r="J1390" s="300"/>
      <x:c r="K1390" s="300"/>
      <x:c r="L1390" s="300"/>
      <x:c r="M1390" s="300"/>
    </x:row>
    <x:row r="1391">
      <x:c r="H1391" s="300"/>
      <x:c r="I1391" s="300"/>
      <x:c r="J1391" s="300"/>
      <x:c r="K1391" s="300"/>
      <x:c r="L1391" s="300"/>
      <x:c r="M1391" s="300"/>
    </x:row>
    <x:row r="1392">
      <x:c r="H1392" s="300"/>
      <x:c r="I1392" s="300"/>
      <x:c r="J1392" s="300"/>
      <x:c r="K1392" s="300"/>
      <x:c r="L1392" s="300"/>
      <x:c r="M1392" s="300"/>
    </x:row>
    <x:row r="1393">
      <x:c r="H1393" s="300"/>
      <x:c r="I1393" s="300"/>
      <x:c r="J1393" s="300"/>
      <x:c r="K1393" s="300"/>
      <x:c r="L1393" s="300"/>
      <x:c r="M1393" s="300"/>
    </x:row>
    <x:row r="1394">
      <x:c r="H1394" s="300"/>
      <x:c r="I1394" s="300"/>
      <x:c r="J1394" s="300"/>
      <x:c r="K1394" s="300"/>
      <x:c r="L1394" s="300"/>
      <x:c r="M1394" s="300"/>
    </x:row>
    <x:row r="1395">
      <x:c r="H1395" s="300"/>
      <x:c r="I1395" s="300"/>
      <x:c r="J1395" s="300"/>
      <x:c r="K1395" s="300"/>
      <x:c r="L1395" s="300"/>
      <x:c r="M1395" s="300"/>
    </x:row>
    <x:row r="1396">
      <x:c r="H1396" s="300"/>
      <x:c r="I1396" s="300"/>
      <x:c r="J1396" s="300"/>
      <x:c r="K1396" s="300"/>
      <x:c r="L1396" s="300"/>
      <x:c r="M1396" s="300"/>
    </x:row>
    <x:row r="1397">
      <x:c r="H1397" s="300"/>
      <x:c r="I1397" s="300"/>
      <x:c r="J1397" s="300"/>
      <x:c r="K1397" s="300"/>
      <x:c r="L1397" s="300"/>
      <x:c r="M1397" s="300"/>
    </x:row>
    <x:row r="1398">
      <x:c r="H1398" s="300"/>
      <x:c r="I1398" s="300"/>
      <x:c r="J1398" s="300"/>
      <x:c r="K1398" s="300"/>
      <x:c r="L1398" s="300"/>
      <x:c r="M1398" s="300"/>
    </x:row>
    <x:row r="1399">
      <x:c r="H1399" s="300"/>
      <x:c r="I1399" s="300"/>
      <x:c r="J1399" s="300"/>
      <x:c r="K1399" s="300"/>
      <x:c r="L1399" s="300"/>
      <x:c r="M1399" s="300"/>
    </x:row>
    <x:row r="1400">
      <x:c r="H1400" s="300"/>
      <x:c r="I1400" s="300"/>
      <x:c r="J1400" s="300"/>
      <x:c r="K1400" s="300"/>
      <x:c r="L1400" s="300"/>
      <x:c r="M1400" s="300"/>
    </x:row>
    <x:row r="1401">
      <x:c r="H1401" s="300"/>
      <x:c r="I1401" s="300"/>
      <x:c r="J1401" s="300"/>
      <x:c r="K1401" s="300"/>
      <x:c r="L1401" s="300"/>
      <x:c r="M1401" s="300"/>
    </x:row>
    <x:row r="1402">
      <x:c r="H1402" s="300"/>
      <x:c r="I1402" s="300"/>
      <x:c r="J1402" s="300"/>
      <x:c r="K1402" s="300"/>
      <x:c r="L1402" s="300"/>
      <x:c r="M1402" s="300"/>
    </x:row>
    <x:row r="1403">
      <x:c r="H1403" s="300"/>
      <x:c r="I1403" s="300"/>
      <x:c r="J1403" s="300"/>
      <x:c r="K1403" s="300"/>
      <x:c r="L1403" s="300"/>
      <x:c r="M1403" s="300"/>
    </x:row>
    <x:row r="1404">
      <x:c r="H1404" s="300"/>
      <x:c r="I1404" s="300"/>
      <x:c r="J1404" s="300"/>
      <x:c r="K1404" s="300"/>
      <x:c r="L1404" s="300"/>
      <x:c r="M1404" s="300"/>
    </x:row>
    <x:row r="1405">
      <x:c r="H1405" s="300"/>
      <x:c r="I1405" s="300"/>
      <x:c r="J1405" s="300"/>
      <x:c r="K1405" s="300"/>
      <x:c r="L1405" s="300"/>
      <x:c r="M1405" s="300"/>
    </x:row>
    <x:row r="1406">
      <x:c r="H1406" s="300"/>
      <x:c r="I1406" s="300"/>
      <x:c r="J1406" s="300"/>
      <x:c r="K1406" s="300"/>
      <x:c r="L1406" s="300"/>
      <x:c r="M1406" s="300"/>
    </x:row>
    <x:row r="1407">
      <x:c r="H1407" s="300"/>
      <x:c r="I1407" s="300"/>
      <x:c r="J1407" s="300"/>
      <x:c r="K1407" s="300"/>
      <x:c r="L1407" s="300"/>
      <x:c r="M1407" s="300"/>
    </x:row>
    <x:row r="1408">
      <x:c r="H1408" s="300"/>
      <x:c r="I1408" s="300"/>
      <x:c r="J1408" s="300"/>
      <x:c r="K1408" s="300"/>
      <x:c r="L1408" s="300"/>
      <x:c r="M1408" s="300"/>
    </x:row>
    <x:row r="1409">
      <x:c r="H1409" s="300"/>
      <x:c r="I1409" s="300"/>
      <x:c r="J1409" s="300"/>
      <x:c r="K1409" s="300"/>
      <x:c r="L1409" s="300"/>
      <x:c r="M1409" s="300"/>
    </x:row>
    <x:row r="1410">
      <x:c r="H1410" s="300"/>
      <x:c r="I1410" s="300"/>
      <x:c r="J1410" s="300"/>
      <x:c r="K1410" s="300"/>
      <x:c r="L1410" s="300"/>
      <x:c r="M1410" s="300"/>
    </x:row>
    <x:row r="1411">
      <x:c r="H1411" s="300"/>
      <x:c r="I1411" s="300"/>
      <x:c r="J1411" s="300"/>
      <x:c r="K1411" s="300"/>
      <x:c r="L1411" s="300"/>
      <x:c r="M1411" s="300"/>
    </x:row>
    <x:row r="1412">
      <x:c r="H1412" s="300"/>
      <x:c r="I1412" s="300"/>
      <x:c r="J1412" s="300"/>
      <x:c r="K1412" s="300"/>
      <x:c r="L1412" s="300"/>
      <x:c r="M1412" s="300"/>
    </x:row>
    <x:row r="1413">
      <x:c r="H1413" s="300"/>
      <x:c r="I1413" s="300"/>
      <x:c r="J1413" s="300"/>
      <x:c r="K1413" s="300"/>
      <x:c r="L1413" s="300"/>
      <x:c r="M1413" s="300"/>
    </x:row>
    <x:row r="1414">
      <x:c r="H1414" s="300"/>
      <x:c r="I1414" s="300"/>
      <x:c r="J1414" s="300"/>
      <x:c r="K1414" s="300"/>
      <x:c r="L1414" s="300"/>
      <x:c r="M1414" s="300"/>
    </x:row>
    <x:row r="1415">
      <x:c r="H1415" s="300"/>
      <x:c r="I1415" s="300"/>
      <x:c r="J1415" s="300"/>
      <x:c r="K1415" s="300"/>
      <x:c r="L1415" s="300"/>
      <x:c r="M1415" s="300"/>
    </x:row>
    <x:row r="1416">
      <x:c r="H1416" s="300"/>
      <x:c r="I1416" s="300"/>
      <x:c r="J1416" s="300"/>
      <x:c r="K1416" s="300"/>
      <x:c r="L1416" s="300"/>
      <x:c r="M1416" s="300"/>
    </x:row>
    <x:row r="1417">
      <x:c r="H1417" s="300"/>
      <x:c r="I1417" s="300"/>
      <x:c r="J1417" s="300"/>
      <x:c r="K1417" s="300"/>
      <x:c r="L1417" s="300"/>
      <x:c r="M1417" s="300"/>
    </x:row>
    <x:row r="1418">
      <x:c r="H1418" s="300"/>
      <x:c r="I1418" s="300"/>
      <x:c r="J1418" s="300"/>
      <x:c r="K1418" s="300"/>
      <x:c r="L1418" s="300"/>
      <x:c r="M1418" s="300"/>
    </x:row>
    <x:row r="1419">
      <x:c r="H1419" s="300"/>
      <x:c r="I1419" s="300"/>
      <x:c r="J1419" s="300"/>
      <x:c r="K1419" s="300"/>
      <x:c r="L1419" s="300"/>
      <x:c r="M1419" s="300"/>
    </x:row>
    <x:row r="1420">
      <x:c r="H1420" s="300"/>
      <x:c r="I1420" s="300"/>
      <x:c r="J1420" s="300"/>
      <x:c r="K1420" s="300"/>
      <x:c r="L1420" s="300"/>
      <x:c r="M1420" s="300"/>
    </x:row>
    <x:row r="1421">
      <x:c r="H1421" s="300"/>
      <x:c r="I1421" s="300"/>
      <x:c r="J1421" s="300"/>
      <x:c r="K1421" s="300"/>
      <x:c r="L1421" s="300"/>
      <x:c r="M1421" s="300"/>
    </x:row>
    <x:row r="1422">
      <x:c r="H1422" s="300"/>
      <x:c r="I1422" s="300"/>
      <x:c r="J1422" s="300"/>
      <x:c r="K1422" s="300"/>
      <x:c r="L1422" s="300"/>
      <x:c r="M1422" s="300"/>
    </x:row>
    <x:row r="1423">
      <x:c r="H1423" s="300"/>
      <x:c r="I1423" s="300"/>
      <x:c r="J1423" s="300"/>
      <x:c r="K1423" s="300"/>
      <x:c r="L1423" s="300"/>
      <x:c r="M1423" s="300"/>
    </x:row>
    <x:row r="1424">
      <x:c r="H1424" s="300"/>
      <x:c r="I1424" s="300"/>
      <x:c r="J1424" s="300"/>
      <x:c r="K1424" s="300"/>
      <x:c r="L1424" s="300"/>
      <x:c r="M1424" s="300"/>
    </x:row>
    <x:row r="1425">
      <x:c r="H1425" s="300"/>
      <x:c r="I1425" s="300"/>
      <x:c r="J1425" s="300"/>
      <x:c r="K1425" s="300"/>
      <x:c r="L1425" s="300"/>
      <x:c r="M1425" s="300"/>
    </x:row>
    <x:row r="1426">
      <x:c r="H1426" s="300"/>
      <x:c r="I1426" s="300"/>
      <x:c r="J1426" s="300"/>
      <x:c r="K1426" s="300"/>
      <x:c r="L1426" s="300"/>
      <x:c r="M1426" s="300"/>
    </x:row>
    <x:row r="1427">
      <x:c r="H1427" s="300"/>
      <x:c r="I1427" s="300"/>
      <x:c r="J1427" s="300"/>
      <x:c r="K1427" s="300"/>
      <x:c r="L1427" s="300"/>
      <x:c r="M1427" s="300"/>
    </x:row>
    <x:row r="1428">
      <x:c r="H1428" s="300"/>
      <x:c r="I1428" s="300"/>
      <x:c r="J1428" s="300"/>
      <x:c r="K1428" s="300"/>
      <x:c r="L1428" s="300"/>
      <x:c r="M1428" s="300"/>
    </x:row>
    <x:row r="1429">
      <x:c r="H1429" s="300"/>
      <x:c r="I1429" s="300"/>
      <x:c r="J1429" s="300"/>
      <x:c r="K1429" s="300"/>
      <x:c r="L1429" s="300"/>
      <x:c r="M1429" s="300"/>
    </x:row>
    <x:row r="1430">
      <x:c r="H1430" s="300"/>
      <x:c r="I1430" s="300"/>
      <x:c r="J1430" s="300"/>
      <x:c r="K1430" s="300"/>
      <x:c r="L1430" s="300"/>
      <x:c r="M1430" s="300"/>
    </x:row>
    <x:row r="1431">
      <x:c r="H1431" s="300"/>
      <x:c r="I1431" s="300"/>
      <x:c r="J1431" s="300"/>
      <x:c r="K1431" s="300"/>
      <x:c r="L1431" s="300"/>
      <x:c r="M1431" s="300"/>
    </x:row>
    <x:row r="1432">
      <x:c r="H1432" s="300"/>
      <x:c r="I1432" s="300"/>
      <x:c r="J1432" s="300"/>
      <x:c r="K1432" s="300"/>
      <x:c r="L1432" s="300"/>
      <x:c r="M1432" s="300"/>
    </x:row>
    <x:row r="1433">
      <x:c r="H1433" s="300"/>
      <x:c r="I1433" s="300"/>
      <x:c r="J1433" s="300"/>
      <x:c r="K1433" s="300"/>
      <x:c r="L1433" s="300"/>
      <x:c r="M1433" s="300"/>
    </x:row>
    <x:row r="1434">
      <x:c r="H1434" s="300"/>
      <x:c r="I1434" s="300"/>
      <x:c r="J1434" s="300"/>
      <x:c r="K1434" s="300"/>
      <x:c r="L1434" s="300"/>
      <x:c r="M1434" s="300"/>
    </x:row>
    <x:row r="1435">
      <x:c r="H1435" s="300"/>
      <x:c r="I1435" s="300"/>
      <x:c r="J1435" s="300"/>
      <x:c r="K1435" s="300"/>
      <x:c r="L1435" s="300"/>
      <x:c r="M1435" s="300"/>
    </x:row>
    <x:row r="1436">
      <x:c r="H1436" s="300"/>
      <x:c r="I1436" s="300"/>
      <x:c r="J1436" s="300"/>
      <x:c r="K1436" s="300"/>
      <x:c r="L1436" s="300"/>
      <x:c r="M1436" s="300"/>
    </x:row>
    <x:row r="1437">
      <x:c r="H1437" s="300"/>
      <x:c r="I1437" s="300"/>
      <x:c r="J1437" s="300"/>
      <x:c r="K1437" s="300"/>
      <x:c r="L1437" s="300"/>
      <x:c r="M1437" s="300"/>
    </x:row>
    <x:row r="1438">
      <x:c r="H1438" s="300"/>
      <x:c r="I1438" s="300"/>
      <x:c r="J1438" s="300"/>
      <x:c r="K1438" s="300"/>
      <x:c r="L1438" s="300"/>
      <x:c r="M1438" s="300"/>
    </x:row>
    <x:row r="1439">
      <x:c r="H1439" s="300"/>
      <x:c r="I1439" s="300"/>
      <x:c r="J1439" s="300"/>
      <x:c r="K1439" s="300"/>
      <x:c r="L1439" s="300"/>
      <x:c r="M1439" s="300"/>
    </x:row>
    <x:row r="1440">
      <x:c r="H1440" s="300"/>
      <x:c r="I1440" s="300"/>
      <x:c r="J1440" s="300"/>
      <x:c r="K1440" s="300"/>
      <x:c r="L1440" s="300"/>
      <x:c r="M1440" s="300"/>
    </x:row>
    <x:row r="1441">
      <x:c r="H1441" s="300"/>
      <x:c r="I1441" s="300"/>
      <x:c r="J1441" s="300"/>
      <x:c r="K1441" s="300"/>
      <x:c r="L1441" s="300"/>
      <x:c r="M1441" s="300"/>
    </x:row>
    <x:row r="1442">
      <x:c r="H1442" s="300"/>
      <x:c r="I1442" s="300"/>
      <x:c r="J1442" s="300"/>
      <x:c r="K1442" s="300"/>
      <x:c r="L1442" s="300"/>
      <x:c r="M1442" s="300"/>
    </x:row>
    <x:row r="1443">
      <x:c r="H1443" s="300"/>
      <x:c r="I1443" s="300"/>
      <x:c r="J1443" s="300"/>
      <x:c r="K1443" s="300"/>
      <x:c r="L1443" s="300"/>
      <x:c r="M1443" s="300"/>
    </x:row>
    <x:row r="1444">
      <x:c r="H1444" s="300"/>
      <x:c r="I1444" s="300"/>
      <x:c r="J1444" s="300"/>
      <x:c r="K1444" s="300"/>
      <x:c r="L1444" s="300"/>
      <x:c r="M1444" s="300"/>
    </x:row>
    <x:row r="1445">
      <x:c r="H1445" s="300"/>
      <x:c r="I1445" s="300"/>
      <x:c r="J1445" s="300"/>
      <x:c r="K1445" s="300"/>
      <x:c r="L1445" s="300"/>
      <x:c r="M1445" s="300"/>
    </x:row>
    <x:row r="1446">
      <x:c r="H1446" s="300"/>
      <x:c r="I1446" s="300"/>
      <x:c r="J1446" s="300"/>
      <x:c r="K1446" s="300"/>
      <x:c r="L1446" s="300"/>
      <x:c r="M1446" s="300"/>
    </x:row>
    <x:row r="1447">
      <x:c r="H1447" s="300"/>
      <x:c r="I1447" s="300"/>
      <x:c r="J1447" s="300"/>
      <x:c r="K1447" s="300"/>
      <x:c r="L1447" s="300"/>
      <x:c r="M1447" s="300"/>
    </x:row>
    <x:row r="1448">
      <x:c r="H1448" s="300"/>
      <x:c r="I1448" s="300"/>
      <x:c r="J1448" s="300"/>
      <x:c r="K1448" s="300"/>
      <x:c r="L1448" s="300"/>
      <x:c r="M1448" s="300"/>
    </x:row>
    <x:row r="1449">
      <x:c r="H1449" s="300"/>
      <x:c r="I1449" s="300"/>
      <x:c r="J1449" s="300"/>
      <x:c r="K1449" s="300"/>
      <x:c r="L1449" s="300"/>
      <x:c r="M1449" s="300"/>
    </x:row>
    <x:row r="1450">
      <x:c r="H1450" s="300"/>
      <x:c r="I1450" s="300"/>
      <x:c r="J1450" s="300"/>
      <x:c r="K1450" s="300"/>
      <x:c r="L1450" s="300"/>
      <x:c r="M1450" s="300"/>
    </x:row>
    <x:row r="1451">
      <x:c r="H1451" s="300"/>
      <x:c r="I1451" s="300"/>
      <x:c r="J1451" s="300"/>
      <x:c r="K1451" s="300"/>
      <x:c r="L1451" s="300"/>
      <x:c r="M1451" s="300"/>
    </x:row>
    <x:row r="1452">
      <x:c r="H1452" s="300"/>
      <x:c r="I1452" s="300"/>
      <x:c r="J1452" s="300"/>
      <x:c r="K1452" s="300"/>
      <x:c r="L1452" s="300"/>
      <x:c r="M1452" s="300"/>
    </x:row>
    <x:row r="1453">
      <x:c r="H1453" s="300"/>
      <x:c r="I1453" s="300"/>
      <x:c r="J1453" s="300"/>
      <x:c r="K1453" s="300"/>
      <x:c r="L1453" s="300"/>
      <x:c r="M1453" s="300"/>
    </x:row>
    <x:row r="1454">
      <x:c r="H1454" s="300"/>
      <x:c r="I1454" s="300"/>
      <x:c r="J1454" s="300"/>
      <x:c r="K1454" s="300"/>
      <x:c r="L1454" s="300"/>
      <x:c r="M1454" s="300"/>
    </x:row>
    <x:row r="1455">
      <x:c r="H1455" s="300"/>
      <x:c r="I1455" s="300"/>
      <x:c r="J1455" s="300"/>
      <x:c r="K1455" s="300"/>
      <x:c r="L1455" s="300"/>
      <x:c r="M1455" s="300"/>
    </x:row>
    <x:row r="1456">
      <x:c r="H1456" s="300"/>
      <x:c r="I1456" s="300"/>
      <x:c r="J1456" s="300"/>
      <x:c r="K1456" s="300"/>
      <x:c r="L1456" s="300"/>
      <x:c r="M1456" s="300"/>
    </x:row>
    <x:row r="1457">
      <x:c r="H1457" s="300"/>
      <x:c r="I1457" s="300"/>
      <x:c r="J1457" s="300"/>
      <x:c r="K1457" s="300"/>
      <x:c r="L1457" s="300"/>
      <x:c r="M1457" s="300"/>
    </x:row>
    <x:row r="1458">
      <x:c r="H1458" s="300"/>
      <x:c r="I1458" s="300"/>
      <x:c r="J1458" s="300"/>
      <x:c r="K1458" s="300"/>
      <x:c r="L1458" s="300"/>
      <x:c r="M1458" s="300"/>
    </x:row>
    <x:row r="1459">
      <x:c r="H1459" s="300"/>
      <x:c r="I1459" s="300"/>
      <x:c r="J1459" s="300"/>
      <x:c r="K1459" s="300"/>
      <x:c r="L1459" s="300"/>
      <x:c r="M1459" s="300"/>
    </x:row>
    <x:row r="1460">
      <x:c r="H1460" s="300"/>
      <x:c r="I1460" s="300"/>
      <x:c r="J1460" s="300"/>
      <x:c r="K1460" s="300"/>
      <x:c r="L1460" s="300"/>
      <x:c r="M1460" s="300"/>
    </x:row>
    <x:row r="1461">
      <x:c r="H1461" s="300"/>
      <x:c r="I1461" s="300"/>
      <x:c r="J1461" s="300"/>
      <x:c r="K1461" s="300"/>
      <x:c r="L1461" s="300"/>
      <x:c r="M1461" s="300"/>
    </x:row>
    <x:row r="1462">
      <x:c r="H1462" s="300"/>
      <x:c r="I1462" s="300"/>
      <x:c r="J1462" s="300"/>
      <x:c r="K1462" s="300"/>
      <x:c r="L1462" s="300"/>
      <x:c r="M1462" s="300"/>
    </x:row>
    <x:row r="1463">
      <x:c r="H1463" s="300"/>
      <x:c r="I1463" s="300"/>
      <x:c r="J1463" s="300"/>
      <x:c r="K1463" s="300"/>
      <x:c r="L1463" s="300"/>
      <x:c r="M1463" s="300"/>
    </x:row>
    <x:row r="1464">
      <x:c r="H1464" s="300"/>
      <x:c r="I1464" s="300"/>
      <x:c r="J1464" s="300"/>
      <x:c r="K1464" s="300"/>
      <x:c r="L1464" s="300"/>
      <x:c r="M1464" s="300"/>
    </x:row>
    <x:row r="1465">
      <x:c r="H1465" s="300"/>
      <x:c r="I1465" s="300"/>
      <x:c r="J1465" s="300"/>
      <x:c r="K1465" s="300"/>
      <x:c r="L1465" s="300"/>
      <x:c r="M1465" s="300"/>
    </x:row>
    <x:row r="1466">
      <x:c r="H1466" s="300"/>
      <x:c r="I1466" s="300"/>
      <x:c r="J1466" s="300"/>
      <x:c r="K1466" s="300"/>
      <x:c r="L1466" s="300"/>
      <x:c r="M1466" s="300"/>
    </x:row>
    <x:row r="1467">
      <x:c r="H1467" s="300"/>
      <x:c r="I1467" s="300"/>
      <x:c r="J1467" s="300"/>
      <x:c r="K1467" s="300"/>
      <x:c r="L1467" s="300"/>
      <x:c r="M1467" s="300"/>
    </x:row>
    <x:row r="1468">
      <x:c r="H1468" s="300"/>
      <x:c r="I1468" s="300"/>
      <x:c r="J1468" s="300"/>
      <x:c r="K1468" s="300"/>
      <x:c r="L1468" s="300"/>
      <x:c r="M1468" s="300"/>
    </x:row>
    <x:row r="1469">
      <x:c r="H1469" s="300"/>
      <x:c r="I1469" s="300"/>
      <x:c r="J1469" s="300"/>
      <x:c r="K1469" s="300"/>
      <x:c r="L1469" s="300"/>
      <x:c r="M1469" s="300"/>
    </x:row>
    <x:row r="1470">
      <x:c r="H1470" s="300"/>
      <x:c r="I1470" s="300"/>
      <x:c r="J1470" s="300"/>
      <x:c r="K1470" s="300"/>
      <x:c r="L1470" s="300"/>
      <x:c r="M1470" s="300"/>
    </x:row>
    <x:row r="1471">
      <x:c r="H1471" s="300"/>
      <x:c r="I1471" s="300"/>
      <x:c r="J1471" s="300"/>
      <x:c r="K1471" s="300"/>
      <x:c r="L1471" s="300"/>
      <x:c r="M1471" s="300"/>
    </x:row>
    <x:row r="1472">
      <x:c r="H1472" s="300"/>
      <x:c r="I1472" s="300"/>
      <x:c r="J1472" s="300"/>
      <x:c r="K1472" s="300"/>
      <x:c r="L1472" s="300"/>
      <x:c r="M1472" s="300"/>
    </x:row>
    <x:row r="1473">
      <x:c r="H1473" s="300"/>
      <x:c r="I1473" s="300"/>
      <x:c r="J1473" s="300"/>
      <x:c r="K1473" s="300"/>
      <x:c r="L1473" s="300"/>
      <x:c r="M1473" s="300"/>
    </x:row>
    <x:row r="1474">
      <x:c r="H1474" s="300"/>
      <x:c r="I1474" s="300"/>
      <x:c r="J1474" s="300"/>
      <x:c r="K1474" s="300"/>
      <x:c r="L1474" s="300"/>
      <x:c r="M1474" s="300"/>
    </x:row>
    <x:row r="1475">
      <x:c r="H1475" s="300"/>
      <x:c r="I1475" s="300"/>
      <x:c r="J1475" s="300"/>
      <x:c r="K1475" s="300"/>
      <x:c r="L1475" s="300"/>
      <x:c r="M1475" s="300"/>
    </x:row>
    <x:row r="1476">
      <x:c r="H1476" s="300"/>
      <x:c r="I1476" s="300"/>
      <x:c r="J1476" s="300"/>
      <x:c r="K1476" s="300"/>
      <x:c r="L1476" s="300"/>
      <x:c r="M1476" s="300"/>
    </x:row>
    <x:row r="1477">
      <x:c r="H1477" s="300"/>
      <x:c r="I1477" s="300"/>
      <x:c r="J1477" s="300"/>
      <x:c r="K1477" s="300"/>
      <x:c r="L1477" s="300"/>
      <x:c r="M1477" s="300"/>
    </x:row>
    <x:row r="1478">
      <x:c r="H1478" s="300"/>
      <x:c r="I1478" s="300"/>
      <x:c r="J1478" s="300"/>
      <x:c r="K1478" s="300"/>
      <x:c r="L1478" s="300"/>
      <x:c r="M1478" s="300"/>
    </x:row>
    <x:row r="1479">
      <x:c r="H1479" s="300"/>
      <x:c r="I1479" s="300"/>
      <x:c r="J1479" s="300"/>
      <x:c r="K1479" s="300"/>
      <x:c r="L1479" s="300"/>
      <x:c r="M1479" s="300"/>
    </x:row>
    <x:row r="1480">
      <x:c r="H1480" s="300"/>
      <x:c r="I1480" s="300"/>
      <x:c r="J1480" s="300"/>
      <x:c r="K1480" s="300"/>
      <x:c r="L1480" s="300"/>
      <x:c r="M1480" s="300"/>
    </x:row>
    <x:row r="1481">
      <x:c r="H1481" s="300"/>
      <x:c r="I1481" s="300"/>
      <x:c r="J1481" s="300"/>
      <x:c r="K1481" s="300"/>
      <x:c r="L1481" s="300"/>
      <x:c r="M1481" s="300"/>
    </x:row>
    <x:row r="1482">
      <x:c r="H1482" s="300"/>
      <x:c r="I1482" s="300"/>
      <x:c r="J1482" s="300"/>
      <x:c r="K1482" s="300"/>
      <x:c r="L1482" s="300"/>
      <x:c r="M1482" s="300"/>
    </x:row>
    <x:row r="1483">
      <x:c r="H1483" s="300"/>
      <x:c r="I1483" s="300"/>
      <x:c r="J1483" s="300"/>
      <x:c r="K1483" s="300"/>
      <x:c r="L1483" s="300"/>
      <x:c r="M1483" s="300"/>
    </x:row>
    <x:row r="1484">
      <x:c r="H1484" s="300"/>
      <x:c r="I1484" s="300"/>
      <x:c r="J1484" s="300"/>
      <x:c r="K1484" s="300"/>
      <x:c r="L1484" s="300"/>
      <x:c r="M1484" s="300"/>
    </x:row>
    <x:row r="1485">
      <x:c r="H1485" s="300"/>
      <x:c r="I1485" s="300"/>
      <x:c r="J1485" s="300"/>
      <x:c r="K1485" s="300"/>
      <x:c r="L1485" s="300"/>
      <x:c r="M1485" s="300"/>
    </x:row>
    <x:row r="1486">
      <x:c r="H1486" s="300"/>
      <x:c r="I1486" s="300"/>
      <x:c r="J1486" s="300"/>
      <x:c r="K1486" s="300"/>
      <x:c r="L1486" s="300"/>
      <x:c r="M1486" s="300"/>
    </x:row>
    <x:row r="1487">
      <x:c r="H1487" s="300"/>
      <x:c r="I1487" s="300"/>
      <x:c r="J1487" s="300"/>
      <x:c r="K1487" s="300"/>
      <x:c r="L1487" s="300"/>
      <x:c r="M1487" s="300"/>
    </x:row>
    <x:row r="1488">
      <x:c r="H1488" s="300"/>
      <x:c r="I1488" s="300"/>
      <x:c r="J1488" s="300"/>
      <x:c r="K1488" s="300"/>
      <x:c r="L1488" s="300"/>
      <x:c r="M1488" s="300"/>
    </x:row>
    <x:row r="1489">
      <x:c r="H1489" s="300"/>
      <x:c r="I1489" s="300"/>
      <x:c r="J1489" s="300"/>
      <x:c r="K1489" s="300"/>
      <x:c r="L1489" s="300"/>
      <x:c r="M1489" s="300"/>
    </x:row>
    <x:row r="1490">
      <x:c r="H1490" s="300"/>
      <x:c r="I1490" s="300"/>
      <x:c r="J1490" s="300"/>
      <x:c r="K1490" s="300"/>
      <x:c r="L1490" s="300"/>
      <x:c r="M1490" s="300"/>
    </x:row>
    <x:row r="1491">
      <x:c r="H1491" s="300"/>
      <x:c r="I1491" s="300"/>
      <x:c r="J1491" s="300"/>
      <x:c r="K1491" s="300"/>
      <x:c r="L1491" s="300"/>
      <x:c r="M1491" s="300"/>
    </x:row>
    <x:row r="1492">
      <x:c r="H1492" s="300"/>
      <x:c r="I1492" s="300"/>
      <x:c r="J1492" s="300"/>
      <x:c r="K1492" s="300"/>
      <x:c r="L1492" s="300"/>
      <x:c r="M1492" s="300"/>
    </x:row>
    <x:row r="1493">
      <x:c r="H1493" s="300"/>
      <x:c r="I1493" s="300"/>
      <x:c r="J1493" s="300"/>
      <x:c r="K1493" s="300"/>
      <x:c r="L1493" s="300"/>
      <x:c r="M1493" s="300"/>
    </x:row>
    <x:row r="1494">
      <x:c r="H1494" s="300"/>
      <x:c r="I1494" s="300"/>
      <x:c r="J1494" s="300"/>
      <x:c r="K1494" s="300"/>
      <x:c r="L1494" s="300"/>
      <x:c r="M1494" s="300"/>
    </x:row>
    <x:row r="1495">
      <x:c r="H1495" s="300"/>
      <x:c r="I1495" s="300"/>
      <x:c r="J1495" s="300"/>
      <x:c r="K1495" s="300"/>
      <x:c r="L1495" s="300"/>
      <x:c r="M1495" s="300"/>
    </x:row>
    <x:row r="1496">
      <x:c r="H1496" s="300"/>
      <x:c r="I1496" s="300"/>
      <x:c r="J1496" s="300"/>
      <x:c r="K1496" s="300"/>
      <x:c r="L1496" s="300"/>
      <x:c r="M1496" s="300"/>
    </x:row>
    <x:row r="1497">
      <x:c r="H1497" s="300"/>
      <x:c r="I1497" s="300"/>
      <x:c r="J1497" s="300"/>
      <x:c r="K1497" s="300"/>
      <x:c r="L1497" s="300"/>
      <x:c r="M1497" s="300"/>
    </x:row>
    <x:row r="1498">
      <x:c r="H1498" s="300"/>
      <x:c r="I1498" s="300"/>
      <x:c r="J1498" s="300"/>
      <x:c r="K1498" s="300"/>
      <x:c r="L1498" s="300"/>
      <x:c r="M1498" s="300"/>
    </x:row>
    <x:row r="1499">
      <x:c r="H1499" s="300"/>
      <x:c r="I1499" s="300"/>
      <x:c r="J1499" s="300"/>
      <x:c r="K1499" s="300"/>
      <x:c r="L1499" s="300"/>
      <x:c r="M1499" s="300"/>
    </x:row>
    <x:row r="1500">
      <x:c r="H1500" s="300"/>
      <x:c r="I1500" s="300"/>
      <x:c r="J1500" s="300"/>
      <x:c r="K1500" s="300"/>
      <x:c r="L1500" s="300"/>
      <x:c r="M1500" s="300"/>
    </x:row>
    <x:row r="1501">
      <x:c r="H1501" s="300"/>
      <x:c r="I1501" s="300"/>
      <x:c r="J1501" s="300"/>
      <x:c r="K1501" s="300"/>
      <x:c r="L1501" s="300"/>
      <x:c r="M1501" s="300"/>
    </x:row>
    <x:row r="1502">
      <x:c r="H1502" s="300"/>
      <x:c r="I1502" s="300"/>
      <x:c r="J1502" s="300"/>
      <x:c r="K1502" s="300"/>
      <x:c r="L1502" s="300"/>
      <x:c r="M1502" s="300"/>
    </x:row>
    <x:row r="1503">
      <x:c r="H1503" s="300"/>
      <x:c r="I1503" s="300"/>
      <x:c r="J1503" s="300"/>
      <x:c r="K1503" s="300"/>
      <x:c r="L1503" s="300"/>
      <x:c r="M1503" s="300"/>
    </x:row>
    <x:row r="1504">
      <x:c r="H1504" s="300"/>
      <x:c r="I1504" s="300"/>
      <x:c r="J1504" s="300"/>
      <x:c r="K1504" s="300"/>
      <x:c r="L1504" s="300"/>
      <x:c r="M1504" s="300"/>
    </x:row>
    <x:row r="1505">
      <x:c r="H1505" s="300"/>
      <x:c r="I1505" s="300"/>
      <x:c r="J1505" s="300"/>
      <x:c r="K1505" s="300"/>
      <x:c r="L1505" s="300"/>
      <x:c r="M1505" s="300"/>
    </x:row>
    <x:row r="1506">
      <x:c r="H1506" s="300"/>
      <x:c r="I1506" s="300"/>
      <x:c r="J1506" s="300"/>
      <x:c r="K1506" s="300"/>
      <x:c r="L1506" s="300"/>
      <x:c r="M1506" s="300"/>
    </x:row>
    <x:row r="1507">
      <x:c r="H1507" s="300"/>
      <x:c r="I1507" s="300"/>
      <x:c r="J1507" s="300"/>
      <x:c r="K1507" s="300"/>
      <x:c r="L1507" s="300"/>
      <x:c r="M1507" s="300"/>
    </x:row>
    <x:row r="1508">
      <x:c r="H1508" s="300"/>
      <x:c r="I1508" s="300"/>
      <x:c r="J1508" s="300"/>
      <x:c r="K1508" s="300"/>
      <x:c r="L1508" s="300"/>
      <x:c r="M1508" s="300"/>
    </x:row>
    <x:row r="1509">
      <x:c r="H1509" s="300"/>
      <x:c r="I1509" s="300"/>
      <x:c r="J1509" s="300"/>
      <x:c r="K1509" s="300"/>
      <x:c r="L1509" s="300"/>
      <x:c r="M1509" s="300"/>
    </x:row>
    <x:row r="1510">
      <x:c r="H1510" s="300"/>
      <x:c r="I1510" s="300"/>
      <x:c r="J1510" s="300"/>
      <x:c r="K1510" s="300"/>
      <x:c r="L1510" s="300"/>
      <x:c r="M1510" s="300"/>
    </x:row>
    <x:row r="1511">
      <x:c r="H1511" s="300"/>
      <x:c r="I1511" s="300"/>
      <x:c r="J1511" s="300"/>
      <x:c r="K1511" s="300"/>
      <x:c r="L1511" s="300"/>
      <x:c r="M1511" s="300"/>
    </x:row>
    <x:row r="1512">
      <x:c r="H1512" s="300"/>
      <x:c r="I1512" s="300"/>
      <x:c r="J1512" s="300"/>
      <x:c r="K1512" s="300"/>
      <x:c r="L1512" s="300"/>
      <x:c r="M1512" s="300"/>
    </x:row>
    <x:row r="1513">
      <x:c r="H1513" s="300"/>
      <x:c r="I1513" s="300"/>
      <x:c r="J1513" s="300"/>
      <x:c r="K1513" s="300"/>
      <x:c r="L1513" s="300"/>
      <x:c r="M1513" s="300"/>
    </x:row>
    <x:row r="1514">
      <x:c r="H1514" s="300"/>
      <x:c r="I1514" s="300"/>
      <x:c r="J1514" s="300"/>
      <x:c r="K1514" s="300"/>
      <x:c r="L1514" s="300"/>
      <x:c r="M1514" s="300"/>
    </x:row>
    <x:row r="1515">
      <x:c r="H1515" s="300"/>
      <x:c r="I1515" s="300"/>
      <x:c r="J1515" s="300"/>
      <x:c r="K1515" s="300"/>
      <x:c r="L1515" s="300"/>
      <x:c r="M1515" s="300"/>
    </x:row>
    <x:row r="1516">
      <x:c r="H1516" s="300"/>
      <x:c r="I1516" s="300"/>
      <x:c r="J1516" s="300"/>
      <x:c r="K1516" s="300"/>
      <x:c r="L1516" s="300"/>
      <x:c r="M1516" s="300"/>
    </x:row>
    <x:row r="1517">
      <x:c r="H1517" s="300"/>
      <x:c r="I1517" s="300"/>
      <x:c r="J1517" s="300"/>
      <x:c r="K1517" s="300"/>
      <x:c r="L1517" s="300"/>
      <x:c r="M1517" s="300"/>
    </x:row>
    <x:row r="1518">
      <x:c r="H1518" s="300"/>
      <x:c r="I1518" s="300"/>
      <x:c r="J1518" s="300"/>
      <x:c r="K1518" s="300"/>
      <x:c r="L1518" s="300"/>
      <x:c r="M1518" s="300"/>
    </x:row>
    <x:row r="1519">
      <x:c r="H1519" s="300"/>
      <x:c r="I1519" s="300"/>
      <x:c r="J1519" s="300"/>
      <x:c r="K1519" s="300"/>
      <x:c r="L1519" s="300"/>
      <x:c r="M1519" s="300"/>
    </x:row>
    <x:row r="1520">
      <x:c r="H1520" s="300"/>
      <x:c r="I1520" s="300"/>
      <x:c r="J1520" s="300"/>
      <x:c r="K1520" s="300"/>
      <x:c r="L1520" s="300"/>
      <x:c r="M1520" s="300"/>
    </x:row>
    <x:row r="1521">
      <x:c r="H1521" s="300"/>
      <x:c r="I1521" s="300"/>
      <x:c r="J1521" s="300"/>
      <x:c r="K1521" s="300"/>
      <x:c r="L1521" s="300"/>
      <x:c r="M1521" s="300"/>
    </x:row>
    <x:row r="1522">
      <x:c r="H1522" s="300"/>
      <x:c r="I1522" s="300"/>
      <x:c r="J1522" s="300"/>
      <x:c r="K1522" s="300"/>
      <x:c r="L1522" s="300"/>
      <x:c r="M1522" s="300"/>
    </x:row>
    <x:row r="1523">
      <x:c r="H1523" s="300"/>
      <x:c r="I1523" s="300"/>
      <x:c r="J1523" s="300"/>
      <x:c r="K1523" s="300"/>
      <x:c r="L1523" s="300"/>
      <x:c r="M1523" s="300"/>
    </x:row>
    <x:row r="1524">
      <x:c r="H1524" s="300"/>
      <x:c r="I1524" s="300"/>
      <x:c r="J1524" s="300"/>
      <x:c r="K1524" s="300"/>
      <x:c r="L1524" s="300"/>
      <x:c r="M1524" s="300"/>
    </x:row>
    <x:row r="1525">
      <x:c r="H1525" s="300"/>
      <x:c r="I1525" s="300"/>
      <x:c r="J1525" s="300"/>
      <x:c r="K1525" s="300"/>
      <x:c r="L1525" s="300"/>
      <x:c r="M1525" s="300"/>
    </x:row>
    <x:row r="1526">
      <x:c r="H1526" s="300"/>
      <x:c r="I1526" s="300"/>
      <x:c r="J1526" s="300"/>
      <x:c r="K1526" s="300"/>
      <x:c r="L1526" s="300"/>
      <x:c r="M1526" s="300"/>
    </x:row>
    <x:row r="1527">
      <x:c r="H1527" s="300"/>
      <x:c r="I1527" s="300"/>
      <x:c r="J1527" s="300"/>
      <x:c r="K1527" s="300"/>
      <x:c r="L1527" s="300"/>
      <x:c r="M1527" s="300"/>
    </x:row>
    <x:row r="1528">
      <x:c r="H1528" s="300"/>
      <x:c r="I1528" s="300"/>
      <x:c r="J1528" s="300"/>
      <x:c r="K1528" s="300"/>
      <x:c r="L1528" s="300"/>
      <x:c r="M1528" s="300"/>
    </x:row>
    <x:row r="1529">
      <x:c r="H1529" s="300"/>
      <x:c r="I1529" s="300"/>
      <x:c r="J1529" s="300"/>
      <x:c r="K1529" s="300"/>
      <x:c r="L1529" s="300"/>
      <x:c r="M1529" s="300"/>
    </x:row>
    <x:row r="1530">
      <x:c r="H1530" s="300"/>
      <x:c r="I1530" s="300"/>
      <x:c r="J1530" s="300"/>
      <x:c r="K1530" s="300"/>
      <x:c r="L1530" s="300"/>
      <x:c r="M1530" s="300"/>
    </x:row>
    <x:row r="1531">
      <x:c r="H1531" s="300"/>
      <x:c r="I1531" s="300"/>
      <x:c r="J1531" s="300"/>
      <x:c r="K1531" s="300"/>
      <x:c r="L1531" s="300"/>
      <x:c r="M1531" s="300"/>
    </x:row>
    <x:row r="1532">
      <x:c r="H1532" s="300"/>
      <x:c r="I1532" s="300"/>
      <x:c r="J1532" s="300"/>
      <x:c r="K1532" s="300"/>
      <x:c r="L1532" s="300"/>
      <x:c r="M1532" s="300"/>
    </x:row>
    <x:row r="1533">
      <x:c r="H1533" s="300"/>
      <x:c r="I1533" s="300"/>
      <x:c r="J1533" s="300"/>
      <x:c r="K1533" s="300"/>
      <x:c r="L1533" s="300"/>
      <x:c r="M1533" s="300"/>
    </x:row>
    <x:row r="1534">
      <x:c r="H1534" s="300"/>
      <x:c r="I1534" s="300"/>
      <x:c r="J1534" s="300"/>
      <x:c r="K1534" s="300"/>
      <x:c r="L1534" s="300"/>
      <x:c r="M1534" s="300"/>
    </x:row>
    <x:row r="1535">
      <x:c r="H1535" s="300"/>
      <x:c r="I1535" s="300"/>
      <x:c r="J1535" s="300"/>
      <x:c r="K1535" s="300"/>
      <x:c r="L1535" s="300"/>
      <x:c r="M1535" s="300"/>
    </x:row>
    <x:row r="1536">
      <x:c r="H1536" s="300"/>
      <x:c r="I1536" s="300"/>
      <x:c r="J1536" s="300"/>
      <x:c r="K1536" s="300"/>
      <x:c r="L1536" s="300"/>
      <x:c r="M1536" s="300"/>
    </x:row>
    <x:row r="1537">
      <x:c r="H1537" s="300"/>
      <x:c r="I1537" s="300"/>
      <x:c r="J1537" s="300"/>
      <x:c r="K1537" s="300"/>
      <x:c r="L1537" s="300"/>
      <x:c r="M1537" s="300"/>
    </x:row>
    <x:row r="1538">
      <x:c r="H1538" s="300"/>
      <x:c r="I1538" s="300"/>
      <x:c r="J1538" s="300"/>
      <x:c r="K1538" s="300"/>
      <x:c r="L1538" s="300"/>
      <x:c r="M1538" s="300"/>
    </x:row>
    <x:row r="1539">
      <x:c r="H1539" s="300"/>
      <x:c r="I1539" s="300"/>
      <x:c r="J1539" s="300"/>
      <x:c r="K1539" s="300"/>
      <x:c r="L1539" s="300"/>
      <x:c r="M1539" s="300"/>
    </x:row>
    <x:row r="1540">
      <x:c r="H1540" s="300"/>
      <x:c r="I1540" s="300"/>
      <x:c r="J1540" s="300"/>
      <x:c r="K1540" s="300"/>
      <x:c r="L1540" s="300"/>
      <x:c r="M1540" s="300"/>
    </x:row>
    <x:row r="1541">
      <x:c r="H1541" s="300"/>
      <x:c r="I1541" s="300"/>
      <x:c r="J1541" s="300"/>
      <x:c r="K1541" s="300"/>
      <x:c r="L1541" s="300"/>
      <x:c r="M1541" s="300"/>
    </x:row>
    <x:row r="1542">
      <x:c r="H1542" s="300"/>
      <x:c r="I1542" s="300"/>
      <x:c r="J1542" s="300"/>
      <x:c r="K1542" s="300"/>
      <x:c r="L1542" s="300"/>
      <x:c r="M1542" s="300"/>
    </x:row>
    <x:row r="1543">
      <x:c r="H1543" s="300"/>
      <x:c r="I1543" s="300"/>
      <x:c r="J1543" s="300"/>
      <x:c r="K1543" s="300"/>
      <x:c r="L1543" s="300"/>
      <x:c r="M1543" s="300"/>
    </x:row>
    <x:row r="1544">
      <x:c r="H1544" s="300"/>
      <x:c r="I1544" s="300"/>
      <x:c r="J1544" s="300"/>
      <x:c r="K1544" s="300"/>
      <x:c r="L1544" s="300"/>
      <x:c r="M1544" s="300"/>
    </x:row>
    <x:row r="1545">
      <x:c r="H1545" s="300"/>
      <x:c r="I1545" s="300"/>
      <x:c r="J1545" s="300"/>
      <x:c r="K1545" s="300"/>
      <x:c r="L1545" s="300"/>
      <x:c r="M1545" s="300"/>
    </x:row>
    <x:row r="1546">
      <x:c r="H1546" s="300"/>
      <x:c r="I1546" s="300"/>
      <x:c r="J1546" s="300"/>
      <x:c r="K1546" s="300"/>
      <x:c r="L1546" s="300"/>
      <x:c r="M1546" s="300"/>
    </x:row>
    <x:row r="1547">
      <x:c r="H1547" s="300"/>
      <x:c r="I1547" s="300"/>
      <x:c r="J1547" s="300"/>
      <x:c r="K1547" s="300"/>
      <x:c r="L1547" s="300"/>
      <x:c r="M1547" s="300"/>
    </x:row>
    <x:row r="1548">
      <x:c r="H1548" s="300"/>
      <x:c r="I1548" s="300"/>
      <x:c r="J1548" s="300"/>
      <x:c r="K1548" s="300"/>
      <x:c r="L1548" s="300"/>
      <x:c r="M1548" s="300"/>
    </x:row>
    <x:row r="1549">
      <x:c r="H1549" s="300"/>
      <x:c r="I1549" s="300"/>
      <x:c r="J1549" s="300"/>
      <x:c r="K1549" s="300"/>
      <x:c r="L1549" s="300"/>
      <x:c r="M1549" s="300"/>
    </x:row>
    <x:row r="1550">
      <x:c r="H1550" s="300"/>
      <x:c r="I1550" s="300"/>
      <x:c r="J1550" s="300"/>
      <x:c r="K1550" s="300"/>
      <x:c r="L1550" s="300"/>
      <x:c r="M1550" s="300"/>
    </x:row>
    <x:row r="1551">
      <x:c r="H1551" s="300"/>
      <x:c r="I1551" s="300"/>
      <x:c r="J1551" s="300"/>
      <x:c r="K1551" s="300"/>
      <x:c r="L1551" s="300"/>
      <x:c r="M1551" s="300"/>
    </x:row>
    <x:row r="1552">
      <x:c r="H1552" s="300"/>
      <x:c r="I1552" s="300"/>
      <x:c r="J1552" s="300"/>
      <x:c r="K1552" s="300"/>
      <x:c r="L1552" s="300"/>
      <x:c r="M1552" s="300"/>
    </x:row>
    <x:row r="1553">
      <x:c r="H1553" s="300"/>
      <x:c r="I1553" s="300"/>
      <x:c r="J1553" s="300"/>
      <x:c r="K1553" s="300"/>
      <x:c r="L1553" s="300"/>
      <x:c r="M1553" s="300"/>
    </x:row>
    <x:row r="1554">
      <x:c r="H1554" s="300"/>
      <x:c r="I1554" s="300"/>
      <x:c r="J1554" s="300"/>
      <x:c r="K1554" s="300"/>
      <x:c r="L1554" s="300"/>
      <x:c r="M1554" s="300"/>
    </x:row>
    <x:row r="1555">
      <x:c r="H1555" s="300"/>
      <x:c r="I1555" s="300"/>
      <x:c r="J1555" s="300"/>
      <x:c r="K1555" s="300"/>
      <x:c r="L1555" s="300"/>
      <x:c r="M1555" s="300"/>
    </x:row>
    <x:row r="1556">
      <x:c r="H1556" s="300"/>
      <x:c r="I1556" s="300"/>
      <x:c r="J1556" s="300"/>
      <x:c r="K1556" s="300"/>
      <x:c r="L1556" s="300"/>
      <x:c r="M1556" s="300"/>
    </x:row>
    <x:row r="1557">
      <x:c r="H1557" s="300"/>
      <x:c r="I1557" s="300"/>
      <x:c r="J1557" s="300"/>
      <x:c r="K1557" s="300"/>
      <x:c r="L1557" s="300"/>
      <x:c r="M1557" s="300"/>
    </x:row>
    <x:row r="1558">
      <x:c r="H1558" s="300"/>
      <x:c r="I1558" s="300"/>
      <x:c r="J1558" s="300"/>
      <x:c r="K1558" s="300"/>
      <x:c r="L1558" s="300"/>
      <x:c r="M1558" s="300"/>
    </x:row>
    <x:row r="1559">
      <x:c r="H1559" s="300"/>
      <x:c r="I1559" s="300"/>
      <x:c r="J1559" s="300"/>
      <x:c r="K1559" s="300"/>
      <x:c r="L1559" s="300"/>
      <x:c r="M1559" s="300"/>
    </x:row>
    <x:row r="1560">
      <x:c r="H1560" s="300"/>
      <x:c r="I1560" s="300"/>
      <x:c r="J1560" s="300"/>
      <x:c r="K1560" s="300"/>
      <x:c r="L1560" s="300"/>
      <x:c r="M1560" s="300"/>
    </x:row>
    <x:row r="1561">
      <x:c r="H1561" s="300"/>
      <x:c r="I1561" s="300"/>
      <x:c r="J1561" s="300"/>
      <x:c r="K1561" s="300"/>
      <x:c r="L1561" s="300"/>
      <x:c r="M1561" s="300"/>
    </x:row>
    <x:row r="1562">
      <x:c r="H1562" s="300"/>
      <x:c r="I1562" s="300"/>
      <x:c r="J1562" s="300"/>
      <x:c r="K1562" s="300"/>
      <x:c r="L1562" s="300"/>
      <x:c r="M1562" s="300"/>
    </x:row>
    <x:row r="1563">
      <x:c r="H1563" s="300"/>
      <x:c r="I1563" s="300"/>
      <x:c r="J1563" s="300"/>
      <x:c r="K1563" s="300"/>
      <x:c r="L1563" s="300"/>
      <x:c r="M1563" s="300"/>
    </x:row>
    <x:row r="1564">
      <x:c r="H1564" s="300"/>
      <x:c r="I1564" s="300"/>
      <x:c r="J1564" s="300"/>
      <x:c r="K1564" s="300"/>
      <x:c r="L1564" s="300"/>
      <x:c r="M1564" s="300"/>
    </x:row>
    <x:row r="1565">
      <x:c r="H1565" s="300"/>
      <x:c r="I1565" s="300"/>
      <x:c r="J1565" s="300"/>
      <x:c r="K1565" s="300"/>
      <x:c r="L1565" s="300"/>
      <x:c r="M1565" s="300"/>
    </x:row>
    <x:row r="1566">
      <x:c r="H1566" s="300"/>
      <x:c r="I1566" s="300"/>
      <x:c r="J1566" s="300"/>
      <x:c r="K1566" s="300"/>
      <x:c r="L1566" s="300"/>
      <x:c r="M1566" s="300"/>
    </x:row>
    <x:row r="1567">
      <x:c r="H1567" s="300"/>
      <x:c r="I1567" s="300"/>
      <x:c r="J1567" s="300"/>
      <x:c r="K1567" s="300"/>
      <x:c r="L1567" s="300"/>
      <x:c r="M1567" s="300"/>
    </x:row>
    <x:row r="1568">
      <x:c r="H1568" s="300"/>
      <x:c r="I1568" s="300"/>
      <x:c r="J1568" s="300"/>
      <x:c r="K1568" s="300"/>
      <x:c r="L1568" s="300"/>
      <x:c r="M1568" s="300"/>
    </x:row>
    <x:row r="1569">
      <x:c r="H1569" s="300"/>
      <x:c r="I1569" s="300"/>
      <x:c r="J1569" s="300"/>
      <x:c r="K1569" s="300"/>
      <x:c r="L1569" s="300"/>
      <x:c r="M1569" s="300"/>
    </x:row>
    <x:row r="1570">
      <x:c r="H1570" s="300"/>
      <x:c r="I1570" s="300"/>
      <x:c r="J1570" s="300"/>
      <x:c r="K1570" s="300"/>
      <x:c r="L1570" s="300"/>
      <x:c r="M1570" s="300"/>
    </x:row>
    <x:row r="1571">
      <x:c r="H1571" s="300"/>
      <x:c r="I1571" s="300"/>
      <x:c r="J1571" s="300"/>
      <x:c r="K1571" s="300"/>
      <x:c r="L1571" s="300"/>
      <x:c r="M1571" s="300"/>
    </x:row>
    <x:row r="1572">
      <x:c r="H1572" s="300"/>
      <x:c r="I1572" s="300"/>
      <x:c r="J1572" s="300"/>
      <x:c r="K1572" s="300"/>
      <x:c r="L1572" s="300"/>
      <x:c r="M1572" s="300"/>
    </x:row>
    <x:row r="1573">
      <x:c r="H1573" s="300"/>
      <x:c r="I1573" s="300"/>
      <x:c r="J1573" s="300"/>
      <x:c r="K1573" s="300"/>
      <x:c r="L1573" s="300"/>
      <x:c r="M1573" s="300"/>
    </x:row>
    <x:row r="1574">
      <x:c r="H1574" s="300"/>
      <x:c r="I1574" s="300"/>
      <x:c r="J1574" s="300"/>
      <x:c r="K1574" s="300"/>
      <x:c r="L1574" s="300"/>
      <x:c r="M1574" s="300"/>
    </x:row>
    <x:row r="1575">
      <x:c r="H1575" s="300"/>
      <x:c r="I1575" s="300"/>
      <x:c r="J1575" s="300"/>
      <x:c r="K1575" s="300"/>
      <x:c r="L1575" s="300"/>
      <x:c r="M1575" s="300"/>
    </x:row>
    <x:row r="1576">
      <x:c r="H1576" s="300"/>
      <x:c r="I1576" s="300"/>
      <x:c r="J1576" s="300"/>
      <x:c r="K1576" s="300"/>
      <x:c r="L1576" s="300"/>
      <x:c r="M1576" s="300"/>
    </x:row>
    <x:row r="1577">
      <x:c r="H1577" s="300"/>
      <x:c r="I1577" s="300"/>
      <x:c r="J1577" s="300"/>
      <x:c r="K1577" s="300"/>
      <x:c r="L1577" s="300"/>
      <x:c r="M1577" s="300"/>
    </x:row>
    <x:row r="1578">
      <x:c r="H1578" s="300"/>
      <x:c r="I1578" s="300"/>
      <x:c r="J1578" s="300"/>
      <x:c r="K1578" s="300"/>
      <x:c r="L1578" s="300"/>
      <x:c r="M1578" s="300"/>
    </x:row>
    <x:row r="1579">
      <x:c r="H1579" s="300"/>
      <x:c r="I1579" s="300"/>
      <x:c r="J1579" s="300"/>
      <x:c r="K1579" s="300"/>
      <x:c r="L1579" s="300"/>
      <x:c r="M1579" s="300"/>
    </x:row>
    <x:row r="1580">
      <x:c r="H1580" s="300"/>
      <x:c r="I1580" s="300"/>
      <x:c r="J1580" s="300"/>
      <x:c r="K1580" s="300"/>
      <x:c r="L1580" s="300"/>
      <x:c r="M1580" s="300"/>
    </x:row>
    <x:row r="1581">
      <x:c r="H1581" s="300"/>
      <x:c r="I1581" s="300"/>
      <x:c r="J1581" s="300"/>
      <x:c r="K1581" s="300"/>
      <x:c r="L1581" s="300"/>
      <x:c r="M1581" s="300"/>
    </x:row>
    <x:row r="1582">
      <x:c r="H1582" s="300"/>
      <x:c r="I1582" s="300"/>
      <x:c r="J1582" s="300"/>
      <x:c r="K1582" s="300"/>
      <x:c r="L1582" s="300"/>
      <x:c r="M1582" s="300"/>
    </x:row>
    <x:row r="1583">
      <x:c r="H1583" s="300"/>
      <x:c r="I1583" s="300"/>
      <x:c r="J1583" s="300"/>
      <x:c r="K1583" s="300"/>
      <x:c r="L1583" s="300"/>
      <x:c r="M1583" s="300"/>
    </x:row>
    <x:row r="1584">
      <x:c r="H1584" s="300"/>
      <x:c r="I1584" s="300"/>
      <x:c r="J1584" s="300"/>
      <x:c r="K1584" s="300"/>
      <x:c r="L1584" s="300"/>
      <x:c r="M1584" s="300"/>
    </x:row>
    <x:row r="1585">
      <x:c r="H1585" s="300"/>
      <x:c r="I1585" s="300"/>
      <x:c r="J1585" s="300"/>
      <x:c r="K1585" s="300"/>
      <x:c r="L1585" s="300"/>
      <x:c r="M1585" s="300"/>
    </x:row>
    <x:row r="1586">
      <x:c r="H1586" s="300"/>
      <x:c r="I1586" s="300"/>
      <x:c r="J1586" s="300"/>
      <x:c r="K1586" s="300"/>
      <x:c r="L1586" s="300"/>
      <x:c r="M1586" s="300"/>
    </x:row>
    <x:row r="1587">
      <x:c r="H1587" s="300"/>
      <x:c r="I1587" s="300"/>
      <x:c r="J1587" s="300"/>
      <x:c r="K1587" s="300"/>
      <x:c r="L1587" s="300"/>
      <x:c r="M1587" s="300"/>
    </x:row>
    <x:row r="1588">
      <x:c r="H1588" s="300"/>
      <x:c r="I1588" s="300"/>
      <x:c r="J1588" s="300"/>
      <x:c r="K1588" s="300"/>
      <x:c r="L1588" s="300"/>
      <x:c r="M1588" s="300"/>
    </x:row>
    <x:row r="1589">
      <x:c r="H1589" s="300"/>
      <x:c r="I1589" s="300"/>
      <x:c r="J1589" s="300"/>
      <x:c r="K1589" s="300"/>
      <x:c r="L1589" s="300"/>
      <x:c r="M1589" s="300"/>
    </x:row>
    <x:row r="1590">
      <x:c r="H1590" s="300"/>
      <x:c r="I1590" s="300"/>
      <x:c r="J1590" s="300"/>
      <x:c r="K1590" s="300"/>
      <x:c r="L1590" s="300"/>
      <x:c r="M1590" s="300"/>
    </x:row>
    <x:row r="1591">
      <x:c r="H1591" s="300"/>
      <x:c r="I1591" s="300"/>
      <x:c r="J1591" s="300"/>
      <x:c r="K1591" s="300"/>
      <x:c r="L1591" s="300"/>
      <x:c r="M1591" s="300"/>
    </x:row>
    <x:row r="1592">
      <x:c r="H1592" s="300"/>
      <x:c r="I1592" s="300"/>
      <x:c r="J1592" s="300"/>
      <x:c r="K1592" s="300"/>
      <x:c r="L1592" s="300"/>
      <x:c r="M1592" s="300"/>
    </x:row>
    <x:row r="1593">
      <x:c r="H1593" s="300"/>
      <x:c r="I1593" s="300"/>
      <x:c r="J1593" s="300"/>
      <x:c r="K1593" s="300"/>
      <x:c r="L1593" s="300"/>
      <x:c r="M1593" s="300"/>
    </x:row>
    <x:row r="1594">
      <x:c r="H1594" s="300"/>
      <x:c r="I1594" s="300"/>
      <x:c r="J1594" s="300"/>
      <x:c r="K1594" s="300"/>
      <x:c r="L1594" s="300"/>
      <x:c r="M1594" s="300"/>
    </x:row>
    <x:row r="1595">
      <x:c r="H1595" s="300"/>
      <x:c r="I1595" s="300"/>
      <x:c r="J1595" s="300"/>
      <x:c r="K1595" s="300"/>
      <x:c r="L1595" s="300"/>
      <x:c r="M1595" s="300"/>
    </x:row>
    <x:row r="1596">
      <x:c r="H1596" s="300"/>
      <x:c r="I1596" s="300"/>
      <x:c r="J1596" s="300"/>
      <x:c r="K1596" s="300"/>
      <x:c r="L1596" s="300"/>
      <x:c r="M1596" s="300"/>
    </x:row>
    <x:row r="1597">
      <x:c r="H1597" s="300"/>
      <x:c r="I1597" s="300"/>
      <x:c r="J1597" s="300"/>
      <x:c r="K1597" s="300"/>
      <x:c r="L1597" s="300"/>
      <x:c r="M1597" s="300"/>
    </x:row>
    <x:row r="1598">
      <x:c r="H1598" s="300"/>
      <x:c r="I1598" s="300"/>
      <x:c r="J1598" s="300"/>
      <x:c r="K1598" s="300"/>
      <x:c r="L1598" s="300"/>
      <x:c r="M1598" s="300"/>
    </x:row>
    <x:row r="1599">
      <x:c r="H1599" s="300"/>
      <x:c r="I1599" s="300"/>
      <x:c r="J1599" s="300"/>
      <x:c r="K1599" s="300"/>
      <x:c r="L1599" s="300"/>
      <x:c r="M1599" s="300"/>
    </x:row>
    <x:row r="1600">
      <x:c r="H1600" s="300"/>
      <x:c r="I1600" s="300"/>
      <x:c r="J1600" s="300"/>
      <x:c r="K1600" s="300"/>
      <x:c r="L1600" s="300"/>
      <x:c r="M1600" s="300"/>
    </x:row>
    <x:row r="1601">
      <x:c r="H1601" s="300"/>
      <x:c r="I1601" s="300"/>
      <x:c r="J1601" s="300"/>
      <x:c r="K1601" s="300"/>
      <x:c r="L1601" s="300"/>
      <x:c r="M1601" s="300"/>
    </x:row>
    <x:row r="1602">
      <x:c r="H1602" s="300"/>
      <x:c r="I1602" s="300"/>
      <x:c r="J1602" s="300"/>
      <x:c r="K1602" s="300"/>
      <x:c r="L1602" s="300"/>
      <x:c r="M1602" s="300"/>
    </x:row>
    <x:row r="1603">
      <x:c r="H1603" s="300"/>
      <x:c r="I1603" s="300"/>
      <x:c r="J1603" s="300"/>
      <x:c r="K1603" s="300"/>
      <x:c r="L1603" s="300"/>
      <x:c r="M1603" s="300"/>
    </x:row>
    <x:row r="1604">
      <x:c r="H1604" s="300"/>
      <x:c r="I1604" s="300"/>
      <x:c r="J1604" s="300"/>
      <x:c r="K1604" s="300"/>
      <x:c r="L1604" s="300"/>
      <x:c r="M1604" s="300"/>
    </x:row>
    <x:row r="1605">
      <x:c r="H1605" s="300"/>
      <x:c r="I1605" s="300"/>
      <x:c r="J1605" s="300"/>
      <x:c r="K1605" s="300"/>
      <x:c r="L1605" s="300"/>
      <x:c r="M1605" s="300"/>
    </x:row>
    <x:row r="1606">
      <x:c r="H1606" s="300"/>
      <x:c r="I1606" s="300"/>
      <x:c r="J1606" s="300"/>
      <x:c r="K1606" s="300"/>
      <x:c r="L1606" s="300"/>
      <x:c r="M1606" s="300"/>
    </x:row>
    <x:row r="1607">
      <x:c r="H1607" s="300"/>
      <x:c r="I1607" s="300"/>
      <x:c r="J1607" s="300"/>
      <x:c r="K1607" s="300"/>
      <x:c r="L1607" s="300"/>
      <x:c r="M1607" s="300"/>
    </x:row>
    <x:row r="1608">
      <x:c r="H1608" s="300"/>
      <x:c r="I1608" s="300"/>
      <x:c r="J1608" s="300"/>
      <x:c r="K1608" s="300"/>
      <x:c r="L1608" s="300"/>
      <x:c r="M1608" s="300"/>
    </x:row>
    <x:row r="1609">
      <x:c r="H1609" s="300"/>
      <x:c r="I1609" s="300"/>
      <x:c r="J1609" s="300"/>
      <x:c r="K1609" s="300"/>
      <x:c r="L1609" s="300"/>
      <x:c r="M1609" s="300"/>
    </x:row>
    <x:row r="1610">
      <x:c r="H1610" s="300"/>
      <x:c r="I1610" s="300"/>
      <x:c r="J1610" s="300"/>
      <x:c r="K1610" s="300"/>
      <x:c r="L1610" s="300"/>
      <x:c r="M1610" s="300"/>
    </x:row>
    <x:row r="1611">
      <x:c r="H1611" s="300"/>
      <x:c r="I1611" s="300"/>
      <x:c r="J1611" s="300"/>
      <x:c r="K1611" s="300"/>
      <x:c r="L1611" s="300"/>
      <x:c r="M1611" s="300"/>
    </x:row>
    <x:row r="1612">
      <x:c r="H1612" s="300"/>
      <x:c r="I1612" s="300"/>
      <x:c r="J1612" s="300"/>
      <x:c r="K1612" s="300"/>
      <x:c r="L1612" s="300"/>
      <x:c r="M1612" s="300"/>
    </x:row>
    <x:row r="1613">
      <x:c r="H1613" s="300"/>
      <x:c r="I1613" s="300"/>
      <x:c r="J1613" s="300"/>
      <x:c r="K1613" s="300"/>
      <x:c r="L1613" s="300"/>
      <x:c r="M1613" s="300"/>
    </x:row>
    <x:row r="1614">
      <x:c r="H1614" s="300"/>
      <x:c r="I1614" s="300"/>
      <x:c r="J1614" s="300"/>
      <x:c r="K1614" s="300"/>
      <x:c r="L1614" s="300"/>
      <x:c r="M1614" s="300"/>
    </x:row>
    <x:row r="1615">
      <x:c r="H1615" s="300"/>
      <x:c r="I1615" s="300"/>
      <x:c r="J1615" s="300"/>
      <x:c r="K1615" s="300"/>
      <x:c r="L1615" s="300"/>
      <x:c r="M1615" s="300"/>
    </x:row>
    <x:row r="1616">
      <x:c r="H1616" s="300"/>
      <x:c r="I1616" s="300"/>
      <x:c r="J1616" s="300"/>
      <x:c r="K1616" s="300"/>
      <x:c r="L1616" s="300"/>
      <x:c r="M1616" s="300"/>
    </x:row>
    <x:row r="1617">
      <x:c r="H1617" s="300"/>
      <x:c r="I1617" s="300"/>
      <x:c r="J1617" s="300"/>
      <x:c r="K1617" s="300"/>
      <x:c r="L1617" s="300"/>
      <x:c r="M1617" s="300"/>
    </x:row>
    <x:row r="1618">
      <x:c r="H1618" s="300"/>
      <x:c r="I1618" s="300"/>
      <x:c r="J1618" s="300"/>
      <x:c r="K1618" s="300"/>
      <x:c r="L1618" s="300"/>
      <x:c r="M1618" s="300"/>
    </x:row>
    <x:row r="1619">
      <x:c r="H1619" s="300"/>
      <x:c r="I1619" s="300"/>
      <x:c r="J1619" s="300"/>
      <x:c r="K1619" s="300"/>
      <x:c r="L1619" s="300"/>
      <x:c r="M1619" s="300"/>
    </x:row>
    <x:row r="1620">
      <x:c r="H1620" s="300"/>
      <x:c r="I1620" s="300"/>
      <x:c r="J1620" s="300"/>
      <x:c r="K1620" s="300"/>
      <x:c r="L1620" s="300"/>
      <x:c r="M1620" s="300"/>
    </x:row>
    <x:row r="1621">
      <x:c r="H1621" s="300"/>
      <x:c r="I1621" s="300"/>
      <x:c r="J1621" s="300"/>
      <x:c r="K1621" s="300"/>
      <x:c r="L1621" s="300"/>
      <x:c r="M1621" s="300"/>
    </x:row>
    <x:row r="1622">
      <x:c r="H1622" s="300"/>
      <x:c r="I1622" s="300"/>
      <x:c r="J1622" s="300"/>
      <x:c r="K1622" s="300"/>
      <x:c r="L1622" s="300"/>
      <x:c r="M1622" s="300"/>
    </x:row>
    <x:row r="1623">
      <x:c r="H1623" s="300"/>
      <x:c r="I1623" s="300"/>
      <x:c r="J1623" s="300"/>
      <x:c r="K1623" s="300"/>
      <x:c r="L1623" s="300"/>
      <x:c r="M1623" s="300"/>
    </x:row>
    <x:row r="1624">
      <x:c r="H1624" s="300"/>
      <x:c r="I1624" s="300"/>
      <x:c r="J1624" s="300"/>
      <x:c r="K1624" s="300"/>
      <x:c r="L1624" s="300"/>
      <x:c r="M1624" s="300"/>
    </x:row>
    <x:row r="1625">
      <x:c r="H1625" s="300"/>
      <x:c r="I1625" s="300"/>
      <x:c r="J1625" s="300"/>
      <x:c r="K1625" s="300"/>
      <x:c r="L1625" s="300"/>
      <x:c r="M1625" s="300"/>
    </x:row>
    <x:row r="1626">
      <x:c r="H1626" s="300"/>
      <x:c r="I1626" s="300"/>
      <x:c r="J1626" s="300"/>
      <x:c r="K1626" s="300"/>
      <x:c r="L1626" s="300"/>
      <x:c r="M1626" s="300"/>
    </x:row>
    <x:row r="1627">
      <x:c r="H1627" s="300"/>
      <x:c r="I1627" s="300"/>
      <x:c r="J1627" s="300"/>
      <x:c r="K1627" s="300"/>
      <x:c r="L1627" s="300"/>
      <x:c r="M1627" s="300"/>
    </x:row>
    <x:row r="1628">
      <x:c r="H1628" s="300"/>
      <x:c r="I1628" s="300"/>
      <x:c r="J1628" s="300"/>
      <x:c r="K1628" s="300"/>
      <x:c r="L1628" s="300"/>
      <x:c r="M1628" s="300"/>
    </x:row>
    <x:row r="1629">
      <x:c r="H1629" s="300"/>
      <x:c r="I1629" s="300"/>
      <x:c r="J1629" s="300"/>
      <x:c r="K1629" s="300"/>
      <x:c r="L1629" s="300"/>
      <x:c r="M1629" s="300"/>
    </x:row>
    <x:row r="1630">
      <x:c r="H1630" s="300"/>
      <x:c r="I1630" s="300"/>
      <x:c r="J1630" s="300"/>
      <x:c r="K1630" s="300"/>
      <x:c r="L1630" s="300"/>
      <x:c r="M1630" s="300"/>
    </x:row>
    <x:row r="1631">
      <x:c r="H1631" s="300"/>
      <x:c r="I1631" s="300"/>
      <x:c r="J1631" s="300"/>
      <x:c r="K1631" s="300"/>
      <x:c r="L1631" s="300"/>
      <x:c r="M1631" s="300"/>
    </x:row>
    <x:row r="1632">
      <x:c r="H1632" s="300"/>
      <x:c r="I1632" s="300"/>
      <x:c r="J1632" s="300"/>
      <x:c r="K1632" s="300"/>
      <x:c r="L1632" s="300"/>
      <x:c r="M1632" s="300"/>
    </x:row>
    <x:row r="1633">
      <x:c r="H1633" s="300"/>
      <x:c r="I1633" s="300"/>
      <x:c r="J1633" s="300"/>
      <x:c r="K1633" s="300"/>
      <x:c r="L1633" s="300"/>
      <x:c r="M1633" s="300"/>
    </x:row>
    <x:row r="1634">
      <x:c r="H1634" s="300"/>
      <x:c r="I1634" s="300"/>
      <x:c r="J1634" s="300"/>
      <x:c r="K1634" s="300"/>
      <x:c r="L1634" s="300"/>
      <x:c r="M1634" s="300"/>
    </x:row>
    <x:row r="1635">
      <x:c r="H1635" s="300"/>
      <x:c r="I1635" s="300"/>
      <x:c r="J1635" s="300"/>
      <x:c r="K1635" s="300"/>
      <x:c r="L1635" s="300"/>
      <x:c r="M1635" s="300"/>
    </x:row>
    <x:row r="1636">
      <x:c r="H1636" s="300"/>
      <x:c r="I1636" s="300"/>
      <x:c r="J1636" s="300"/>
      <x:c r="K1636" s="300"/>
      <x:c r="L1636" s="300"/>
      <x:c r="M1636" s="300"/>
    </x:row>
    <x:row r="1637">
      <x:c r="H1637" s="300"/>
      <x:c r="I1637" s="300"/>
      <x:c r="J1637" s="300"/>
      <x:c r="K1637" s="300"/>
      <x:c r="L1637" s="300"/>
      <x:c r="M1637" s="300"/>
    </x:row>
    <x:row r="1638">
      <x:c r="H1638" s="300"/>
      <x:c r="I1638" s="300"/>
      <x:c r="J1638" s="300"/>
      <x:c r="K1638" s="300"/>
      <x:c r="L1638" s="300"/>
      <x:c r="M1638" s="300"/>
    </x:row>
    <x:row r="1639">
      <x:c r="H1639" s="300"/>
      <x:c r="I1639" s="300"/>
      <x:c r="J1639" s="300"/>
      <x:c r="K1639" s="300"/>
      <x:c r="L1639" s="300"/>
      <x:c r="M1639" s="300"/>
    </x:row>
    <x:row r="1640">
      <x:c r="H1640" s="300"/>
      <x:c r="I1640" s="300"/>
      <x:c r="J1640" s="300"/>
      <x:c r="K1640" s="300"/>
      <x:c r="L1640" s="300"/>
      <x:c r="M1640" s="300"/>
    </x:row>
    <x:row r="1641">
      <x:c r="H1641" s="300"/>
      <x:c r="I1641" s="300"/>
      <x:c r="J1641" s="300"/>
      <x:c r="K1641" s="300"/>
      <x:c r="L1641" s="300"/>
      <x:c r="M1641" s="300"/>
    </x:row>
    <x:row r="1642">
      <x:c r="H1642" s="300"/>
      <x:c r="I1642" s="300"/>
      <x:c r="J1642" s="300"/>
      <x:c r="K1642" s="300"/>
      <x:c r="L1642" s="300"/>
      <x:c r="M1642" s="300"/>
    </x:row>
    <x:row r="1643">
      <x:c r="H1643" s="300"/>
      <x:c r="I1643" s="300"/>
      <x:c r="J1643" s="300"/>
      <x:c r="K1643" s="300"/>
      <x:c r="L1643" s="300"/>
      <x:c r="M1643" s="300"/>
    </x:row>
    <x:row r="1644">
      <x:c r="H1644" s="300"/>
      <x:c r="I1644" s="300"/>
      <x:c r="J1644" s="300"/>
      <x:c r="K1644" s="300"/>
      <x:c r="L1644" s="300"/>
      <x:c r="M1644" s="300"/>
    </x:row>
    <x:row r="1645">
      <x:c r="H1645" s="300"/>
      <x:c r="I1645" s="300"/>
      <x:c r="J1645" s="300"/>
      <x:c r="K1645" s="300"/>
      <x:c r="L1645" s="300"/>
      <x:c r="M1645" s="300"/>
    </x:row>
    <x:row r="1646">
      <x:c r="H1646" s="300"/>
      <x:c r="I1646" s="300"/>
      <x:c r="J1646" s="300"/>
      <x:c r="K1646" s="300"/>
      <x:c r="L1646" s="300"/>
      <x:c r="M1646" s="300"/>
    </x:row>
    <x:row r="1647">
      <x:c r="H1647" s="300"/>
      <x:c r="I1647" s="300"/>
      <x:c r="J1647" s="300"/>
      <x:c r="K1647" s="300"/>
      <x:c r="L1647" s="300"/>
      <x:c r="M1647" s="300"/>
    </x:row>
    <x:row r="1648">
      <x:c r="H1648" s="300"/>
      <x:c r="I1648" s="300"/>
      <x:c r="J1648" s="300"/>
      <x:c r="K1648" s="300"/>
      <x:c r="L1648" s="300"/>
      <x:c r="M1648" s="300"/>
    </x:row>
    <x:row r="1649">
      <x:c r="H1649" s="300"/>
      <x:c r="I1649" s="300"/>
      <x:c r="J1649" s="300"/>
      <x:c r="K1649" s="300"/>
      <x:c r="L1649" s="300"/>
      <x:c r="M1649" s="300"/>
    </x:row>
    <x:row r="1650">
      <x:c r="H1650" s="300"/>
      <x:c r="I1650" s="300"/>
      <x:c r="J1650" s="300"/>
      <x:c r="K1650" s="300"/>
      <x:c r="L1650" s="300"/>
      <x:c r="M1650" s="300"/>
    </x:row>
    <x:row r="1651">
      <x:c r="H1651" s="300"/>
      <x:c r="I1651" s="300"/>
      <x:c r="J1651" s="300"/>
      <x:c r="K1651" s="300"/>
      <x:c r="L1651" s="300"/>
      <x:c r="M1651" s="300"/>
    </x:row>
    <x:row r="1652">
      <x:c r="H1652" s="300"/>
      <x:c r="I1652" s="300"/>
      <x:c r="J1652" s="300"/>
      <x:c r="K1652" s="300"/>
      <x:c r="L1652" s="300"/>
      <x:c r="M1652" s="300"/>
    </x:row>
    <x:row r="1653">
      <x:c r="H1653" s="300"/>
      <x:c r="I1653" s="300"/>
      <x:c r="J1653" s="300"/>
      <x:c r="K1653" s="300"/>
      <x:c r="L1653" s="300"/>
      <x:c r="M1653" s="300"/>
    </x:row>
    <x:row r="1654">
      <x:c r="H1654" s="300"/>
      <x:c r="I1654" s="300"/>
      <x:c r="J1654" s="300"/>
      <x:c r="K1654" s="300"/>
      <x:c r="L1654" s="300"/>
      <x:c r="M1654" s="300"/>
    </x:row>
    <x:row r="1655">
      <x:c r="H1655" s="300"/>
      <x:c r="I1655" s="300"/>
      <x:c r="J1655" s="300"/>
      <x:c r="K1655" s="300"/>
      <x:c r="L1655" s="300"/>
      <x:c r="M1655" s="300"/>
    </x:row>
    <x:row r="1656">
      <x:c r="H1656" s="300"/>
      <x:c r="I1656" s="300"/>
      <x:c r="J1656" s="300"/>
      <x:c r="K1656" s="300"/>
      <x:c r="L1656" s="300"/>
      <x:c r="M1656" s="300"/>
    </x:row>
    <x:row r="1657">
      <x:c r="H1657" s="300"/>
      <x:c r="I1657" s="300"/>
      <x:c r="J1657" s="300"/>
      <x:c r="K1657" s="300"/>
      <x:c r="L1657" s="300"/>
      <x:c r="M1657" s="300"/>
    </x:row>
    <x:row r="1658">
      <x:c r="H1658" s="300"/>
      <x:c r="I1658" s="300"/>
      <x:c r="J1658" s="300"/>
      <x:c r="K1658" s="300"/>
      <x:c r="L1658" s="300"/>
      <x:c r="M1658" s="300"/>
    </x:row>
    <x:row r="1659">
      <x:c r="H1659" s="300"/>
      <x:c r="I1659" s="300"/>
      <x:c r="J1659" s="300"/>
      <x:c r="K1659" s="300"/>
      <x:c r="L1659" s="300"/>
      <x:c r="M1659" s="300"/>
    </x:row>
    <x:row r="1660">
      <x:c r="H1660" s="300"/>
      <x:c r="I1660" s="300"/>
      <x:c r="J1660" s="300"/>
      <x:c r="K1660" s="300"/>
      <x:c r="L1660" s="300"/>
      <x:c r="M1660" s="300"/>
    </x:row>
    <x:row r="1661">
      <x:c r="H1661" s="300"/>
      <x:c r="I1661" s="300"/>
      <x:c r="J1661" s="300"/>
      <x:c r="K1661" s="300"/>
      <x:c r="L1661" s="300"/>
      <x:c r="M1661" s="300"/>
    </x:row>
    <x:row r="1662">
      <x:c r="H1662" s="300"/>
      <x:c r="I1662" s="300"/>
      <x:c r="J1662" s="300"/>
      <x:c r="K1662" s="300"/>
      <x:c r="L1662" s="300"/>
      <x:c r="M1662" s="300"/>
    </x:row>
    <x:row r="1663">
      <x:c r="H1663" s="300"/>
      <x:c r="I1663" s="300"/>
      <x:c r="J1663" s="300"/>
      <x:c r="K1663" s="300"/>
      <x:c r="L1663" s="300"/>
      <x:c r="M1663" s="300"/>
    </x:row>
    <x:row r="1664">
      <x:c r="H1664" s="300"/>
      <x:c r="I1664" s="300"/>
      <x:c r="J1664" s="300"/>
      <x:c r="K1664" s="300"/>
      <x:c r="L1664" s="300"/>
      <x:c r="M1664" s="300"/>
    </x:row>
    <x:row r="1665">
      <x:c r="H1665" s="300"/>
      <x:c r="I1665" s="300"/>
      <x:c r="J1665" s="300"/>
      <x:c r="K1665" s="300"/>
      <x:c r="L1665" s="300"/>
      <x:c r="M1665" s="300"/>
    </x:row>
    <x:row r="1666">
      <x:c r="H1666" s="300"/>
      <x:c r="I1666" s="300"/>
      <x:c r="J1666" s="300"/>
      <x:c r="K1666" s="300"/>
      <x:c r="L1666" s="300"/>
      <x:c r="M1666" s="300"/>
    </x:row>
    <x:row r="1667">
      <x:c r="H1667" s="300"/>
      <x:c r="I1667" s="300"/>
      <x:c r="J1667" s="300"/>
      <x:c r="K1667" s="300"/>
      <x:c r="L1667" s="300"/>
      <x:c r="M1667" s="300"/>
    </x:row>
    <x:row r="1668">
      <x:c r="H1668" s="300"/>
      <x:c r="I1668" s="300"/>
      <x:c r="J1668" s="300"/>
      <x:c r="K1668" s="300"/>
      <x:c r="L1668" s="300"/>
      <x:c r="M1668" s="300"/>
    </x:row>
    <x:row r="1669">
      <x:c r="H1669" s="300"/>
      <x:c r="I1669" s="300"/>
      <x:c r="J1669" s="300"/>
      <x:c r="K1669" s="300"/>
      <x:c r="L1669" s="300"/>
      <x:c r="M1669" s="300"/>
    </x:row>
    <x:row r="1670">
      <x:c r="H1670" s="300"/>
      <x:c r="I1670" s="300"/>
      <x:c r="J1670" s="300"/>
      <x:c r="K1670" s="300"/>
      <x:c r="L1670" s="300"/>
      <x:c r="M1670" s="300"/>
    </x:row>
    <x:row r="1671">
      <x:c r="H1671" s="300"/>
      <x:c r="I1671" s="300"/>
      <x:c r="J1671" s="300"/>
      <x:c r="K1671" s="300"/>
      <x:c r="L1671" s="300"/>
      <x:c r="M1671" s="300"/>
    </x:row>
    <x:row r="1672">
      <x:c r="H1672" s="300"/>
      <x:c r="I1672" s="300"/>
      <x:c r="J1672" s="300"/>
      <x:c r="K1672" s="300"/>
      <x:c r="L1672" s="300"/>
      <x:c r="M1672" s="300"/>
    </x:row>
    <x:row r="1673">
      <x:c r="H1673" s="300"/>
      <x:c r="I1673" s="300"/>
      <x:c r="J1673" s="300"/>
      <x:c r="K1673" s="300"/>
      <x:c r="L1673" s="300"/>
      <x:c r="M1673" s="300"/>
    </x:row>
    <x:row r="1674">
      <x:c r="H1674" s="300"/>
      <x:c r="I1674" s="300"/>
      <x:c r="J1674" s="300"/>
      <x:c r="K1674" s="300"/>
      <x:c r="L1674" s="300"/>
      <x:c r="M1674" s="300"/>
    </x:row>
    <x:row r="1675">
      <x:c r="H1675" s="300"/>
      <x:c r="I1675" s="300"/>
      <x:c r="J1675" s="300"/>
      <x:c r="K1675" s="300"/>
      <x:c r="L1675" s="300"/>
      <x:c r="M1675" s="300"/>
    </x:row>
    <x:row r="1676">
      <x:c r="H1676" s="300"/>
      <x:c r="I1676" s="300"/>
      <x:c r="J1676" s="300"/>
      <x:c r="K1676" s="300"/>
      <x:c r="L1676" s="300"/>
      <x:c r="M1676" s="300"/>
    </x:row>
    <x:row r="1677">
      <x:c r="H1677" s="300"/>
      <x:c r="I1677" s="300"/>
      <x:c r="J1677" s="300"/>
      <x:c r="K1677" s="300"/>
      <x:c r="L1677" s="300"/>
      <x:c r="M1677" s="300"/>
    </x:row>
    <x:row r="1678">
      <x:c r="H1678" s="300"/>
      <x:c r="I1678" s="300"/>
      <x:c r="J1678" s="300"/>
      <x:c r="K1678" s="300"/>
      <x:c r="L1678" s="300"/>
      <x:c r="M1678" s="300"/>
    </x:row>
    <x:row r="1679">
      <x:c r="H1679" s="300"/>
      <x:c r="I1679" s="300"/>
      <x:c r="J1679" s="300"/>
      <x:c r="K1679" s="300"/>
      <x:c r="L1679" s="300"/>
      <x:c r="M1679" s="300"/>
    </x:row>
    <x:row r="1680">
      <x:c r="H1680" s="300"/>
      <x:c r="I1680" s="300"/>
      <x:c r="J1680" s="300"/>
      <x:c r="K1680" s="300"/>
      <x:c r="L1680" s="300"/>
      <x:c r="M1680" s="300"/>
    </x:row>
    <x:row r="1681">
      <x:c r="H1681" s="300"/>
      <x:c r="I1681" s="300"/>
      <x:c r="J1681" s="300"/>
      <x:c r="K1681" s="300"/>
      <x:c r="L1681" s="300"/>
      <x:c r="M1681" s="300"/>
    </x:row>
    <x:row r="1682">
      <x:c r="H1682" s="300"/>
      <x:c r="I1682" s="300"/>
      <x:c r="J1682" s="300"/>
      <x:c r="K1682" s="300"/>
      <x:c r="L1682" s="300"/>
      <x:c r="M1682" s="300"/>
    </x:row>
    <x:row r="1683">
      <x:c r="H1683" s="300"/>
      <x:c r="I1683" s="300"/>
      <x:c r="J1683" s="300"/>
      <x:c r="K1683" s="300"/>
      <x:c r="L1683" s="300"/>
      <x:c r="M1683" s="300"/>
    </x:row>
    <x:row r="1684">
      <x:c r="H1684" s="300"/>
      <x:c r="I1684" s="300"/>
      <x:c r="J1684" s="300"/>
      <x:c r="K1684" s="300"/>
      <x:c r="L1684" s="300"/>
      <x:c r="M1684" s="300"/>
    </x:row>
    <x:row r="1685">
      <x:c r="H1685" s="300"/>
      <x:c r="I1685" s="300"/>
      <x:c r="J1685" s="300"/>
      <x:c r="K1685" s="300"/>
      <x:c r="L1685" s="300"/>
      <x:c r="M1685" s="300"/>
    </x:row>
    <x:row r="1686">
      <x:c r="H1686" s="300"/>
      <x:c r="I1686" s="300"/>
      <x:c r="J1686" s="300"/>
      <x:c r="K1686" s="300"/>
      <x:c r="L1686" s="300"/>
      <x:c r="M1686" s="300"/>
    </x:row>
    <x:row r="1687">
      <x:c r="H1687" s="300"/>
      <x:c r="I1687" s="300"/>
      <x:c r="J1687" s="300"/>
      <x:c r="K1687" s="300"/>
      <x:c r="L1687" s="300"/>
      <x:c r="M1687" s="300"/>
    </x:row>
    <x:row r="1688">
      <x:c r="H1688" s="300"/>
      <x:c r="I1688" s="300"/>
      <x:c r="J1688" s="300"/>
      <x:c r="K1688" s="300"/>
      <x:c r="L1688" s="300"/>
      <x:c r="M1688" s="300"/>
    </x:row>
    <x:row r="1689">
      <x:c r="H1689" s="300"/>
      <x:c r="I1689" s="300"/>
      <x:c r="J1689" s="300"/>
      <x:c r="K1689" s="300"/>
      <x:c r="L1689" s="300"/>
      <x:c r="M1689" s="300"/>
    </x:row>
    <x:row r="1690">
      <x:c r="H1690" s="300"/>
      <x:c r="I1690" s="300"/>
      <x:c r="J1690" s="300"/>
      <x:c r="K1690" s="300"/>
      <x:c r="L1690" s="300"/>
      <x:c r="M1690" s="300"/>
    </x:row>
    <x:row r="1691">
      <x:c r="H1691" s="300"/>
      <x:c r="I1691" s="300"/>
      <x:c r="J1691" s="300"/>
      <x:c r="K1691" s="300"/>
      <x:c r="L1691" s="300"/>
      <x:c r="M1691" s="300"/>
    </x:row>
    <x:row r="1692">
      <x:c r="H1692" s="300"/>
      <x:c r="I1692" s="300"/>
      <x:c r="J1692" s="300"/>
      <x:c r="K1692" s="300"/>
      <x:c r="L1692" s="300"/>
      <x:c r="M1692" s="300"/>
    </x:row>
    <x:row r="1693">
      <x:c r="H1693" s="300"/>
      <x:c r="I1693" s="300"/>
      <x:c r="J1693" s="300"/>
      <x:c r="K1693" s="300"/>
      <x:c r="L1693" s="300"/>
      <x:c r="M1693" s="300"/>
    </x:row>
    <x:row r="1694">
      <x:c r="H1694" s="300"/>
      <x:c r="I1694" s="300"/>
      <x:c r="J1694" s="300"/>
      <x:c r="K1694" s="300"/>
      <x:c r="L1694" s="300"/>
      <x:c r="M1694" s="300"/>
    </x:row>
    <x:row r="1695">
      <x:c r="H1695" s="300"/>
      <x:c r="I1695" s="300"/>
      <x:c r="J1695" s="300"/>
      <x:c r="K1695" s="300"/>
      <x:c r="L1695" s="300"/>
      <x:c r="M1695" s="300"/>
    </x:row>
    <x:row r="1696">
      <x:c r="H1696" s="300"/>
      <x:c r="I1696" s="300"/>
      <x:c r="J1696" s="300"/>
      <x:c r="K1696" s="300"/>
      <x:c r="L1696" s="300"/>
      <x:c r="M1696" s="300"/>
    </x:row>
    <x:row r="1697">
      <x:c r="H1697" s="300"/>
      <x:c r="I1697" s="300"/>
      <x:c r="J1697" s="300"/>
      <x:c r="K1697" s="300"/>
      <x:c r="L1697" s="300"/>
      <x:c r="M1697" s="300"/>
    </x:row>
    <x:row r="1698">
      <x:c r="H1698" s="300"/>
      <x:c r="I1698" s="300"/>
      <x:c r="J1698" s="300"/>
      <x:c r="K1698" s="300"/>
      <x:c r="L1698" s="300"/>
      <x:c r="M1698" s="300"/>
    </x:row>
    <x:row r="1699">
      <x:c r="H1699" s="300"/>
      <x:c r="I1699" s="300"/>
      <x:c r="J1699" s="300"/>
      <x:c r="K1699" s="300"/>
      <x:c r="L1699" s="300"/>
      <x:c r="M1699" s="300"/>
    </x:row>
    <x:row r="1700">
      <x:c r="H1700" s="300"/>
      <x:c r="I1700" s="300"/>
      <x:c r="J1700" s="300"/>
      <x:c r="K1700" s="300"/>
      <x:c r="L1700" s="300"/>
      <x:c r="M1700" s="300"/>
    </x:row>
    <x:row r="1701">
      <x:c r="H1701" s="300"/>
      <x:c r="I1701" s="300"/>
      <x:c r="J1701" s="300"/>
      <x:c r="K1701" s="300"/>
      <x:c r="L1701" s="300"/>
      <x:c r="M1701" s="300"/>
    </x:row>
    <x:row r="1702">
      <x:c r="H1702" s="300"/>
      <x:c r="I1702" s="300"/>
      <x:c r="J1702" s="300"/>
      <x:c r="K1702" s="300"/>
      <x:c r="L1702" s="300"/>
      <x:c r="M1702" s="300"/>
    </x:row>
    <x:row r="1703">
      <x:c r="H1703" s="300"/>
      <x:c r="I1703" s="300"/>
      <x:c r="J1703" s="300"/>
      <x:c r="K1703" s="300"/>
      <x:c r="L1703" s="300"/>
      <x:c r="M1703" s="300"/>
    </x:row>
    <x:row r="1704">
      <x:c r="H1704" s="300"/>
      <x:c r="I1704" s="300"/>
      <x:c r="J1704" s="300"/>
      <x:c r="K1704" s="300"/>
      <x:c r="L1704" s="300"/>
      <x:c r="M1704" s="300"/>
    </x:row>
    <x:row r="1705">
      <x:c r="H1705" s="300"/>
      <x:c r="I1705" s="300"/>
      <x:c r="J1705" s="300"/>
      <x:c r="K1705" s="300"/>
      <x:c r="L1705" s="300"/>
      <x:c r="M1705" s="300"/>
    </x:row>
    <x:row r="1706">
      <x:c r="H1706" s="300"/>
      <x:c r="I1706" s="300"/>
      <x:c r="J1706" s="300"/>
      <x:c r="K1706" s="300"/>
      <x:c r="L1706" s="300"/>
      <x:c r="M1706" s="300"/>
    </x:row>
    <x:row r="1707">
      <x:c r="H1707" s="300"/>
      <x:c r="I1707" s="300"/>
      <x:c r="J1707" s="300"/>
      <x:c r="K1707" s="300"/>
      <x:c r="L1707" s="300"/>
      <x:c r="M1707" s="300"/>
    </x:row>
    <x:row r="1708">
      <x:c r="H1708" s="300"/>
      <x:c r="I1708" s="300"/>
      <x:c r="J1708" s="300"/>
      <x:c r="K1708" s="300"/>
      <x:c r="L1708" s="300"/>
      <x:c r="M1708" s="300"/>
    </x:row>
    <x:row r="1709">
      <x:c r="H1709" s="300"/>
      <x:c r="I1709" s="300"/>
      <x:c r="J1709" s="300"/>
      <x:c r="K1709" s="300"/>
      <x:c r="L1709" s="300"/>
      <x:c r="M1709" s="300"/>
    </x:row>
    <x:row r="1710">
      <x:c r="H1710" s="300"/>
      <x:c r="I1710" s="300"/>
      <x:c r="J1710" s="300"/>
      <x:c r="K1710" s="300"/>
      <x:c r="L1710" s="300"/>
      <x:c r="M1710" s="300"/>
    </x:row>
    <x:row r="1711">
      <x:c r="H1711" s="300"/>
      <x:c r="I1711" s="300"/>
      <x:c r="J1711" s="300"/>
      <x:c r="K1711" s="300"/>
      <x:c r="L1711" s="300"/>
      <x:c r="M1711" s="300"/>
    </x:row>
    <x:row r="1712">
      <x:c r="H1712" s="300"/>
      <x:c r="I1712" s="300"/>
      <x:c r="J1712" s="300"/>
      <x:c r="K1712" s="300"/>
      <x:c r="L1712" s="300"/>
      <x:c r="M1712" s="300"/>
    </x:row>
    <x:row r="1713">
      <x:c r="H1713" s="300"/>
      <x:c r="I1713" s="300"/>
      <x:c r="J1713" s="300"/>
      <x:c r="K1713" s="300"/>
      <x:c r="L1713" s="300"/>
      <x:c r="M1713" s="300"/>
    </x:row>
    <x:row r="1714">
      <x:c r="H1714" s="300"/>
      <x:c r="I1714" s="300"/>
      <x:c r="J1714" s="300"/>
      <x:c r="K1714" s="300"/>
      <x:c r="L1714" s="300"/>
      <x:c r="M1714" s="300"/>
    </x:row>
    <x:row r="1715">
      <x:c r="H1715" s="300"/>
      <x:c r="I1715" s="300"/>
      <x:c r="J1715" s="300"/>
      <x:c r="K1715" s="300"/>
      <x:c r="L1715" s="300"/>
      <x:c r="M1715" s="300"/>
    </x:row>
    <x:row r="1716">
      <x:c r="H1716" s="300"/>
      <x:c r="I1716" s="300"/>
      <x:c r="J1716" s="300"/>
      <x:c r="K1716" s="300"/>
      <x:c r="L1716" s="300"/>
      <x:c r="M1716" s="300"/>
    </x:row>
    <x:row r="1717">
      <x:c r="H1717" s="300"/>
      <x:c r="I1717" s="300"/>
      <x:c r="J1717" s="300"/>
      <x:c r="K1717" s="300"/>
      <x:c r="L1717" s="300"/>
      <x:c r="M1717" s="300"/>
    </x:row>
    <x:row r="1718">
      <x:c r="H1718" s="300"/>
      <x:c r="I1718" s="300"/>
      <x:c r="J1718" s="300"/>
      <x:c r="K1718" s="300"/>
      <x:c r="L1718" s="300"/>
      <x:c r="M1718" s="300"/>
    </x:row>
    <x:row r="1719">
      <x:c r="H1719" s="300"/>
      <x:c r="I1719" s="300"/>
      <x:c r="J1719" s="300"/>
      <x:c r="K1719" s="300"/>
      <x:c r="L1719" s="300"/>
      <x:c r="M1719" s="300"/>
    </x:row>
    <x:row r="1720">
      <x:c r="H1720" s="300"/>
      <x:c r="I1720" s="300"/>
      <x:c r="J1720" s="300"/>
      <x:c r="K1720" s="300"/>
      <x:c r="L1720" s="300"/>
      <x:c r="M1720" s="300"/>
    </x:row>
    <x:row r="1721">
      <x:c r="H1721" s="300"/>
      <x:c r="I1721" s="300"/>
      <x:c r="J1721" s="300"/>
      <x:c r="K1721" s="300"/>
      <x:c r="L1721" s="300"/>
      <x:c r="M1721" s="300"/>
    </x:row>
    <x:row r="1722">
      <x:c r="H1722" s="300"/>
      <x:c r="I1722" s="300"/>
      <x:c r="J1722" s="300"/>
      <x:c r="K1722" s="300"/>
      <x:c r="L1722" s="300"/>
      <x:c r="M1722" s="300"/>
    </x:row>
    <x:row r="1723">
      <x:c r="H1723" s="300"/>
      <x:c r="I1723" s="300"/>
      <x:c r="J1723" s="300"/>
      <x:c r="K1723" s="300"/>
      <x:c r="L1723" s="300"/>
      <x:c r="M1723" s="300"/>
    </x:row>
    <x:row r="1724">
      <x:c r="H1724" s="300"/>
      <x:c r="I1724" s="300"/>
      <x:c r="J1724" s="300"/>
      <x:c r="K1724" s="300"/>
      <x:c r="L1724" s="300"/>
      <x:c r="M1724" s="300"/>
    </x:row>
    <x:row r="1725">
      <x:c r="H1725" s="300"/>
      <x:c r="I1725" s="300"/>
      <x:c r="J1725" s="300"/>
      <x:c r="K1725" s="300"/>
      <x:c r="L1725" s="300"/>
      <x:c r="M1725" s="300"/>
    </x:row>
    <x:row r="1726">
      <x:c r="H1726" s="300"/>
      <x:c r="I1726" s="300"/>
      <x:c r="J1726" s="300"/>
      <x:c r="K1726" s="300"/>
      <x:c r="L1726" s="300"/>
      <x:c r="M1726" s="300"/>
    </x:row>
    <x:row r="1727">
      <x:c r="H1727" s="300"/>
      <x:c r="I1727" s="300"/>
      <x:c r="J1727" s="300"/>
      <x:c r="K1727" s="300"/>
      <x:c r="L1727" s="300"/>
      <x:c r="M1727" s="300"/>
    </x:row>
    <x:row r="1728">
      <x:c r="H1728" s="300"/>
      <x:c r="I1728" s="300"/>
      <x:c r="J1728" s="300"/>
      <x:c r="K1728" s="300"/>
      <x:c r="L1728" s="300"/>
      <x:c r="M1728" s="300"/>
    </x:row>
    <x:row r="1729">
      <x:c r="H1729" s="300"/>
      <x:c r="I1729" s="300"/>
      <x:c r="J1729" s="300"/>
      <x:c r="K1729" s="300"/>
      <x:c r="L1729" s="300"/>
      <x:c r="M1729" s="300"/>
    </x:row>
    <x:row r="1730">
      <x:c r="H1730" s="300"/>
      <x:c r="I1730" s="300"/>
      <x:c r="J1730" s="300"/>
      <x:c r="K1730" s="300"/>
      <x:c r="L1730" s="300"/>
      <x:c r="M1730" s="300"/>
    </x:row>
    <x:row r="1731">
      <x:c r="H1731" s="300"/>
      <x:c r="I1731" s="300"/>
      <x:c r="J1731" s="300"/>
      <x:c r="K1731" s="300"/>
      <x:c r="L1731" s="300"/>
      <x:c r="M1731" s="300"/>
    </x:row>
    <x:row r="1732">
      <x:c r="H1732" s="300"/>
      <x:c r="I1732" s="300"/>
      <x:c r="J1732" s="300"/>
      <x:c r="K1732" s="300"/>
      <x:c r="L1732" s="300"/>
      <x:c r="M1732" s="300"/>
    </x:row>
    <x:row r="1733">
      <x:c r="H1733" s="300"/>
      <x:c r="I1733" s="300"/>
      <x:c r="J1733" s="300"/>
      <x:c r="K1733" s="300"/>
      <x:c r="L1733" s="300"/>
      <x:c r="M1733" s="300"/>
    </x:row>
    <x:row r="1734">
      <x:c r="H1734" s="300"/>
      <x:c r="I1734" s="300"/>
      <x:c r="J1734" s="300"/>
      <x:c r="K1734" s="300"/>
      <x:c r="L1734" s="300"/>
      <x:c r="M1734" s="300"/>
    </x:row>
    <x:row r="1735">
      <x:c r="H1735" s="300"/>
      <x:c r="I1735" s="300"/>
      <x:c r="J1735" s="300"/>
      <x:c r="K1735" s="300"/>
      <x:c r="L1735" s="300"/>
      <x:c r="M1735" s="300"/>
    </x:row>
    <x:row r="1736">
      <x:c r="H1736" s="300"/>
      <x:c r="I1736" s="300"/>
      <x:c r="J1736" s="300"/>
      <x:c r="K1736" s="300"/>
      <x:c r="L1736" s="300"/>
      <x:c r="M1736" s="300"/>
    </x:row>
    <x:row r="1737">
      <x:c r="H1737" s="300"/>
      <x:c r="I1737" s="300"/>
      <x:c r="J1737" s="300"/>
      <x:c r="K1737" s="300"/>
      <x:c r="L1737" s="300"/>
      <x:c r="M1737" s="300"/>
    </x:row>
    <x:row r="1738">
      <x:c r="H1738" s="300"/>
      <x:c r="I1738" s="300"/>
      <x:c r="J1738" s="300"/>
      <x:c r="K1738" s="300"/>
      <x:c r="L1738" s="300"/>
      <x:c r="M1738" s="300"/>
    </x:row>
    <x:row r="1739">
      <x:c r="H1739" s="300"/>
      <x:c r="I1739" s="300"/>
      <x:c r="J1739" s="300"/>
      <x:c r="K1739" s="300"/>
      <x:c r="L1739" s="300"/>
      <x:c r="M1739" s="300"/>
    </x:row>
    <x:row r="1740">
      <x:c r="H1740" s="300"/>
      <x:c r="I1740" s="300"/>
      <x:c r="J1740" s="300"/>
      <x:c r="K1740" s="300"/>
      <x:c r="L1740" s="300"/>
      <x:c r="M1740" s="300"/>
    </x:row>
    <x:row r="1741">
      <x:c r="H1741" s="300"/>
      <x:c r="I1741" s="300"/>
      <x:c r="J1741" s="300"/>
      <x:c r="K1741" s="300"/>
      <x:c r="L1741" s="300"/>
      <x:c r="M1741" s="300"/>
    </x:row>
    <x:row r="1742">
      <x:c r="H1742" s="300"/>
      <x:c r="I1742" s="300"/>
      <x:c r="J1742" s="300"/>
      <x:c r="K1742" s="300"/>
      <x:c r="L1742" s="300"/>
      <x:c r="M1742" s="300"/>
    </x:row>
    <x:row r="1743">
      <x:c r="H1743" s="300"/>
      <x:c r="I1743" s="300"/>
      <x:c r="J1743" s="300"/>
      <x:c r="K1743" s="300"/>
      <x:c r="L1743" s="300"/>
      <x:c r="M1743" s="300"/>
    </x:row>
    <x:row r="1744">
      <x:c r="H1744" s="300"/>
      <x:c r="I1744" s="300"/>
      <x:c r="J1744" s="300"/>
      <x:c r="K1744" s="300"/>
      <x:c r="L1744" s="300"/>
      <x:c r="M1744" s="300"/>
    </x:row>
    <x:row r="1745">
      <x:c r="H1745" s="300"/>
      <x:c r="I1745" s="300"/>
      <x:c r="J1745" s="300"/>
      <x:c r="K1745" s="300"/>
      <x:c r="L1745" s="300"/>
      <x:c r="M1745" s="300"/>
    </x:row>
    <x:row r="1746">
      <x:c r="H1746" s="300"/>
      <x:c r="I1746" s="300"/>
      <x:c r="J1746" s="300"/>
      <x:c r="K1746" s="300"/>
      <x:c r="L1746" s="300"/>
      <x:c r="M1746" s="300"/>
    </x:row>
    <x:row r="1747">
      <x:c r="H1747" s="300"/>
      <x:c r="I1747" s="300"/>
      <x:c r="J1747" s="300"/>
      <x:c r="K1747" s="300"/>
      <x:c r="L1747" s="300"/>
      <x:c r="M1747" s="300"/>
    </x:row>
    <x:row r="1748">
      <x:c r="H1748" s="300"/>
      <x:c r="I1748" s="300"/>
      <x:c r="J1748" s="300"/>
      <x:c r="K1748" s="300"/>
      <x:c r="L1748" s="300"/>
      <x:c r="M1748" s="300"/>
    </x:row>
    <x:row r="1749">
      <x:c r="H1749" s="300"/>
      <x:c r="I1749" s="300"/>
      <x:c r="J1749" s="300"/>
      <x:c r="K1749" s="300"/>
      <x:c r="L1749" s="300"/>
      <x:c r="M1749" s="300"/>
    </x:row>
    <x:row r="1750">
      <x:c r="H1750" s="300"/>
      <x:c r="I1750" s="300"/>
      <x:c r="J1750" s="300"/>
      <x:c r="K1750" s="300"/>
      <x:c r="L1750" s="300"/>
      <x:c r="M1750" s="300"/>
    </x:row>
    <x:row r="1751">
      <x:c r="H1751" s="300"/>
      <x:c r="I1751" s="300"/>
      <x:c r="J1751" s="300"/>
      <x:c r="K1751" s="300"/>
      <x:c r="L1751" s="300"/>
      <x:c r="M1751" s="300"/>
    </x:row>
    <x:row r="1752">
      <x:c r="H1752" s="300"/>
      <x:c r="I1752" s="300"/>
      <x:c r="J1752" s="300"/>
      <x:c r="K1752" s="300"/>
      <x:c r="L1752" s="300"/>
      <x:c r="M1752" s="300"/>
    </x:row>
    <x:row r="1753">
      <x:c r="H1753" s="300"/>
      <x:c r="I1753" s="300"/>
      <x:c r="J1753" s="300"/>
      <x:c r="K1753" s="300"/>
      <x:c r="L1753" s="300"/>
      <x:c r="M1753" s="300"/>
    </x:row>
    <x:row r="1754">
      <x:c r="H1754" s="300"/>
      <x:c r="I1754" s="300"/>
      <x:c r="J1754" s="300"/>
      <x:c r="K1754" s="300"/>
      <x:c r="L1754" s="300"/>
      <x:c r="M1754" s="300"/>
    </x:row>
    <x:row r="1755">
      <x:c r="H1755" s="300"/>
      <x:c r="I1755" s="300"/>
      <x:c r="J1755" s="300"/>
      <x:c r="K1755" s="300"/>
      <x:c r="L1755" s="300"/>
      <x:c r="M1755" s="300"/>
    </x:row>
    <x:row r="1756">
      <x:c r="H1756" s="300"/>
      <x:c r="I1756" s="300"/>
      <x:c r="J1756" s="300"/>
      <x:c r="K1756" s="300"/>
      <x:c r="L1756" s="300"/>
      <x:c r="M1756" s="300"/>
    </x:row>
    <x:row r="1757">
      <x:c r="H1757" s="300"/>
      <x:c r="I1757" s="300"/>
      <x:c r="J1757" s="300"/>
      <x:c r="K1757" s="300"/>
      <x:c r="L1757" s="300"/>
      <x:c r="M1757" s="300"/>
    </x:row>
    <x:row r="1758">
      <x:c r="H1758" s="300"/>
      <x:c r="I1758" s="300"/>
      <x:c r="J1758" s="300"/>
      <x:c r="K1758" s="300"/>
      <x:c r="L1758" s="300"/>
      <x:c r="M1758" s="300"/>
    </x:row>
    <x:row r="1759">
      <x:c r="H1759" s="300"/>
      <x:c r="I1759" s="300"/>
      <x:c r="J1759" s="300"/>
      <x:c r="K1759" s="300"/>
      <x:c r="L1759" s="300"/>
      <x:c r="M1759" s="300"/>
    </x:row>
    <x:row r="1760">
      <x:c r="H1760" s="300"/>
      <x:c r="I1760" s="300"/>
      <x:c r="J1760" s="300"/>
      <x:c r="K1760" s="300"/>
      <x:c r="L1760" s="300"/>
      <x:c r="M1760" s="300"/>
    </x:row>
    <x:row r="1761">
      <x:c r="H1761" s="300"/>
      <x:c r="I1761" s="300"/>
      <x:c r="J1761" s="300"/>
      <x:c r="K1761" s="300"/>
      <x:c r="L1761" s="300"/>
      <x:c r="M1761" s="300"/>
    </x:row>
    <x:row r="1762">
      <x:c r="H1762" s="300"/>
      <x:c r="I1762" s="300"/>
      <x:c r="J1762" s="300"/>
      <x:c r="K1762" s="300"/>
      <x:c r="L1762" s="300"/>
      <x:c r="M1762" s="300"/>
    </x:row>
    <x:row r="1763">
      <x:c r="H1763" s="300"/>
      <x:c r="I1763" s="300"/>
      <x:c r="J1763" s="300"/>
      <x:c r="K1763" s="300"/>
      <x:c r="L1763" s="300"/>
      <x:c r="M1763" s="300"/>
    </x:row>
    <x:row r="1764">
      <x:c r="H1764" s="300"/>
      <x:c r="I1764" s="300"/>
      <x:c r="J1764" s="300"/>
      <x:c r="K1764" s="300"/>
      <x:c r="L1764" s="300"/>
      <x:c r="M1764" s="300"/>
    </x:row>
    <x:row r="1765">
      <x:c r="H1765" s="300"/>
      <x:c r="I1765" s="300"/>
      <x:c r="J1765" s="300"/>
      <x:c r="K1765" s="300"/>
      <x:c r="L1765" s="300"/>
      <x:c r="M1765" s="300"/>
    </x:row>
    <x:row r="1766">
      <x:c r="H1766" s="300"/>
      <x:c r="I1766" s="300"/>
      <x:c r="J1766" s="300"/>
      <x:c r="K1766" s="300"/>
      <x:c r="L1766" s="300"/>
      <x:c r="M1766" s="300"/>
    </x:row>
    <x:row r="1767">
      <x:c r="H1767" s="300"/>
      <x:c r="I1767" s="300"/>
      <x:c r="J1767" s="300"/>
      <x:c r="K1767" s="300"/>
      <x:c r="L1767" s="300"/>
      <x:c r="M1767" s="300"/>
    </x:row>
    <x:row r="1768">
      <x:c r="H1768" s="300"/>
      <x:c r="I1768" s="300"/>
      <x:c r="J1768" s="300"/>
      <x:c r="K1768" s="300"/>
      <x:c r="L1768" s="300"/>
      <x:c r="M1768" s="300"/>
    </x:row>
    <x:row r="1769">
      <x:c r="H1769" s="300"/>
      <x:c r="I1769" s="300"/>
      <x:c r="J1769" s="300"/>
      <x:c r="K1769" s="300"/>
      <x:c r="L1769" s="300"/>
      <x:c r="M1769" s="300"/>
    </x:row>
    <x:row r="1770">
      <x:c r="H1770" s="300"/>
      <x:c r="I1770" s="300"/>
      <x:c r="J1770" s="300"/>
      <x:c r="K1770" s="300"/>
      <x:c r="L1770" s="300"/>
      <x:c r="M1770" s="300"/>
    </x:row>
    <x:row r="1771">
      <x:c r="H1771" s="300"/>
      <x:c r="I1771" s="300"/>
      <x:c r="J1771" s="300"/>
      <x:c r="K1771" s="300"/>
      <x:c r="L1771" s="300"/>
      <x:c r="M1771" s="300"/>
    </x:row>
    <x:row r="1772">
      <x:c r="H1772" s="300"/>
      <x:c r="I1772" s="300"/>
      <x:c r="J1772" s="300"/>
      <x:c r="K1772" s="300"/>
      <x:c r="L1772" s="300"/>
      <x:c r="M1772" s="300"/>
    </x:row>
    <x:row r="1773">
      <x:c r="H1773" s="300"/>
      <x:c r="I1773" s="300"/>
      <x:c r="J1773" s="300"/>
      <x:c r="K1773" s="300"/>
      <x:c r="L1773" s="300"/>
      <x:c r="M1773" s="300"/>
    </x:row>
    <x:row r="1774">
      <x:c r="H1774" s="300"/>
      <x:c r="I1774" s="300"/>
      <x:c r="J1774" s="300"/>
      <x:c r="K1774" s="300"/>
      <x:c r="L1774" s="300"/>
      <x:c r="M1774" s="300"/>
    </x:row>
    <x:row r="1775">
      <x:c r="H1775" s="300"/>
      <x:c r="I1775" s="300"/>
      <x:c r="J1775" s="300"/>
      <x:c r="K1775" s="300"/>
      <x:c r="L1775" s="300"/>
      <x:c r="M1775" s="300"/>
    </x:row>
    <x:row r="1776">
      <x:c r="H1776" s="300"/>
      <x:c r="I1776" s="300"/>
      <x:c r="J1776" s="300"/>
      <x:c r="K1776" s="300"/>
      <x:c r="L1776" s="300"/>
      <x:c r="M1776" s="300"/>
    </x:row>
    <x:row r="1777">
      <x:c r="H1777" s="300"/>
      <x:c r="I1777" s="300"/>
      <x:c r="J1777" s="300"/>
      <x:c r="K1777" s="300"/>
      <x:c r="L1777" s="300"/>
      <x:c r="M1777" s="300"/>
    </x:row>
    <x:row r="1778">
      <x:c r="H1778" s="300"/>
      <x:c r="I1778" s="300"/>
      <x:c r="J1778" s="300"/>
      <x:c r="K1778" s="300"/>
      <x:c r="L1778" s="300"/>
      <x:c r="M1778" s="300"/>
    </x:row>
    <x:row r="1779">
      <x:c r="H1779" s="300"/>
      <x:c r="I1779" s="300"/>
      <x:c r="J1779" s="300"/>
      <x:c r="K1779" s="300"/>
      <x:c r="L1779" s="300"/>
      <x:c r="M1779" s="300"/>
    </x:row>
    <x:row r="1780">
      <x:c r="H1780" s="300"/>
      <x:c r="I1780" s="300"/>
      <x:c r="J1780" s="300"/>
      <x:c r="K1780" s="300"/>
      <x:c r="L1780" s="300"/>
      <x:c r="M1780" s="300"/>
    </x:row>
    <x:row r="1781">
      <x:c r="H1781" s="300"/>
      <x:c r="I1781" s="300"/>
      <x:c r="J1781" s="300"/>
      <x:c r="K1781" s="300"/>
      <x:c r="L1781" s="300"/>
      <x:c r="M1781" s="300"/>
    </x:row>
    <x:row r="1782">
      <x:c r="H1782" s="300"/>
      <x:c r="I1782" s="300"/>
      <x:c r="J1782" s="300"/>
      <x:c r="K1782" s="300"/>
      <x:c r="L1782" s="300"/>
      <x:c r="M1782" s="300"/>
    </x:row>
    <x:row r="1783">
      <x:c r="H1783" s="300"/>
      <x:c r="I1783" s="300"/>
      <x:c r="J1783" s="300"/>
      <x:c r="K1783" s="300"/>
      <x:c r="L1783" s="300"/>
      <x:c r="M1783" s="300"/>
    </x:row>
    <x:row r="1784">
      <x:c r="H1784" s="300"/>
      <x:c r="I1784" s="300"/>
      <x:c r="J1784" s="300"/>
      <x:c r="K1784" s="300"/>
      <x:c r="L1784" s="300"/>
      <x:c r="M1784" s="300"/>
    </x:row>
    <x:row r="1785">
      <x:c r="H1785" s="300"/>
      <x:c r="I1785" s="300"/>
      <x:c r="J1785" s="300"/>
      <x:c r="K1785" s="300"/>
      <x:c r="L1785" s="300"/>
      <x:c r="M1785" s="300"/>
    </x:row>
    <x:row r="1786">
      <x:c r="H1786" s="300"/>
      <x:c r="I1786" s="300"/>
      <x:c r="J1786" s="300"/>
      <x:c r="K1786" s="300"/>
      <x:c r="L1786" s="300"/>
      <x:c r="M1786" s="300"/>
    </x:row>
    <x:row r="1787">
      <x:c r="H1787" s="300"/>
      <x:c r="I1787" s="300"/>
      <x:c r="J1787" s="300"/>
      <x:c r="K1787" s="300"/>
      <x:c r="L1787" s="300"/>
      <x:c r="M1787" s="300"/>
    </x:row>
    <x:row r="1788">
      <x:c r="H1788" s="300"/>
      <x:c r="I1788" s="300"/>
      <x:c r="J1788" s="300"/>
      <x:c r="K1788" s="300"/>
      <x:c r="L1788" s="300"/>
      <x:c r="M1788" s="300"/>
    </x:row>
    <x:row r="1789">
      <x:c r="H1789" s="300"/>
      <x:c r="I1789" s="300"/>
      <x:c r="J1789" s="300"/>
      <x:c r="K1789" s="300"/>
      <x:c r="L1789" s="300"/>
      <x:c r="M1789" s="300"/>
    </x:row>
    <x:row r="1790">
      <x:c r="H1790" s="300"/>
      <x:c r="I1790" s="300"/>
      <x:c r="J1790" s="300"/>
      <x:c r="K1790" s="300"/>
      <x:c r="L1790" s="300"/>
      <x:c r="M1790" s="300"/>
    </x:row>
    <x:row r="1791">
      <x:c r="H1791" s="300"/>
      <x:c r="I1791" s="300"/>
      <x:c r="J1791" s="300"/>
      <x:c r="K1791" s="300"/>
      <x:c r="L1791" s="300"/>
      <x:c r="M1791" s="300"/>
    </x:row>
    <x:row r="1792">
      <x:c r="H1792" s="300"/>
      <x:c r="I1792" s="300"/>
      <x:c r="J1792" s="300"/>
      <x:c r="K1792" s="300"/>
      <x:c r="L1792" s="300"/>
      <x:c r="M1792" s="300"/>
    </x:row>
    <x:row r="1793">
      <x:c r="H1793" s="300"/>
      <x:c r="I1793" s="300"/>
      <x:c r="J1793" s="300"/>
      <x:c r="K1793" s="300"/>
      <x:c r="L1793" s="300"/>
      <x:c r="M1793" s="300"/>
    </x:row>
    <x:row r="1794">
      <x:c r="H1794" s="300"/>
      <x:c r="I1794" s="300"/>
      <x:c r="J1794" s="300"/>
      <x:c r="K1794" s="300"/>
      <x:c r="L1794" s="300"/>
      <x:c r="M1794" s="300"/>
    </x:row>
    <x:row r="1795">
      <x:c r="H1795" s="300"/>
      <x:c r="I1795" s="300"/>
      <x:c r="J1795" s="300"/>
      <x:c r="K1795" s="300"/>
      <x:c r="L1795" s="300"/>
      <x:c r="M1795" s="300"/>
    </x:row>
    <x:row r="1796">
      <x:c r="H1796" s="300"/>
      <x:c r="I1796" s="300"/>
      <x:c r="J1796" s="300"/>
      <x:c r="K1796" s="300"/>
      <x:c r="L1796" s="300"/>
      <x:c r="M1796" s="300"/>
    </x:row>
    <x:row r="1797">
      <x:c r="H1797" s="300"/>
      <x:c r="I1797" s="300"/>
      <x:c r="J1797" s="300"/>
      <x:c r="K1797" s="300"/>
      <x:c r="L1797" s="300"/>
      <x:c r="M1797" s="300"/>
    </x:row>
    <x:row r="1798">
      <x:c r="H1798" s="300"/>
      <x:c r="I1798" s="300"/>
      <x:c r="J1798" s="300"/>
      <x:c r="K1798" s="300"/>
      <x:c r="L1798" s="300"/>
      <x:c r="M1798" s="300"/>
    </x:row>
    <x:row r="1799">
      <x:c r="H1799" s="300"/>
      <x:c r="I1799" s="300"/>
      <x:c r="J1799" s="300"/>
      <x:c r="K1799" s="300"/>
      <x:c r="L1799" s="300"/>
      <x:c r="M1799" s="300"/>
    </x:row>
    <x:row r="1800">
      <x:c r="H1800" s="300"/>
      <x:c r="I1800" s="300"/>
      <x:c r="J1800" s="300"/>
      <x:c r="K1800" s="300"/>
      <x:c r="L1800" s="300"/>
      <x:c r="M1800" s="300"/>
    </x:row>
    <x:row r="1801">
      <x:c r="H1801" s="300"/>
      <x:c r="I1801" s="300"/>
      <x:c r="J1801" s="300"/>
      <x:c r="K1801" s="300"/>
      <x:c r="L1801" s="300"/>
      <x:c r="M1801" s="300"/>
    </x:row>
    <x:row r="1802">
      <x:c r="H1802" s="300"/>
      <x:c r="I1802" s="300"/>
      <x:c r="J1802" s="300"/>
      <x:c r="K1802" s="300"/>
      <x:c r="L1802" s="300"/>
      <x:c r="M1802" s="300"/>
    </x:row>
    <x:row r="1803">
      <x:c r="H1803" s="300"/>
      <x:c r="I1803" s="300"/>
      <x:c r="J1803" s="300"/>
      <x:c r="K1803" s="300"/>
      <x:c r="L1803" s="300"/>
      <x:c r="M1803" s="300"/>
    </x:row>
    <x:row r="1804">
      <x:c r="H1804" s="300"/>
      <x:c r="I1804" s="300"/>
      <x:c r="J1804" s="300"/>
      <x:c r="K1804" s="300"/>
      <x:c r="L1804" s="300"/>
      <x:c r="M1804" s="300"/>
    </x:row>
    <x:row r="1805">
      <x:c r="H1805" s="300"/>
      <x:c r="I1805" s="300"/>
      <x:c r="J1805" s="300"/>
      <x:c r="K1805" s="300"/>
      <x:c r="L1805" s="300"/>
      <x:c r="M1805" s="300"/>
    </x:row>
    <x:row r="1806">
      <x:c r="H1806" s="300"/>
      <x:c r="I1806" s="300"/>
      <x:c r="J1806" s="300"/>
      <x:c r="K1806" s="300"/>
      <x:c r="L1806" s="300"/>
      <x:c r="M1806" s="300"/>
    </x:row>
    <x:row r="1807">
      <x:c r="H1807" s="300"/>
      <x:c r="I1807" s="300"/>
      <x:c r="J1807" s="300"/>
      <x:c r="K1807" s="300"/>
      <x:c r="L1807" s="300"/>
      <x:c r="M1807" s="300"/>
    </x:row>
    <x:row r="1808">
      <x:c r="H1808" s="300"/>
      <x:c r="I1808" s="300"/>
      <x:c r="J1808" s="300"/>
      <x:c r="K1808" s="300"/>
      <x:c r="L1808" s="300"/>
      <x:c r="M1808" s="300"/>
    </x:row>
    <x:row r="1809">
      <x:c r="H1809" s="300"/>
      <x:c r="I1809" s="300"/>
      <x:c r="J1809" s="300"/>
      <x:c r="K1809" s="300"/>
      <x:c r="L1809" s="300"/>
      <x:c r="M1809" s="300"/>
    </x:row>
    <x:row r="1810">
      <x:c r="H1810" s="300"/>
      <x:c r="I1810" s="300"/>
      <x:c r="J1810" s="300"/>
      <x:c r="K1810" s="300"/>
      <x:c r="L1810" s="300"/>
      <x:c r="M1810" s="300"/>
    </x:row>
    <x:row r="1811">
      <x:c r="H1811" s="300"/>
      <x:c r="I1811" s="300"/>
      <x:c r="J1811" s="300"/>
      <x:c r="K1811" s="300"/>
      <x:c r="L1811" s="300"/>
      <x:c r="M1811" s="300"/>
    </x:row>
    <x:row r="1812">
      <x:c r="H1812" s="300"/>
      <x:c r="I1812" s="300"/>
      <x:c r="J1812" s="300"/>
      <x:c r="K1812" s="300"/>
      <x:c r="L1812" s="300"/>
      <x:c r="M1812" s="300"/>
    </x:row>
    <x:row r="1813">
      <x:c r="H1813" s="300"/>
      <x:c r="I1813" s="300"/>
      <x:c r="J1813" s="300"/>
      <x:c r="K1813" s="300"/>
      <x:c r="L1813" s="300"/>
      <x:c r="M1813" s="300"/>
    </x:row>
    <x:row r="1814">
      <x:c r="H1814" s="300"/>
      <x:c r="I1814" s="300"/>
      <x:c r="J1814" s="300"/>
      <x:c r="K1814" s="300"/>
      <x:c r="L1814" s="300"/>
      <x:c r="M1814" s="300"/>
    </x:row>
    <x:row r="1815">
      <x:c r="H1815" s="300"/>
      <x:c r="I1815" s="300"/>
      <x:c r="J1815" s="300"/>
      <x:c r="K1815" s="300"/>
      <x:c r="L1815" s="300"/>
      <x:c r="M1815" s="300"/>
    </x:row>
    <x:row r="1816">
      <x:c r="H1816" s="300"/>
      <x:c r="I1816" s="300"/>
      <x:c r="J1816" s="300"/>
      <x:c r="K1816" s="300"/>
      <x:c r="L1816" s="300"/>
      <x:c r="M1816" s="300"/>
    </x:row>
    <x:row r="1817">
      <x:c r="H1817" s="300"/>
      <x:c r="I1817" s="300"/>
      <x:c r="J1817" s="300"/>
      <x:c r="K1817" s="300"/>
      <x:c r="L1817" s="300"/>
      <x:c r="M1817" s="300"/>
    </x:row>
    <x:row r="1818">
      <x:c r="H1818" s="300"/>
      <x:c r="I1818" s="300"/>
      <x:c r="J1818" s="300"/>
      <x:c r="K1818" s="300"/>
      <x:c r="L1818" s="300"/>
      <x:c r="M1818" s="300"/>
    </x:row>
    <x:row r="1819">
      <x:c r="H1819" s="300"/>
      <x:c r="I1819" s="300"/>
      <x:c r="J1819" s="300"/>
      <x:c r="K1819" s="300"/>
      <x:c r="L1819" s="300"/>
      <x:c r="M1819" s="300"/>
    </x:row>
    <x:row r="1820">
      <x:c r="H1820" s="300"/>
      <x:c r="I1820" s="300"/>
      <x:c r="J1820" s="300"/>
      <x:c r="K1820" s="300"/>
      <x:c r="L1820" s="300"/>
      <x:c r="M1820" s="300"/>
    </x:row>
    <x:row r="1821">
      <x:c r="H1821" s="300"/>
      <x:c r="I1821" s="300"/>
      <x:c r="J1821" s="300"/>
      <x:c r="K1821" s="300"/>
      <x:c r="L1821" s="300"/>
      <x:c r="M1821" s="300"/>
    </x:row>
    <x:row r="1822">
      <x:c r="H1822" s="300"/>
      <x:c r="I1822" s="300"/>
      <x:c r="J1822" s="300"/>
      <x:c r="K1822" s="300"/>
      <x:c r="L1822" s="300"/>
      <x:c r="M1822" s="300"/>
    </x:row>
    <x:row r="1823">
      <x:c r="H1823" s="300"/>
      <x:c r="I1823" s="300"/>
      <x:c r="J1823" s="300"/>
      <x:c r="K1823" s="300"/>
      <x:c r="L1823" s="300"/>
      <x:c r="M1823" s="300"/>
    </x:row>
    <x:row r="1824">
      <x:c r="H1824" s="300"/>
      <x:c r="I1824" s="300"/>
      <x:c r="J1824" s="300"/>
      <x:c r="K1824" s="300"/>
      <x:c r="L1824" s="300"/>
      <x:c r="M1824" s="300"/>
    </x:row>
    <x:row r="1825">
      <x:c r="H1825" s="300"/>
      <x:c r="I1825" s="300"/>
      <x:c r="J1825" s="300"/>
      <x:c r="K1825" s="300"/>
      <x:c r="L1825" s="300"/>
      <x:c r="M1825" s="300"/>
    </x:row>
    <x:row r="1826">
      <x:c r="H1826" s="300"/>
      <x:c r="I1826" s="300"/>
      <x:c r="J1826" s="300"/>
      <x:c r="K1826" s="300"/>
      <x:c r="L1826" s="300"/>
      <x:c r="M1826" s="300"/>
    </x:row>
    <x:row r="1827">
      <x:c r="H1827" s="300"/>
      <x:c r="I1827" s="300"/>
      <x:c r="J1827" s="300"/>
      <x:c r="K1827" s="300"/>
      <x:c r="L1827" s="300"/>
      <x:c r="M1827" s="300"/>
    </x:row>
    <x:row r="1828">
      <x:c r="H1828" s="300"/>
      <x:c r="I1828" s="300"/>
      <x:c r="J1828" s="300"/>
      <x:c r="K1828" s="300"/>
      <x:c r="L1828" s="300"/>
      <x:c r="M1828" s="300"/>
    </x:row>
    <x:row r="1829">
      <x:c r="H1829" s="300"/>
      <x:c r="I1829" s="300"/>
      <x:c r="J1829" s="300"/>
      <x:c r="K1829" s="300"/>
      <x:c r="L1829" s="300"/>
      <x:c r="M1829" s="300"/>
    </x:row>
    <x:row r="1830">
      <x:c r="H1830" s="300"/>
      <x:c r="I1830" s="300"/>
      <x:c r="J1830" s="300"/>
      <x:c r="K1830" s="300"/>
      <x:c r="L1830" s="300"/>
      <x:c r="M1830" s="300"/>
    </x:row>
    <x:row r="1831">
      <x:c r="H1831" s="300"/>
      <x:c r="I1831" s="300"/>
      <x:c r="J1831" s="300"/>
      <x:c r="K1831" s="300"/>
      <x:c r="L1831" s="300"/>
      <x:c r="M1831" s="300"/>
    </x:row>
    <x:row r="1832">
      <x:c r="H1832" s="300"/>
      <x:c r="I1832" s="300"/>
      <x:c r="J1832" s="300"/>
      <x:c r="K1832" s="300"/>
      <x:c r="L1832" s="300"/>
      <x:c r="M1832" s="300"/>
    </x:row>
    <x:row r="1833">
      <x:c r="H1833" s="300"/>
      <x:c r="I1833" s="300"/>
      <x:c r="J1833" s="300"/>
      <x:c r="K1833" s="300"/>
      <x:c r="L1833" s="300"/>
      <x:c r="M1833" s="300"/>
    </x:row>
    <x:row r="1834">
      <x:c r="H1834" s="300"/>
      <x:c r="I1834" s="300"/>
      <x:c r="J1834" s="300"/>
      <x:c r="K1834" s="300"/>
      <x:c r="L1834" s="300"/>
      <x:c r="M1834" s="300"/>
    </x:row>
    <x:row r="1835">
      <x:c r="H1835" s="300"/>
      <x:c r="I1835" s="300"/>
      <x:c r="J1835" s="300"/>
      <x:c r="K1835" s="300"/>
      <x:c r="L1835" s="300"/>
      <x:c r="M1835" s="300"/>
    </x:row>
    <x:row r="1836">
      <x:c r="H1836" s="300"/>
      <x:c r="I1836" s="300"/>
      <x:c r="J1836" s="300"/>
      <x:c r="K1836" s="300"/>
      <x:c r="L1836" s="300"/>
      <x:c r="M1836" s="300"/>
    </x:row>
    <x:row r="1837">
      <x:c r="H1837" s="300"/>
      <x:c r="I1837" s="300"/>
      <x:c r="J1837" s="300"/>
      <x:c r="K1837" s="300"/>
      <x:c r="L1837" s="300"/>
      <x:c r="M1837" s="300"/>
    </x:row>
    <x:row r="1838">
      <x:c r="H1838" s="300"/>
      <x:c r="I1838" s="300"/>
      <x:c r="J1838" s="300"/>
      <x:c r="K1838" s="300"/>
      <x:c r="L1838" s="300"/>
      <x:c r="M1838" s="300"/>
    </x:row>
    <x:row r="1839">
      <x:c r="H1839" s="300"/>
      <x:c r="I1839" s="300"/>
      <x:c r="J1839" s="300"/>
      <x:c r="K1839" s="300"/>
      <x:c r="L1839" s="300"/>
      <x:c r="M1839" s="300"/>
    </x:row>
    <x:row r="1840">
      <x:c r="H1840" s="300"/>
      <x:c r="I1840" s="300"/>
      <x:c r="J1840" s="300"/>
      <x:c r="K1840" s="300"/>
      <x:c r="L1840" s="300"/>
      <x:c r="M1840" s="300"/>
    </x:row>
    <x:row r="1841">
      <x:c r="H1841" s="300"/>
      <x:c r="I1841" s="300"/>
      <x:c r="J1841" s="300"/>
      <x:c r="K1841" s="300"/>
      <x:c r="L1841" s="300"/>
      <x:c r="M1841" s="300"/>
    </x:row>
    <x:row r="1842">
      <x:c r="H1842" s="300"/>
      <x:c r="I1842" s="300"/>
      <x:c r="J1842" s="300"/>
      <x:c r="K1842" s="300"/>
      <x:c r="L1842" s="300"/>
      <x:c r="M1842" s="300"/>
    </x:row>
    <x:row r="1843">
      <x:c r="H1843" s="300"/>
      <x:c r="I1843" s="300"/>
      <x:c r="J1843" s="300"/>
      <x:c r="K1843" s="300"/>
      <x:c r="L1843" s="300"/>
      <x:c r="M1843" s="300"/>
    </x:row>
    <x:row r="1844">
      <x:c r="H1844" s="300"/>
      <x:c r="I1844" s="300"/>
      <x:c r="J1844" s="300"/>
      <x:c r="K1844" s="300"/>
      <x:c r="L1844" s="300"/>
      <x:c r="M1844" s="300"/>
    </x:row>
    <x:row r="1845">
      <x:c r="H1845" s="300"/>
      <x:c r="I1845" s="300"/>
      <x:c r="J1845" s="300"/>
      <x:c r="K1845" s="300"/>
      <x:c r="L1845" s="300"/>
      <x:c r="M1845" s="300"/>
    </x:row>
    <x:row r="1846">
      <x:c r="H1846" s="300"/>
      <x:c r="I1846" s="300"/>
      <x:c r="J1846" s="300"/>
      <x:c r="K1846" s="300"/>
      <x:c r="L1846" s="300"/>
      <x:c r="M1846" s="300"/>
    </x:row>
    <x:row r="1847">
      <x:c r="H1847" s="300"/>
      <x:c r="I1847" s="300"/>
      <x:c r="J1847" s="300"/>
      <x:c r="K1847" s="300"/>
      <x:c r="L1847" s="300"/>
      <x:c r="M1847" s="300"/>
    </x:row>
    <x:row r="1848">
      <x:c r="H1848" s="300"/>
      <x:c r="I1848" s="300"/>
      <x:c r="J1848" s="300"/>
      <x:c r="K1848" s="300"/>
      <x:c r="L1848" s="300"/>
      <x:c r="M1848" s="300"/>
    </x:row>
    <x:row r="1849">
      <x:c r="H1849" s="300"/>
      <x:c r="I1849" s="300"/>
      <x:c r="J1849" s="300"/>
      <x:c r="K1849" s="300"/>
      <x:c r="L1849" s="300"/>
      <x:c r="M1849" s="300"/>
    </x:row>
    <x:row r="1850">
      <x:c r="H1850" s="300"/>
      <x:c r="I1850" s="300"/>
      <x:c r="J1850" s="300"/>
      <x:c r="K1850" s="300"/>
      <x:c r="L1850" s="300"/>
      <x:c r="M1850" s="300"/>
    </x:row>
    <x:row r="1851">
      <x:c r="H1851" s="300"/>
      <x:c r="I1851" s="300"/>
      <x:c r="J1851" s="300"/>
      <x:c r="K1851" s="300"/>
      <x:c r="L1851" s="300"/>
      <x:c r="M1851" s="300"/>
    </x:row>
    <x:row r="1852">
      <x:c r="H1852" s="300"/>
      <x:c r="I1852" s="300"/>
      <x:c r="J1852" s="300"/>
      <x:c r="K1852" s="300"/>
      <x:c r="L1852" s="300"/>
      <x:c r="M1852" s="300"/>
    </x:row>
    <x:row r="1853">
      <x:c r="H1853" s="300"/>
      <x:c r="I1853" s="300"/>
      <x:c r="J1853" s="300"/>
      <x:c r="K1853" s="300"/>
      <x:c r="L1853" s="300"/>
      <x:c r="M1853" s="300"/>
    </x:row>
    <x:row r="1854">
      <x:c r="H1854" s="300"/>
      <x:c r="I1854" s="300"/>
      <x:c r="J1854" s="300"/>
      <x:c r="K1854" s="300"/>
      <x:c r="L1854" s="300"/>
      <x:c r="M1854" s="300"/>
    </x:row>
    <x:row r="1855">
      <x:c r="H1855" s="300"/>
      <x:c r="I1855" s="300"/>
      <x:c r="J1855" s="300"/>
      <x:c r="K1855" s="300"/>
      <x:c r="L1855" s="300"/>
      <x:c r="M1855" s="300"/>
    </x:row>
    <x:row r="1856">
      <x:c r="H1856" s="300"/>
      <x:c r="I1856" s="300"/>
      <x:c r="J1856" s="300"/>
      <x:c r="K1856" s="300"/>
      <x:c r="L1856" s="300"/>
      <x:c r="M1856" s="300"/>
    </x:row>
    <x:row r="1857">
      <x:c r="H1857" s="300"/>
      <x:c r="I1857" s="300"/>
      <x:c r="J1857" s="300"/>
      <x:c r="K1857" s="300"/>
      <x:c r="L1857" s="300"/>
      <x:c r="M1857" s="300"/>
    </x:row>
    <x:row r="1858">
      <x:c r="H1858" s="300"/>
      <x:c r="I1858" s="300"/>
      <x:c r="J1858" s="300"/>
      <x:c r="K1858" s="300"/>
      <x:c r="L1858" s="300"/>
      <x:c r="M1858" s="300"/>
    </x:row>
    <x:row r="1859">
      <x:c r="H1859" s="300"/>
      <x:c r="I1859" s="300"/>
      <x:c r="J1859" s="300"/>
      <x:c r="K1859" s="300"/>
      <x:c r="L1859" s="300"/>
      <x:c r="M1859" s="300"/>
    </x:row>
    <x:row r="1860">
      <x:c r="H1860" s="300"/>
      <x:c r="I1860" s="300"/>
      <x:c r="J1860" s="300"/>
      <x:c r="K1860" s="300"/>
      <x:c r="L1860" s="300"/>
      <x:c r="M1860" s="300"/>
    </x:row>
    <x:row r="1861">
      <x:c r="H1861" s="300"/>
      <x:c r="I1861" s="300"/>
      <x:c r="J1861" s="300"/>
      <x:c r="K1861" s="300"/>
      <x:c r="L1861" s="300"/>
      <x:c r="M1861" s="300"/>
    </x:row>
    <x:row r="1862">
      <x:c r="H1862" s="300"/>
      <x:c r="I1862" s="300"/>
      <x:c r="J1862" s="300"/>
      <x:c r="K1862" s="300"/>
      <x:c r="L1862" s="300"/>
      <x:c r="M1862" s="300"/>
    </x:row>
    <x:row r="1863">
      <x:c r="H1863" s="300"/>
      <x:c r="I1863" s="300"/>
      <x:c r="J1863" s="300"/>
      <x:c r="K1863" s="300"/>
      <x:c r="L1863" s="300"/>
      <x:c r="M1863" s="300"/>
    </x:row>
    <x:row r="1864">
      <x:c r="H1864" s="300"/>
      <x:c r="I1864" s="300"/>
      <x:c r="J1864" s="300"/>
      <x:c r="K1864" s="300"/>
      <x:c r="L1864" s="300"/>
      <x:c r="M1864" s="300"/>
    </x:row>
    <x:row r="1865">
      <x:c r="H1865" s="300"/>
      <x:c r="I1865" s="300"/>
      <x:c r="J1865" s="300"/>
      <x:c r="K1865" s="300"/>
      <x:c r="L1865" s="300"/>
      <x:c r="M1865" s="300"/>
    </x:row>
    <x:row r="1866">
      <x:c r="H1866" s="300"/>
      <x:c r="I1866" s="300"/>
      <x:c r="J1866" s="300"/>
      <x:c r="K1866" s="300"/>
      <x:c r="L1866" s="300"/>
      <x:c r="M1866" s="300"/>
    </x:row>
    <x:row r="1867">
      <x:c r="H1867" s="300"/>
      <x:c r="I1867" s="300"/>
      <x:c r="J1867" s="300"/>
      <x:c r="K1867" s="300"/>
      <x:c r="L1867" s="300"/>
      <x:c r="M1867" s="300"/>
    </x:row>
    <x:row r="1868">
      <x:c r="H1868" s="300"/>
      <x:c r="I1868" s="300"/>
      <x:c r="J1868" s="300"/>
      <x:c r="K1868" s="300"/>
      <x:c r="L1868" s="300"/>
      <x:c r="M1868" s="300"/>
    </x:row>
    <x:row r="1869">
      <x:c r="H1869" s="300"/>
      <x:c r="I1869" s="300"/>
      <x:c r="J1869" s="300"/>
      <x:c r="K1869" s="300"/>
      <x:c r="L1869" s="300"/>
      <x:c r="M1869" s="300"/>
    </x:row>
    <x:row r="1870">
      <x:c r="H1870" s="300"/>
      <x:c r="I1870" s="300"/>
      <x:c r="J1870" s="300"/>
      <x:c r="K1870" s="300"/>
      <x:c r="L1870" s="300"/>
      <x:c r="M1870" s="300"/>
    </x:row>
    <x:row r="1871">
      <x:c r="H1871" s="300"/>
      <x:c r="I1871" s="300"/>
      <x:c r="J1871" s="300"/>
      <x:c r="K1871" s="300"/>
      <x:c r="L1871" s="300"/>
      <x:c r="M1871" s="300"/>
    </x:row>
    <x:row r="1872">
      <x:c r="H1872" s="300"/>
      <x:c r="I1872" s="300"/>
      <x:c r="J1872" s="300"/>
      <x:c r="K1872" s="300"/>
      <x:c r="L1872" s="300"/>
      <x:c r="M1872" s="300"/>
    </x:row>
    <x:row r="1873">
      <x:c r="H1873" s="300"/>
      <x:c r="I1873" s="300"/>
      <x:c r="J1873" s="300"/>
      <x:c r="K1873" s="300"/>
      <x:c r="L1873" s="300"/>
      <x:c r="M1873" s="300"/>
    </x:row>
    <x:row r="1874">
      <x:c r="H1874" s="300"/>
      <x:c r="I1874" s="300"/>
      <x:c r="J1874" s="300"/>
      <x:c r="K1874" s="300"/>
      <x:c r="L1874" s="300"/>
      <x:c r="M1874" s="300"/>
    </x:row>
    <x:row r="1875">
      <x:c r="H1875" s="300"/>
      <x:c r="I1875" s="300"/>
      <x:c r="J1875" s="300"/>
      <x:c r="K1875" s="300"/>
      <x:c r="L1875" s="300"/>
      <x:c r="M1875" s="300"/>
    </x:row>
    <x:row r="1876">
      <x:c r="H1876" s="300"/>
      <x:c r="I1876" s="300"/>
      <x:c r="J1876" s="300"/>
      <x:c r="K1876" s="300"/>
      <x:c r="L1876" s="300"/>
      <x:c r="M1876" s="300"/>
    </x:row>
    <x:row r="1877">
      <x:c r="H1877" s="300"/>
      <x:c r="I1877" s="300"/>
      <x:c r="J1877" s="300"/>
      <x:c r="K1877" s="300"/>
      <x:c r="L1877" s="300"/>
      <x:c r="M1877" s="300"/>
    </x:row>
    <x:row r="1878">
      <x:c r="H1878" s="300"/>
      <x:c r="I1878" s="300"/>
      <x:c r="J1878" s="300"/>
      <x:c r="K1878" s="300"/>
      <x:c r="L1878" s="300"/>
      <x:c r="M1878" s="300"/>
    </x:row>
    <x:row r="1879">
      <x:c r="H1879" s="300"/>
      <x:c r="I1879" s="300"/>
      <x:c r="J1879" s="300"/>
      <x:c r="K1879" s="300"/>
      <x:c r="L1879" s="300"/>
      <x:c r="M1879" s="300"/>
    </x:row>
    <x:row r="1880">
      <x:c r="H1880" s="300"/>
      <x:c r="I1880" s="300"/>
      <x:c r="J1880" s="300"/>
      <x:c r="K1880" s="300"/>
      <x:c r="L1880" s="300"/>
      <x:c r="M1880" s="300"/>
    </x:row>
    <x:row r="1881">
      <x:c r="H1881" s="300"/>
      <x:c r="I1881" s="300"/>
      <x:c r="J1881" s="300"/>
      <x:c r="K1881" s="300"/>
      <x:c r="L1881" s="300"/>
      <x:c r="M1881" s="300"/>
    </x:row>
    <x:row r="1882">
      <x:c r="H1882" s="300"/>
      <x:c r="I1882" s="300"/>
      <x:c r="J1882" s="300"/>
      <x:c r="K1882" s="300"/>
      <x:c r="L1882" s="300"/>
      <x:c r="M1882" s="300"/>
    </x:row>
    <x:row r="1883">
      <x:c r="H1883" s="300"/>
      <x:c r="I1883" s="300"/>
      <x:c r="J1883" s="300"/>
      <x:c r="K1883" s="300"/>
      <x:c r="L1883" s="300"/>
      <x:c r="M1883" s="300"/>
    </x:row>
    <x:row r="1884">
      <x:c r="H1884" s="300"/>
      <x:c r="I1884" s="300"/>
      <x:c r="J1884" s="300"/>
      <x:c r="K1884" s="300"/>
      <x:c r="L1884" s="300"/>
      <x:c r="M1884" s="300"/>
    </x:row>
    <x:row r="1885">
      <x:c r="H1885" s="300"/>
      <x:c r="I1885" s="300"/>
      <x:c r="J1885" s="300"/>
      <x:c r="K1885" s="300"/>
      <x:c r="L1885" s="300"/>
      <x:c r="M1885" s="300"/>
    </x:row>
    <x:row r="1886">
      <x:c r="H1886" s="300"/>
      <x:c r="I1886" s="300"/>
      <x:c r="J1886" s="300"/>
      <x:c r="K1886" s="300"/>
      <x:c r="L1886" s="300"/>
      <x:c r="M1886" s="300"/>
    </x:row>
    <x:row r="1887">
      <x:c r="H1887" s="300"/>
      <x:c r="I1887" s="300"/>
      <x:c r="J1887" s="300"/>
      <x:c r="K1887" s="300"/>
      <x:c r="L1887" s="300"/>
      <x:c r="M1887" s="300"/>
    </x:row>
    <x:row r="1888">
      <x:c r="H1888" s="300"/>
      <x:c r="I1888" s="300"/>
      <x:c r="J1888" s="300"/>
      <x:c r="K1888" s="300"/>
      <x:c r="L1888" s="300"/>
      <x:c r="M1888" s="300"/>
    </x:row>
    <x:row r="1889">
      <x:c r="H1889" s="300"/>
      <x:c r="I1889" s="300"/>
      <x:c r="J1889" s="300"/>
      <x:c r="K1889" s="300"/>
      <x:c r="L1889" s="300"/>
      <x:c r="M1889" s="300"/>
    </x:row>
    <x:row r="1890">
      <x:c r="H1890" s="300"/>
      <x:c r="I1890" s="300"/>
      <x:c r="J1890" s="300"/>
      <x:c r="K1890" s="300"/>
      <x:c r="L1890" s="300"/>
      <x:c r="M1890" s="300"/>
    </x:row>
    <x:row r="1891">
      <x:c r="H1891" s="300"/>
      <x:c r="I1891" s="300"/>
      <x:c r="J1891" s="300"/>
      <x:c r="K1891" s="300"/>
      <x:c r="L1891" s="300"/>
      <x:c r="M1891" s="300"/>
    </x:row>
    <x:row r="1892">
      <x:c r="H1892" s="300"/>
      <x:c r="I1892" s="300"/>
      <x:c r="J1892" s="300"/>
      <x:c r="K1892" s="300"/>
      <x:c r="L1892" s="300"/>
      <x:c r="M1892" s="300"/>
    </x:row>
    <x:row r="1893">
      <x:c r="H1893" s="300"/>
      <x:c r="I1893" s="300"/>
      <x:c r="J1893" s="300"/>
      <x:c r="K1893" s="300"/>
      <x:c r="L1893" s="300"/>
      <x:c r="M1893" s="300"/>
    </x:row>
    <x:row r="1894">
      <x:c r="H1894" s="300"/>
      <x:c r="I1894" s="300"/>
      <x:c r="J1894" s="300"/>
      <x:c r="K1894" s="300"/>
      <x:c r="L1894" s="300"/>
      <x:c r="M1894" s="300"/>
    </x:row>
    <x:row r="1895">
      <x:c r="H1895" s="300"/>
      <x:c r="I1895" s="300"/>
      <x:c r="J1895" s="300"/>
      <x:c r="K1895" s="300"/>
      <x:c r="L1895" s="300"/>
      <x:c r="M1895" s="300"/>
    </x:row>
    <x:row r="1896">
      <x:c r="H1896" s="300"/>
      <x:c r="I1896" s="300"/>
      <x:c r="J1896" s="300"/>
      <x:c r="K1896" s="300"/>
      <x:c r="L1896" s="300"/>
      <x:c r="M1896" s="300"/>
    </x:row>
    <x:row r="1897">
      <x:c r="H1897" s="300"/>
      <x:c r="I1897" s="300"/>
      <x:c r="J1897" s="300"/>
      <x:c r="K1897" s="300"/>
      <x:c r="L1897" s="300"/>
      <x:c r="M1897" s="300"/>
    </x:row>
    <x:row r="1898">
      <x:c r="H1898" s="300"/>
      <x:c r="I1898" s="300"/>
      <x:c r="J1898" s="300"/>
      <x:c r="K1898" s="300"/>
      <x:c r="L1898" s="300"/>
      <x:c r="M1898" s="300"/>
    </x:row>
    <x:row r="1899">
      <x:c r="H1899" s="300"/>
      <x:c r="I1899" s="300"/>
      <x:c r="J1899" s="300"/>
      <x:c r="K1899" s="300"/>
      <x:c r="L1899" s="300"/>
      <x:c r="M1899" s="300"/>
    </x:row>
    <x:row r="1900">
      <x:c r="H1900" s="300"/>
      <x:c r="I1900" s="300"/>
      <x:c r="J1900" s="300"/>
      <x:c r="K1900" s="300"/>
      <x:c r="L1900" s="300"/>
      <x:c r="M1900" s="300"/>
    </x:row>
    <x:row r="1901">
      <x:c r="H1901" s="300"/>
      <x:c r="I1901" s="300"/>
      <x:c r="J1901" s="300"/>
      <x:c r="K1901" s="300"/>
      <x:c r="L1901" s="300"/>
      <x:c r="M1901" s="300"/>
    </x:row>
    <x:row r="1902">
      <x:c r="H1902" s="300"/>
      <x:c r="I1902" s="300"/>
      <x:c r="J1902" s="300"/>
      <x:c r="K1902" s="300"/>
      <x:c r="L1902" s="300"/>
      <x:c r="M1902" s="300"/>
    </x:row>
    <x:row r="1903">
      <x:c r="H1903" s="300"/>
      <x:c r="I1903" s="300"/>
      <x:c r="J1903" s="300"/>
      <x:c r="K1903" s="300"/>
      <x:c r="L1903" s="300"/>
      <x:c r="M1903" s="300"/>
    </x:row>
    <x:row r="1904">
      <x:c r="H1904" s="300"/>
      <x:c r="I1904" s="300"/>
      <x:c r="J1904" s="300"/>
      <x:c r="K1904" s="300"/>
      <x:c r="L1904" s="300"/>
      <x:c r="M1904" s="300"/>
    </x:row>
    <x:row r="1905">
      <x:c r="H1905" s="300"/>
      <x:c r="I1905" s="300"/>
      <x:c r="J1905" s="300"/>
      <x:c r="K1905" s="300"/>
      <x:c r="L1905" s="300"/>
      <x:c r="M1905" s="300"/>
    </x:row>
    <x:row r="1906">
      <x:c r="H1906" s="300"/>
      <x:c r="I1906" s="300"/>
      <x:c r="J1906" s="300"/>
      <x:c r="K1906" s="300"/>
      <x:c r="L1906" s="300"/>
      <x:c r="M1906" s="300"/>
    </x:row>
    <x:row r="1907">
      <x:c r="H1907" s="300"/>
      <x:c r="I1907" s="300"/>
      <x:c r="J1907" s="300"/>
      <x:c r="K1907" s="300"/>
      <x:c r="L1907" s="300"/>
      <x:c r="M1907" s="300"/>
    </x:row>
    <x:row r="1908">
      <x:c r="H1908" s="300"/>
      <x:c r="I1908" s="300"/>
      <x:c r="J1908" s="300"/>
      <x:c r="K1908" s="300"/>
      <x:c r="L1908" s="300"/>
      <x:c r="M1908" s="300"/>
    </x:row>
    <x:row r="1909">
      <x:c r="H1909" s="300"/>
      <x:c r="I1909" s="300"/>
      <x:c r="J1909" s="300"/>
      <x:c r="K1909" s="300"/>
      <x:c r="L1909" s="300"/>
      <x:c r="M1909" s="300"/>
    </x:row>
    <x:row r="1910">
      <x:c r="H1910" s="300"/>
      <x:c r="I1910" s="300"/>
      <x:c r="J1910" s="300"/>
      <x:c r="K1910" s="300"/>
      <x:c r="L1910" s="300"/>
      <x:c r="M1910" s="300"/>
    </x:row>
    <x:row r="1911">
      <x:c r="H1911" s="300"/>
      <x:c r="I1911" s="300"/>
      <x:c r="J1911" s="300"/>
      <x:c r="K1911" s="300"/>
      <x:c r="L1911" s="300"/>
      <x:c r="M1911" s="300"/>
    </x:row>
    <x:row r="1912">
      <x:c r="H1912" s="300"/>
      <x:c r="I1912" s="300"/>
      <x:c r="J1912" s="300"/>
      <x:c r="K1912" s="300"/>
      <x:c r="L1912" s="300"/>
      <x:c r="M1912" s="300"/>
    </x:row>
    <x:row r="1913">
      <x:c r="H1913" s="300"/>
      <x:c r="I1913" s="300"/>
      <x:c r="J1913" s="300"/>
      <x:c r="K1913" s="300"/>
      <x:c r="L1913" s="300"/>
      <x:c r="M1913" s="300"/>
    </x:row>
    <x:row r="1914">
      <x:c r="H1914" s="300"/>
      <x:c r="I1914" s="300"/>
      <x:c r="J1914" s="300"/>
      <x:c r="K1914" s="300"/>
      <x:c r="L1914" s="300"/>
      <x:c r="M1914" s="300"/>
    </x:row>
    <x:row r="1915">
      <x:c r="H1915" s="300"/>
      <x:c r="I1915" s="300"/>
      <x:c r="J1915" s="300"/>
      <x:c r="K1915" s="300"/>
      <x:c r="L1915" s="300"/>
      <x:c r="M1915" s="300"/>
    </x:row>
    <x:row r="1916">
      <x:c r="H1916" s="300"/>
      <x:c r="I1916" s="300"/>
      <x:c r="J1916" s="300"/>
      <x:c r="K1916" s="300"/>
      <x:c r="L1916" s="300"/>
      <x:c r="M1916" s="300"/>
    </x:row>
    <x:row r="1917">
      <x:c r="H1917" s="300"/>
      <x:c r="I1917" s="300"/>
      <x:c r="J1917" s="300"/>
      <x:c r="K1917" s="300"/>
      <x:c r="L1917" s="300"/>
      <x:c r="M1917" s="300"/>
    </x:row>
    <x:row r="1918">
      <x:c r="H1918" s="300"/>
      <x:c r="I1918" s="300"/>
      <x:c r="J1918" s="300"/>
      <x:c r="K1918" s="300"/>
      <x:c r="L1918" s="300"/>
      <x:c r="M1918" s="300"/>
    </x:row>
    <x:row r="1919">
      <x:c r="H1919" s="300"/>
      <x:c r="I1919" s="300"/>
      <x:c r="J1919" s="300"/>
      <x:c r="K1919" s="300"/>
      <x:c r="L1919" s="300"/>
      <x:c r="M1919" s="300"/>
    </x:row>
    <x:row r="1920">
      <x:c r="H1920" s="300"/>
      <x:c r="I1920" s="300"/>
      <x:c r="J1920" s="300"/>
      <x:c r="K1920" s="300"/>
      <x:c r="L1920" s="300"/>
      <x:c r="M1920" s="300"/>
    </x:row>
    <x:row r="1921">
      <x:c r="H1921" s="300"/>
      <x:c r="I1921" s="300"/>
      <x:c r="J1921" s="300"/>
      <x:c r="K1921" s="300"/>
      <x:c r="L1921" s="300"/>
      <x:c r="M1921" s="300"/>
    </x:row>
    <x:row r="1922">
      <x:c r="H1922" s="300"/>
      <x:c r="I1922" s="300"/>
      <x:c r="J1922" s="300"/>
      <x:c r="K1922" s="300"/>
      <x:c r="L1922" s="300"/>
      <x:c r="M1922" s="300"/>
    </x:row>
    <x:row r="1923">
      <x:c r="H1923" s="300"/>
      <x:c r="I1923" s="300"/>
      <x:c r="J1923" s="300"/>
      <x:c r="K1923" s="300"/>
      <x:c r="L1923" s="300"/>
      <x:c r="M1923" s="300"/>
    </x:row>
    <x:row r="1924">
      <x:c r="H1924" s="300"/>
      <x:c r="I1924" s="300"/>
      <x:c r="J1924" s="300"/>
      <x:c r="K1924" s="300"/>
      <x:c r="L1924" s="300"/>
      <x:c r="M1924" s="300"/>
    </x:row>
    <x:row r="1925">
      <x:c r="H1925" s="300"/>
      <x:c r="I1925" s="300"/>
      <x:c r="J1925" s="300"/>
      <x:c r="K1925" s="300"/>
      <x:c r="L1925" s="300"/>
      <x:c r="M1925" s="300"/>
    </x:row>
    <x:row r="1926">
      <x:c r="H1926" s="300"/>
      <x:c r="I1926" s="300"/>
      <x:c r="J1926" s="300"/>
      <x:c r="K1926" s="300"/>
      <x:c r="L1926" s="300"/>
      <x:c r="M1926" s="300"/>
    </x:row>
    <x:row r="1927">
      <x:c r="H1927" s="300"/>
      <x:c r="I1927" s="300"/>
      <x:c r="J1927" s="300"/>
      <x:c r="K1927" s="300"/>
      <x:c r="L1927" s="300"/>
      <x:c r="M1927" s="300"/>
    </x:row>
    <x:row r="1928">
      <x:c r="H1928" s="300"/>
      <x:c r="I1928" s="300"/>
      <x:c r="J1928" s="300"/>
      <x:c r="K1928" s="300"/>
      <x:c r="L1928" s="300"/>
      <x:c r="M1928" s="300"/>
    </x:row>
    <x:row r="1929">
      <x:c r="H1929" s="300"/>
      <x:c r="I1929" s="300"/>
      <x:c r="J1929" s="300"/>
      <x:c r="K1929" s="300"/>
      <x:c r="L1929" s="300"/>
      <x:c r="M1929" s="300"/>
    </x:row>
    <x:row r="1930">
      <x:c r="H1930" s="300"/>
      <x:c r="I1930" s="300"/>
      <x:c r="J1930" s="300"/>
      <x:c r="K1930" s="300"/>
      <x:c r="L1930" s="300"/>
      <x:c r="M1930" s="300"/>
    </x:row>
    <x:row r="1931">
      <x:c r="H1931" s="300"/>
      <x:c r="I1931" s="300"/>
      <x:c r="J1931" s="300"/>
      <x:c r="K1931" s="300"/>
      <x:c r="L1931" s="300"/>
      <x:c r="M1931" s="300"/>
    </x:row>
    <x:row r="1932">
      <x:c r="H1932" s="300"/>
      <x:c r="I1932" s="300"/>
      <x:c r="J1932" s="300"/>
      <x:c r="K1932" s="300"/>
      <x:c r="L1932" s="300"/>
      <x:c r="M1932" s="300"/>
    </x:row>
    <x:row r="1933">
      <x:c r="H1933" s="300"/>
      <x:c r="I1933" s="300"/>
      <x:c r="J1933" s="300"/>
      <x:c r="K1933" s="300"/>
      <x:c r="L1933" s="300"/>
      <x:c r="M1933" s="300"/>
    </x:row>
    <x:row r="1934">
      <x:c r="H1934" s="300"/>
      <x:c r="I1934" s="300"/>
      <x:c r="J1934" s="300"/>
      <x:c r="K1934" s="300"/>
      <x:c r="L1934" s="300"/>
      <x:c r="M1934" s="300"/>
    </x:row>
    <x:row r="1935">
      <x:c r="H1935" s="300"/>
      <x:c r="I1935" s="300"/>
      <x:c r="J1935" s="300"/>
      <x:c r="K1935" s="300"/>
      <x:c r="L1935" s="300"/>
      <x:c r="M1935" s="300"/>
    </x:row>
    <x:row r="1936">
      <x:c r="H1936" s="300"/>
      <x:c r="I1936" s="300"/>
      <x:c r="J1936" s="300"/>
      <x:c r="K1936" s="300"/>
      <x:c r="L1936" s="300"/>
      <x:c r="M1936" s="300"/>
    </x:row>
    <x:row r="1937">
      <x:c r="H1937" s="300"/>
      <x:c r="I1937" s="300"/>
      <x:c r="J1937" s="300"/>
      <x:c r="K1937" s="300"/>
      <x:c r="L1937" s="300"/>
      <x:c r="M1937" s="300"/>
    </x:row>
    <x:row r="1938">
      <x:c r="H1938" s="300"/>
      <x:c r="I1938" s="300"/>
      <x:c r="J1938" s="300"/>
      <x:c r="K1938" s="300"/>
      <x:c r="L1938" s="300"/>
      <x:c r="M1938" s="300"/>
    </x:row>
    <x:row r="1939">
      <x:c r="H1939" s="300"/>
      <x:c r="I1939" s="300"/>
      <x:c r="J1939" s="300"/>
      <x:c r="K1939" s="300"/>
      <x:c r="L1939" s="300"/>
      <x:c r="M1939" s="300"/>
    </x:row>
    <x:row r="1940">
      <x:c r="H1940" s="300"/>
      <x:c r="I1940" s="300"/>
      <x:c r="J1940" s="300"/>
      <x:c r="K1940" s="300"/>
      <x:c r="L1940" s="300"/>
      <x:c r="M1940" s="300"/>
    </x:row>
    <x:row r="1941">
      <x:c r="H1941" s="300"/>
      <x:c r="I1941" s="300"/>
      <x:c r="J1941" s="300"/>
      <x:c r="K1941" s="300"/>
      <x:c r="L1941" s="300"/>
      <x:c r="M1941" s="300"/>
    </x:row>
    <x:row r="1942">
      <x:c r="H1942" s="300"/>
      <x:c r="I1942" s="300"/>
      <x:c r="J1942" s="300"/>
      <x:c r="K1942" s="300"/>
      <x:c r="L1942" s="300"/>
      <x:c r="M1942" s="300"/>
    </x:row>
    <x:row r="1943">
      <x:c r="H1943" s="300"/>
      <x:c r="I1943" s="300"/>
      <x:c r="J1943" s="300"/>
      <x:c r="K1943" s="300"/>
      <x:c r="L1943" s="300"/>
      <x:c r="M1943" s="300"/>
    </x:row>
    <x:row r="1944">
      <x:c r="H1944" s="300"/>
      <x:c r="I1944" s="300"/>
      <x:c r="J1944" s="300"/>
      <x:c r="K1944" s="300"/>
      <x:c r="L1944" s="300"/>
      <x:c r="M1944" s="300"/>
    </x:row>
    <x:row r="1945">
      <x:c r="H1945" s="300"/>
      <x:c r="I1945" s="300"/>
      <x:c r="J1945" s="300"/>
      <x:c r="K1945" s="300"/>
      <x:c r="L1945" s="300"/>
      <x:c r="M1945" s="300"/>
    </x:row>
    <x:row r="1946">
      <x:c r="H1946" s="300"/>
      <x:c r="I1946" s="300"/>
      <x:c r="J1946" s="300"/>
      <x:c r="K1946" s="300"/>
      <x:c r="L1946" s="300"/>
      <x:c r="M1946" s="300"/>
    </x:row>
    <x:row r="1947">
      <x:c r="H1947" s="300"/>
      <x:c r="I1947" s="300"/>
      <x:c r="J1947" s="300"/>
      <x:c r="K1947" s="300"/>
      <x:c r="L1947" s="300"/>
      <x:c r="M1947" s="300"/>
    </x:row>
    <x:row r="1948">
      <x:c r="H1948" s="300"/>
      <x:c r="I1948" s="300"/>
      <x:c r="J1948" s="300"/>
      <x:c r="K1948" s="300"/>
      <x:c r="L1948" s="300"/>
      <x:c r="M1948" s="300"/>
    </x:row>
    <x:row r="1949">
      <x:c r="H1949" s="300"/>
      <x:c r="I1949" s="300"/>
      <x:c r="J1949" s="300"/>
      <x:c r="K1949" s="300"/>
      <x:c r="L1949" s="300"/>
      <x:c r="M1949" s="300"/>
    </x:row>
    <x:row r="1950">
      <x:c r="H1950" s="300"/>
      <x:c r="I1950" s="300"/>
      <x:c r="J1950" s="300"/>
      <x:c r="K1950" s="300"/>
      <x:c r="L1950" s="300"/>
      <x:c r="M1950" s="300"/>
    </x:row>
    <x:row r="1951">
      <x:c r="H1951" s="300"/>
      <x:c r="I1951" s="300"/>
      <x:c r="J1951" s="300"/>
      <x:c r="K1951" s="300"/>
      <x:c r="L1951" s="300"/>
      <x:c r="M1951" s="300"/>
    </x:row>
    <x:row r="1952">
      <x:c r="H1952" s="300"/>
      <x:c r="I1952" s="300"/>
      <x:c r="J1952" s="300"/>
      <x:c r="K1952" s="300"/>
      <x:c r="L1952" s="300"/>
      <x:c r="M1952" s="300"/>
    </x:row>
    <x:row r="1953">
      <x:c r="H1953" s="300"/>
      <x:c r="I1953" s="300"/>
      <x:c r="J1953" s="300"/>
      <x:c r="K1953" s="300"/>
      <x:c r="L1953" s="300"/>
      <x:c r="M1953" s="300"/>
    </x:row>
    <x:row r="1954">
      <x:c r="H1954" s="300"/>
      <x:c r="I1954" s="300"/>
      <x:c r="J1954" s="300"/>
      <x:c r="K1954" s="300"/>
      <x:c r="L1954" s="300"/>
      <x:c r="M1954" s="300"/>
    </x:row>
    <x:row r="1955">
      <x:c r="H1955" s="300"/>
      <x:c r="I1955" s="300"/>
      <x:c r="J1955" s="300"/>
      <x:c r="K1955" s="300"/>
      <x:c r="L1955" s="300"/>
      <x:c r="M1955" s="300"/>
    </x:row>
    <x:row r="1956">
      <x:c r="H1956" s="300"/>
      <x:c r="I1956" s="300"/>
      <x:c r="J1956" s="300"/>
      <x:c r="K1956" s="300"/>
      <x:c r="L1956" s="300"/>
      <x:c r="M1956" s="300"/>
    </x:row>
    <x:row r="1957">
      <x:c r="H1957" s="300"/>
      <x:c r="I1957" s="300"/>
      <x:c r="J1957" s="300"/>
      <x:c r="K1957" s="300"/>
      <x:c r="L1957" s="300"/>
      <x:c r="M1957" s="300"/>
    </x:row>
    <x:row r="1958">
      <x:c r="H1958" s="300"/>
      <x:c r="I1958" s="300"/>
      <x:c r="J1958" s="300"/>
      <x:c r="K1958" s="300"/>
      <x:c r="L1958" s="300"/>
      <x:c r="M1958" s="300"/>
    </x:row>
    <x:row r="1959">
      <x:c r="H1959" s="300"/>
      <x:c r="I1959" s="300"/>
      <x:c r="J1959" s="300"/>
      <x:c r="K1959" s="300"/>
      <x:c r="L1959" s="300"/>
      <x:c r="M1959" s="300"/>
    </x:row>
    <x:row r="1960">
      <x:c r="H1960" s="300"/>
      <x:c r="I1960" s="300"/>
      <x:c r="J1960" s="300"/>
      <x:c r="K1960" s="300"/>
      <x:c r="L1960" s="300"/>
      <x:c r="M1960" s="300"/>
    </x:row>
    <x:row r="1961">
      <x:c r="H1961" s="300"/>
      <x:c r="I1961" s="300"/>
      <x:c r="J1961" s="300"/>
      <x:c r="K1961" s="300"/>
      <x:c r="L1961" s="300"/>
      <x:c r="M1961" s="300"/>
    </x:row>
    <x:row r="1962">
      <x:c r="H1962" s="300"/>
      <x:c r="I1962" s="300"/>
      <x:c r="J1962" s="300"/>
      <x:c r="K1962" s="300"/>
      <x:c r="L1962" s="300"/>
      <x:c r="M1962" s="300"/>
    </x:row>
    <x:row r="1963">
      <x:c r="H1963" s="300"/>
      <x:c r="I1963" s="300"/>
      <x:c r="J1963" s="300"/>
      <x:c r="K1963" s="300"/>
      <x:c r="L1963" s="300"/>
      <x:c r="M1963" s="300"/>
    </x:row>
    <x:row r="1964">
      <x:c r="H1964" s="300"/>
      <x:c r="I1964" s="300"/>
      <x:c r="J1964" s="300"/>
      <x:c r="K1964" s="300"/>
      <x:c r="L1964" s="300"/>
      <x:c r="M1964" s="300"/>
    </x:row>
    <x:row r="1965">
      <x:c r="H1965" s="300"/>
      <x:c r="I1965" s="300"/>
      <x:c r="J1965" s="300"/>
      <x:c r="K1965" s="300"/>
      <x:c r="L1965" s="300"/>
      <x:c r="M1965" s="300"/>
    </x:row>
    <x:row r="1966">
      <x:c r="H1966" s="300"/>
      <x:c r="I1966" s="300"/>
      <x:c r="J1966" s="300"/>
      <x:c r="K1966" s="300"/>
      <x:c r="L1966" s="300"/>
      <x:c r="M1966" s="300"/>
    </x:row>
    <x:row r="1967">
      <x:c r="H1967" s="300"/>
      <x:c r="I1967" s="300"/>
      <x:c r="J1967" s="300"/>
      <x:c r="K1967" s="300"/>
      <x:c r="L1967" s="300"/>
      <x:c r="M1967" s="300"/>
    </x:row>
    <x:row r="1968">
      <x:c r="H1968" s="300"/>
      <x:c r="I1968" s="300"/>
      <x:c r="J1968" s="300"/>
      <x:c r="K1968" s="300"/>
      <x:c r="L1968" s="300"/>
      <x:c r="M1968" s="300"/>
    </x:row>
    <x:row r="1969">
      <x:c r="H1969" s="300"/>
      <x:c r="I1969" s="300"/>
      <x:c r="J1969" s="300"/>
      <x:c r="K1969" s="300"/>
      <x:c r="L1969" s="300"/>
      <x:c r="M1969" s="300"/>
    </x:row>
    <x:row r="1970">
      <x:c r="H1970" s="300"/>
      <x:c r="I1970" s="300"/>
      <x:c r="J1970" s="300"/>
      <x:c r="K1970" s="300"/>
      <x:c r="L1970" s="300"/>
      <x:c r="M1970" s="300"/>
    </x:row>
    <x:row r="1971">
      <x:c r="H1971" s="300"/>
      <x:c r="I1971" s="300"/>
      <x:c r="J1971" s="300"/>
      <x:c r="K1971" s="300"/>
      <x:c r="L1971" s="300"/>
      <x:c r="M1971" s="300"/>
    </x:row>
    <x:row r="1972">
      <x:c r="H1972" s="300"/>
      <x:c r="I1972" s="300"/>
      <x:c r="J1972" s="300"/>
      <x:c r="K1972" s="300"/>
      <x:c r="L1972" s="300"/>
      <x:c r="M1972" s="300"/>
    </x:row>
    <x:row r="1973">
      <x:c r="H1973" s="300"/>
      <x:c r="I1973" s="300"/>
      <x:c r="J1973" s="300"/>
      <x:c r="K1973" s="300"/>
      <x:c r="L1973" s="300"/>
      <x:c r="M1973" s="300"/>
    </x:row>
    <x:row r="1974">
      <x:c r="H1974" s="300"/>
      <x:c r="I1974" s="300"/>
      <x:c r="J1974" s="300"/>
      <x:c r="K1974" s="300"/>
      <x:c r="L1974" s="300"/>
      <x:c r="M1974" s="300"/>
    </x:row>
    <x:row r="1975">
      <x:c r="H1975" s="300"/>
      <x:c r="I1975" s="300"/>
      <x:c r="J1975" s="300"/>
      <x:c r="K1975" s="300"/>
      <x:c r="L1975" s="300"/>
      <x:c r="M1975" s="300"/>
    </x:row>
    <x:row r="1976">
      <x:c r="H1976" s="300"/>
      <x:c r="I1976" s="300"/>
      <x:c r="J1976" s="300"/>
      <x:c r="K1976" s="300"/>
      <x:c r="L1976" s="300"/>
      <x:c r="M1976" s="300"/>
    </x:row>
    <x:row r="1977">
      <x:c r="H1977" s="300"/>
      <x:c r="I1977" s="300"/>
      <x:c r="J1977" s="300"/>
      <x:c r="K1977" s="300"/>
      <x:c r="L1977" s="300"/>
      <x:c r="M1977" s="300"/>
    </x:row>
    <x:row r="1978">
      <x:c r="H1978" s="300"/>
      <x:c r="I1978" s="300"/>
      <x:c r="J1978" s="300"/>
      <x:c r="K1978" s="300"/>
      <x:c r="L1978" s="300"/>
      <x:c r="M1978" s="300"/>
    </x:row>
    <x:row r="1979">
      <x:c r="H1979" s="300"/>
      <x:c r="I1979" s="300"/>
      <x:c r="J1979" s="300"/>
      <x:c r="K1979" s="300"/>
      <x:c r="L1979" s="300"/>
      <x:c r="M1979" s="300"/>
    </x:row>
    <x:row r="1980">
      <x:c r="H1980" s="300"/>
      <x:c r="I1980" s="300"/>
      <x:c r="J1980" s="300"/>
      <x:c r="K1980" s="300"/>
      <x:c r="L1980" s="300"/>
      <x:c r="M1980" s="300"/>
    </x:row>
    <x:row r="1981">
      <x:c r="H1981" s="300"/>
      <x:c r="I1981" s="300"/>
      <x:c r="J1981" s="300"/>
      <x:c r="K1981" s="300"/>
      <x:c r="L1981" s="300"/>
      <x:c r="M1981" s="300"/>
    </x:row>
    <x:row r="1982">
      <x:c r="H1982" s="300"/>
      <x:c r="I1982" s="300"/>
      <x:c r="J1982" s="300"/>
      <x:c r="K1982" s="300"/>
      <x:c r="L1982" s="300"/>
      <x:c r="M1982" s="300"/>
    </x:row>
    <x:row r="1983">
      <x:c r="H1983" s="300"/>
      <x:c r="I1983" s="300"/>
      <x:c r="J1983" s="300"/>
      <x:c r="K1983" s="300"/>
      <x:c r="L1983" s="300"/>
      <x:c r="M1983" s="300"/>
    </x:row>
    <x:row r="1984">
      <x:c r="H1984" s="300"/>
      <x:c r="I1984" s="300"/>
      <x:c r="J1984" s="300"/>
      <x:c r="K1984" s="300"/>
      <x:c r="L1984" s="300"/>
      <x:c r="M1984" s="300"/>
    </x:row>
    <x:row r="1985">
      <x:c r="H1985" s="300"/>
      <x:c r="I1985" s="300"/>
      <x:c r="J1985" s="300"/>
      <x:c r="K1985" s="300"/>
      <x:c r="L1985" s="300"/>
      <x:c r="M1985" s="300"/>
    </x:row>
    <x:row r="1986">
      <x:c r="H1986" s="300"/>
      <x:c r="I1986" s="300"/>
      <x:c r="J1986" s="300"/>
      <x:c r="K1986" s="300"/>
      <x:c r="L1986" s="300"/>
      <x:c r="M1986" s="300"/>
    </x:row>
    <x:row r="1987">
      <x:c r="H1987" s="300"/>
      <x:c r="I1987" s="300"/>
      <x:c r="J1987" s="300"/>
      <x:c r="K1987" s="300"/>
      <x:c r="L1987" s="300"/>
      <x:c r="M1987" s="300"/>
    </x:row>
    <x:row r="1988">
      <x:c r="H1988" s="300"/>
      <x:c r="I1988" s="300"/>
      <x:c r="J1988" s="300"/>
      <x:c r="K1988" s="300"/>
      <x:c r="L1988" s="300"/>
      <x:c r="M1988" s="300"/>
    </x:row>
    <x:row r="1989">
      <x:c r="H1989" s="300"/>
      <x:c r="I1989" s="300"/>
      <x:c r="J1989" s="300"/>
      <x:c r="K1989" s="300"/>
      <x:c r="L1989" s="300"/>
      <x:c r="M1989" s="300"/>
    </x:row>
    <x:row r="1990">
      <x:c r="H1990" s="300"/>
      <x:c r="I1990" s="300"/>
      <x:c r="J1990" s="300"/>
      <x:c r="K1990" s="300"/>
      <x:c r="L1990" s="300"/>
      <x:c r="M1990" s="300"/>
    </x:row>
    <x:row r="1991">
      <x:c r="H1991" s="300"/>
      <x:c r="I1991" s="300"/>
      <x:c r="J1991" s="300"/>
      <x:c r="K1991" s="300"/>
      <x:c r="L1991" s="300"/>
      <x:c r="M1991" s="300"/>
    </x:row>
    <x:row r="1992">
      <x:c r="H1992" s="300"/>
      <x:c r="I1992" s="300"/>
      <x:c r="J1992" s="300"/>
      <x:c r="K1992" s="300"/>
      <x:c r="L1992" s="300"/>
      <x:c r="M1992" s="300"/>
    </x:row>
    <x:row r="1993">
      <x:c r="H1993" s="300"/>
      <x:c r="I1993" s="300"/>
      <x:c r="J1993" s="300"/>
      <x:c r="K1993" s="300"/>
      <x:c r="L1993" s="300"/>
      <x:c r="M1993" s="300"/>
    </x:row>
    <x:row r="1994">
      <x:c r="H1994" s="300"/>
      <x:c r="I1994" s="300"/>
      <x:c r="J1994" s="300"/>
      <x:c r="K1994" s="300"/>
      <x:c r="L1994" s="300"/>
      <x:c r="M1994" s="300"/>
    </x:row>
    <x:row r="1995">
      <x:c r="H1995" s="300"/>
      <x:c r="I1995" s="300"/>
      <x:c r="J1995" s="300"/>
      <x:c r="K1995" s="300"/>
      <x:c r="L1995" s="300"/>
      <x:c r="M1995" s="300"/>
    </x:row>
    <x:row r="1996">
      <x:c r="H1996" s="300"/>
      <x:c r="I1996" s="300"/>
      <x:c r="J1996" s="300"/>
      <x:c r="K1996" s="300"/>
      <x:c r="L1996" s="300"/>
      <x:c r="M1996" s="300"/>
    </x:row>
    <x:row r="1997">
      <x:c r="H1997" s="300"/>
      <x:c r="I1997" s="300"/>
      <x:c r="J1997" s="300"/>
      <x:c r="K1997" s="300"/>
      <x:c r="L1997" s="300"/>
      <x:c r="M1997" s="300"/>
    </x:row>
    <x:row r="1998">
      <x:c r="H1998" s="300"/>
      <x:c r="I1998" s="300"/>
      <x:c r="J1998" s="300"/>
      <x:c r="K1998" s="300"/>
      <x:c r="L1998" s="300"/>
      <x:c r="M1998" s="300"/>
    </x:row>
    <x:row r="1999">
      <x:c r="H1999" s="300"/>
      <x:c r="I1999" s="300"/>
      <x:c r="J1999" s="300"/>
      <x:c r="K1999" s="300"/>
      <x:c r="L1999" s="300"/>
      <x:c r="M1999" s="300"/>
    </x:row>
    <x:row r="2000">
      <x:c r="H2000" s="300"/>
      <x:c r="I2000" s="300"/>
      <x:c r="J2000" s="300"/>
      <x:c r="K2000" s="300"/>
      <x:c r="L2000" s="300"/>
      <x:c r="M2000" s="300"/>
    </x:row>
  </x:sheetData>
  <x:dataValidations count="2">
    <x:dataValidation type="list" sqref="R2:R2000">
      <x:formula1>"Да,Нет"</x:formula1>
    </x:dataValidation>
    <x:dataValidation type="list" sqref="T2:T2000">
      <x:formula1>"ОЖИДАЕТ,ПОДТВЕРЖДЕНО,ОТКЛОНЕНО"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d4a1808c7541e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26" hidden="0" customWidth="1"/>
    <x:col min="4" max="4" width="11" hidden="0" customWidth="1"/>
    <x:col min="5" max="5" width="38" hidden="0" customWidth="1"/>
    <x:col min="6" max="6" width="16" hidden="0" customWidth="1"/>
    <x:col min="7" max="7" width="24" hidden="0" customWidth="1"/>
    <x:col min="8" max="8" width="12" hidden="0" customWidth="1"/>
    <x:col min="9" max="9" width="24" hidden="0" customWidth="1"/>
    <x:col min="10" max="10" width="18" hidden="0" customWidth="1"/>
    <x:col min="11" max="11" width="14" hidden="0" customWidth="1"/>
    <x:col min="12" max="12" width="20" hidden="0" customWidth="1"/>
    <x:col min="13" max="13" width="10" hidden="0" customWidth="1"/>
    <x:col min="14" max="14" width="10" hidden="0" customWidth="1"/>
    <x:col min="15" max="15" width="16" hidden="0" customWidth="1"/>
    <x:col min="16" max="16" width="28" hidden="0" customWidth="1"/>
    <x:col min="17" max="17" width="22" hidden="0" customWidth="1"/>
    <x:col min="18" max="18" width="22" hidden="0" customWidth="1"/>
    <x:col min="19" max="19" width="22" hidden="0" customWidth="1"/>
    <x:col min="20" max="20" width="28" hidden="0" customWidth="1"/>
    <x:col min="21" max="21" width="26" hidden="0" customWidth="1"/>
    <x:col min="22" max="22" width="58" hidden="0" customWidth="1"/>
  </x:cols>
  <x:sheetData>
    <x:row r="1">
      <x:c r="A1" s="38" t="str">
        <x:v>ID проблемы</x:v>
      </x:c>
      <x:c r="B1" s="38" t="str">
        <x:v>Период</x:v>
      </x:c>
      <x:c r="C1" s="38" t="str">
        <x:v>Организация ERP</x:v>
      </x:c>
      <x:c r="D1" s="38" t="str">
        <x:v>Код строки</x:v>
      </x:c>
      <x:c r="E1" s="38" t="str">
        <x:v>Строка/статья ERP</x:v>
      </x:c>
      <x:c r="F1" s="38" t="str">
        <x:v>ERP сумма строки</x:v>
      </x:c>
      <x:c r="G1" s="38" t="str">
        <x:v>Файл-источник</x:v>
      </x:c>
      <x:c r="H1" s="38" t="str">
        <x:v>Строка файла</x:v>
      </x:c>
      <x:c r="I1" s="38" t="str">
        <x:v>Вид документа ERP</x:v>
      </x:c>
      <x:c r="J1" s="38" t="str">
        <x:v>Номер документа</x:v>
      </x:c>
      <x:c r="K1" s="38" t="str">
        <x:v>Дата документа</x:v>
      </x:c>
      <x:c r="L1" s="38" t="str">
        <x:v>Номер проводки/строки</x:v>
      </x:c>
      <x:c r="M1" s="38" t="str">
        <x:v>Дт</x:v>
      </x:c>
      <x:c r="N1" s="38" t="str">
        <x:v>Кт</x:v>
      </x:c>
      <x:c r="O1" s="38" t="str">
        <x:v>Сумма проводки</x:v>
      </x:c>
      <x:c r="P1" s="38" t="str">
        <x:v>Статья ERP</x:v>
      </x:c>
      <x:c r="Q1" s="38" t="str">
        <x:v>ЦФО</x:v>
      </x:c>
      <x:c r="R1" s="38" t="str">
        <x:v>Контрагент</x:v>
      </x:c>
      <x:c r="S1" s="38" t="str">
        <x:v>Договор</x:v>
      </x:c>
      <x:c r="T1" s="38" t="str">
        <x:v>Прочая аналитика</x:v>
      </x:c>
      <x:c r="U1" s="38" t="str">
        <x:v>Статус детализации</x:v>
      </x:c>
      <x:c r="V1" s="38" t="str">
        <x:v>Что проверить</x:v>
      </x:c>
    </x:row>
    <x:row r="2">
      <x:c r="A2" s="154" t="str"/>
      <x:c r="B2" s="154" t="str"/>
      <x:c r="C2" s="154" t="str"/>
      <x:c r="D2" s="154" t="str"/>
      <x:c r="E2" s="154" t="str"/>
      <x:c r="F2" s="302" t="str"/>
      <x:c r="G2" s="154" t="str"/>
      <x:c r="H2" s="154" t="str"/>
      <x:c r="I2" s="154" t="str"/>
      <x:c r="J2" s="154" t="str"/>
      <x:c r="K2" s="154" t="str"/>
      <x:c r="L2" s="154" t="str"/>
      <x:c r="M2" s="154" t="str"/>
      <x:c r="N2" s="154" t="str"/>
      <x:c r="O2" s="302" t="str"/>
      <x:c r="P2" s="154" t="str"/>
      <x:c r="Q2" s="154" t="str"/>
      <x:c r="R2" s="154" t="str"/>
      <x:c r="S2" s="154" t="str"/>
      <x:c r="T2" s="154" t="str"/>
      <x:c r="U2" s="154" t="str"/>
      <x:c r="V2" s="154" t="str"/>
    </x:row>
    <x:row r="3">
      <x:c r="A3" s="154"/>
      <x:c r="B3" s="154"/>
      <x:c r="C3" s="154"/>
      <x:c r="D3" s="154"/>
      <x:c r="E3" s="154"/>
      <x:c r="F3" s="302"/>
      <x:c r="G3" s="154"/>
      <x:c r="H3" s="154"/>
      <x:c r="I3" s="154"/>
      <x:c r="J3" s="154"/>
      <x:c r="K3" s="154"/>
      <x:c r="L3" s="154"/>
      <x:c r="M3" s="154"/>
      <x:c r="N3" s="154"/>
      <x:c r="O3" s="302"/>
      <x:c r="P3" s="154"/>
      <x:c r="Q3" s="154"/>
      <x:c r="R3" s="154"/>
      <x:c r="S3" s="154"/>
      <x:c r="T3" s="154"/>
      <x:c r="U3" s="154"/>
      <x:c r="V3" s="154"/>
    </x:row>
    <x:row r="4">
      <x:c r="A4" s="154"/>
      <x:c r="B4" s="154"/>
      <x:c r="C4" s="154"/>
      <x:c r="D4" s="154"/>
      <x:c r="E4" s="154"/>
      <x:c r="F4" s="302"/>
      <x:c r="G4" s="154"/>
      <x:c r="H4" s="154"/>
      <x:c r="I4" s="154"/>
      <x:c r="J4" s="154"/>
      <x:c r="K4" s="154"/>
      <x:c r="L4" s="154"/>
      <x:c r="M4" s="154"/>
      <x:c r="N4" s="154"/>
      <x:c r="O4" s="302"/>
      <x:c r="P4" s="154"/>
      <x:c r="Q4" s="154"/>
      <x:c r="R4" s="154"/>
      <x:c r="S4" s="154"/>
      <x:c r="T4" s="154"/>
      <x:c r="U4" s="154"/>
      <x:c r="V4" s="154"/>
    </x:row>
    <x:row r="5">
      <x:c r="A5" s="154"/>
      <x:c r="B5" s="154"/>
      <x:c r="C5" s="154"/>
      <x:c r="D5" s="154"/>
      <x:c r="E5" s="154"/>
      <x:c r="F5" s="302"/>
      <x:c r="G5" s="154"/>
      <x:c r="H5" s="154"/>
      <x:c r="I5" s="154"/>
      <x:c r="J5" s="154"/>
      <x:c r="K5" s="154"/>
      <x:c r="L5" s="154"/>
      <x:c r="M5" s="154"/>
      <x:c r="N5" s="154"/>
      <x:c r="O5" s="302"/>
      <x:c r="P5" s="154"/>
      <x:c r="Q5" s="154"/>
      <x:c r="R5" s="154"/>
      <x:c r="S5" s="154"/>
      <x:c r="T5" s="154"/>
      <x:c r="U5" s="154"/>
      <x:c r="V5" s="154"/>
    </x:row>
    <x:row r="6">
      <x:c r="A6" s="154"/>
      <x:c r="B6" s="154"/>
      <x:c r="C6" s="154"/>
      <x:c r="D6" s="154"/>
      <x:c r="E6" s="154"/>
      <x:c r="F6" s="302"/>
      <x:c r="G6" s="154"/>
      <x:c r="H6" s="154"/>
      <x:c r="I6" s="154"/>
      <x:c r="J6" s="154"/>
      <x:c r="K6" s="154"/>
      <x:c r="L6" s="154"/>
      <x:c r="M6" s="154"/>
      <x:c r="N6" s="154"/>
      <x:c r="O6" s="302"/>
      <x:c r="P6" s="154"/>
      <x:c r="Q6" s="154"/>
      <x:c r="R6" s="154"/>
      <x:c r="S6" s="154"/>
      <x:c r="T6" s="154"/>
      <x:c r="U6" s="154"/>
      <x:c r="V6" s="154"/>
    </x:row>
    <x:row r="7">
      <x:c r="A7" s="154"/>
      <x:c r="B7" s="154"/>
      <x:c r="C7" s="154"/>
      <x:c r="D7" s="154"/>
      <x:c r="E7" s="154"/>
      <x:c r="F7" s="302"/>
      <x:c r="G7" s="154"/>
      <x:c r="H7" s="154"/>
      <x:c r="I7" s="154"/>
      <x:c r="J7" s="154"/>
      <x:c r="K7" s="154"/>
      <x:c r="L7" s="154"/>
      <x:c r="M7" s="154"/>
      <x:c r="N7" s="154"/>
      <x:c r="O7" s="302"/>
      <x:c r="P7" s="154"/>
      <x:c r="Q7" s="154"/>
      <x:c r="R7" s="154"/>
      <x:c r="S7" s="154"/>
      <x:c r="T7" s="154"/>
      <x:c r="U7" s="154"/>
      <x:c r="V7" s="154"/>
    </x:row>
    <x:row r="8">
      <x:c r="A8" s="154"/>
      <x:c r="B8" s="154"/>
      <x:c r="C8" s="154"/>
      <x:c r="D8" s="154"/>
      <x:c r="E8" s="154"/>
      <x:c r="F8" s="302"/>
      <x:c r="G8" s="154"/>
      <x:c r="H8" s="154"/>
      <x:c r="I8" s="154"/>
      <x:c r="J8" s="154"/>
      <x:c r="K8" s="154"/>
      <x:c r="L8" s="154"/>
      <x:c r="M8" s="154"/>
      <x:c r="N8" s="154"/>
      <x:c r="O8" s="302"/>
      <x:c r="P8" s="154"/>
      <x:c r="Q8" s="154"/>
      <x:c r="R8" s="154"/>
      <x:c r="S8" s="154"/>
      <x:c r="T8" s="154"/>
      <x:c r="U8" s="154"/>
      <x:c r="V8" s="154"/>
    </x:row>
    <x:row r="9">
      <x:c r="A9" s="154"/>
      <x:c r="B9" s="154"/>
      <x:c r="C9" s="154"/>
      <x:c r="D9" s="154"/>
      <x:c r="E9" s="154"/>
      <x:c r="F9" s="302"/>
      <x:c r="G9" s="154"/>
      <x:c r="H9" s="154"/>
      <x:c r="I9" s="154"/>
      <x:c r="J9" s="154"/>
      <x:c r="K9" s="154"/>
      <x:c r="L9" s="154"/>
      <x:c r="M9" s="154"/>
      <x:c r="N9" s="154"/>
      <x:c r="O9" s="302"/>
      <x:c r="P9" s="154"/>
      <x:c r="Q9" s="154"/>
      <x:c r="R9" s="154"/>
      <x:c r="S9" s="154"/>
      <x:c r="T9" s="154"/>
      <x:c r="U9" s="154"/>
      <x:c r="V9" s="154"/>
    </x:row>
    <x:row r="10">
      <x:c r="A10" s="154"/>
      <x:c r="B10" s="154"/>
      <x:c r="C10" s="154"/>
      <x:c r="D10" s="154"/>
      <x:c r="E10" s="154"/>
      <x:c r="F10" s="302"/>
      <x:c r="G10" s="154"/>
      <x:c r="H10" s="154"/>
      <x:c r="I10" s="154"/>
      <x:c r="J10" s="154"/>
      <x:c r="K10" s="154"/>
      <x:c r="L10" s="154"/>
      <x:c r="M10" s="154"/>
      <x:c r="N10" s="154"/>
      <x:c r="O10" s="302"/>
      <x:c r="P10" s="154"/>
      <x:c r="Q10" s="154"/>
      <x:c r="R10" s="154"/>
      <x:c r="S10" s="154"/>
      <x:c r="T10" s="154"/>
      <x:c r="U10" s="154"/>
      <x:c r="V10" s="154"/>
    </x:row>
    <x:row r="11">
      <x:c r="A11" s="154"/>
      <x:c r="B11" s="154"/>
      <x:c r="C11" s="154"/>
      <x:c r="D11" s="154"/>
      <x:c r="E11" s="154"/>
      <x:c r="F11" s="302"/>
      <x:c r="G11" s="154"/>
      <x:c r="H11" s="154"/>
      <x:c r="I11" s="154"/>
      <x:c r="J11" s="154"/>
      <x:c r="K11" s="154"/>
      <x:c r="L11" s="154"/>
      <x:c r="M11" s="154"/>
      <x:c r="N11" s="154"/>
      <x:c r="O11" s="302"/>
      <x:c r="P11" s="154"/>
      <x:c r="Q11" s="154"/>
      <x:c r="R11" s="154"/>
      <x:c r="S11" s="154"/>
      <x:c r="T11" s="154"/>
      <x:c r="U11" s="154"/>
      <x:c r="V11" s="154"/>
    </x:row>
    <x:row r="12">
      <x:c r="A12" s="154"/>
      <x:c r="B12" s="154"/>
      <x:c r="C12" s="154"/>
      <x:c r="D12" s="154"/>
      <x:c r="E12" s="154"/>
      <x:c r="F12" s="302"/>
      <x:c r="G12" s="154"/>
      <x:c r="H12" s="154"/>
      <x:c r="I12" s="154"/>
      <x:c r="J12" s="154"/>
      <x:c r="K12" s="154"/>
      <x:c r="L12" s="154"/>
      <x:c r="M12" s="154"/>
      <x:c r="N12" s="154"/>
      <x:c r="O12" s="302"/>
      <x:c r="P12" s="154"/>
      <x:c r="Q12" s="154"/>
      <x:c r="R12" s="154"/>
      <x:c r="S12" s="154"/>
      <x:c r="T12" s="154"/>
      <x:c r="U12" s="154"/>
      <x:c r="V12" s="154"/>
    </x:row>
    <x:row r="13">
      <x:c r="A13" s="154"/>
      <x:c r="B13" s="154"/>
      <x:c r="C13" s="154"/>
      <x:c r="D13" s="154"/>
      <x:c r="E13" s="154"/>
      <x:c r="F13" s="302"/>
      <x:c r="G13" s="154"/>
      <x:c r="H13" s="154"/>
      <x:c r="I13" s="154"/>
      <x:c r="J13" s="154"/>
      <x:c r="K13" s="154"/>
      <x:c r="L13" s="154"/>
      <x:c r="M13" s="154"/>
      <x:c r="N13" s="154"/>
      <x:c r="O13" s="302"/>
      <x:c r="P13" s="154"/>
      <x:c r="Q13" s="154"/>
      <x:c r="R13" s="154"/>
      <x:c r="S13" s="154"/>
      <x:c r="T13" s="154"/>
      <x:c r="U13" s="154"/>
      <x:c r="V13" s="154"/>
    </x:row>
    <x:row r="14">
      <x:c r="A14" s="154"/>
      <x:c r="B14" s="154"/>
      <x:c r="C14" s="154"/>
      <x:c r="D14" s="154"/>
      <x:c r="E14" s="154"/>
      <x:c r="F14" s="302"/>
      <x:c r="G14" s="154"/>
      <x:c r="H14" s="154"/>
      <x:c r="I14" s="154"/>
      <x:c r="J14" s="154"/>
      <x:c r="K14" s="154"/>
      <x:c r="L14" s="154"/>
      <x:c r="M14" s="154"/>
      <x:c r="N14" s="154"/>
      <x:c r="O14" s="302"/>
      <x:c r="P14" s="154"/>
      <x:c r="Q14" s="154"/>
      <x:c r="R14" s="154"/>
      <x:c r="S14" s="154"/>
      <x:c r="T14" s="154"/>
      <x:c r="U14" s="154"/>
      <x:c r="V14" s="154"/>
    </x:row>
    <x:row r="15">
      <x:c r="A15" s="154"/>
      <x:c r="B15" s="154"/>
      <x:c r="C15" s="154"/>
      <x:c r="D15" s="154"/>
      <x:c r="E15" s="154"/>
      <x:c r="F15" s="302"/>
      <x:c r="G15" s="154"/>
      <x:c r="H15" s="154"/>
      <x:c r="I15" s="154"/>
      <x:c r="J15" s="154"/>
      <x:c r="K15" s="154"/>
      <x:c r="L15" s="154"/>
      <x:c r="M15" s="154"/>
      <x:c r="N15" s="154"/>
      <x:c r="O15" s="302"/>
      <x:c r="P15" s="154"/>
      <x:c r="Q15" s="154"/>
      <x:c r="R15" s="154"/>
      <x:c r="S15" s="154"/>
      <x:c r="T15" s="154"/>
      <x:c r="U15" s="154"/>
      <x:c r="V15" s="154"/>
    </x:row>
    <x:row r="16">
      <x:c r="A16" s="154"/>
      <x:c r="B16" s="154"/>
      <x:c r="C16" s="154"/>
      <x:c r="D16" s="154"/>
      <x:c r="E16" s="154"/>
      <x:c r="F16" s="302"/>
      <x:c r="G16" s="154"/>
      <x:c r="H16" s="154"/>
      <x:c r="I16" s="154"/>
      <x:c r="J16" s="154"/>
      <x:c r="K16" s="154"/>
      <x:c r="L16" s="154"/>
      <x:c r="M16" s="154"/>
      <x:c r="N16" s="154"/>
      <x:c r="O16" s="302"/>
      <x:c r="P16" s="154"/>
      <x:c r="Q16" s="154"/>
      <x:c r="R16" s="154"/>
      <x:c r="S16" s="154"/>
      <x:c r="T16" s="154"/>
      <x:c r="U16" s="154"/>
      <x:c r="V16" s="154"/>
    </x:row>
    <x:row r="17">
      <x:c r="A17" s="154"/>
      <x:c r="B17" s="154"/>
      <x:c r="C17" s="154"/>
      <x:c r="D17" s="154"/>
      <x:c r="E17" s="154"/>
      <x:c r="F17" s="302"/>
      <x:c r="G17" s="154"/>
      <x:c r="H17" s="154"/>
      <x:c r="I17" s="154"/>
      <x:c r="J17" s="154"/>
      <x:c r="K17" s="154"/>
      <x:c r="L17" s="154"/>
      <x:c r="M17" s="154"/>
      <x:c r="N17" s="154"/>
      <x:c r="O17" s="302"/>
      <x:c r="P17" s="154"/>
      <x:c r="Q17" s="154"/>
      <x:c r="R17" s="154"/>
      <x:c r="S17" s="154"/>
      <x:c r="T17" s="154"/>
      <x:c r="U17" s="154"/>
      <x:c r="V17" s="154"/>
    </x:row>
    <x:row r="18">
      <x:c r="A18" s="154"/>
      <x:c r="B18" s="154"/>
      <x:c r="C18" s="154"/>
      <x:c r="D18" s="154"/>
      <x:c r="E18" s="154"/>
      <x:c r="F18" s="302"/>
      <x:c r="G18" s="154"/>
      <x:c r="H18" s="154"/>
      <x:c r="I18" s="154"/>
      <x:c r="J18" s="154"/>
      <x:c r="K18" s="154"/>
      <x:c r="L18" s="154"/>
      <x:c r="M18" s="154"/>
      <x:c r="N18" s="154"/>
      <x:c r="O18" s="302"/>
      <x:c r="P18" s="154"/>
      <x:c r="Q18" s="154"/>
      <x:c r="R18" s="154"/>
      <x:c r="S18" s="154"/>
      <x:c r="T18" s="154"/>
      <x:c r="U18" s="154"/>
      <x:c r="V18" s="154"/>
    </x:row>
    <x:row r="19">
      <x:c r="A19" s="154"/>
      <x:c r="B19" s="154"/>
      <x:c r="C19" s="154"/>
      <x:c r="D19" s="154"/>
      <x:c r="E19" s="154"/>
      <x:c r="F19" s="302"/>
      <x:c r="G19" s="154"/>
      <x:c r="H19" s="154"/>
      <x:c r="I19" s="154"/>
      <x:c r="J19" s="154"/>
      <x:c r="K19" s="154"/>
      <x:c r="L19" s="154"/>
      <x:c r="M19" s="154"/>
      <x:c r="N19" s="154"/>
      <x:c r="O19" s="302"/>
      <x:c r="P19" s="154"/>
      <x:c r="Q19" s="154"/>
      <x:c r="R19" s="154"/>
      <x:c r="S19" s="154"/>
      <x:c r="T19" s="154"/>
      <x:c r="U19" s="154"/>
      <x:c r="V19" s="154"/>
    </x:row>
    <x:row r="20">
      <x:c r="A20" s="154"/>
      <x:c r="B20" s="154"/>
      <x:c r="C20" s="154"/>
      <x:c r="D20" s="154"/>
      <x:c r="E20" s="154"/>
      <x:c r="F20" s="302"/>
      <x:c r="G20" s="154"/>
      <x:c r="H20" s="154"/>
      <x:c r="I20" s="154"/>
      <x:c r="J20" s="154"/>
      <x:c r="K20" s="154"/>
      <x:c r="L20" s="154"/>
      <x:c r="M20" s="154"/>
      <x:c r="N20" s="154"/>
      <x:c r="O20" s="302"/>
      <x:c r="P20" s="154"/>
      <x:c r="Q20" s="154"/>
      <x:c r="R20" s="154"/>
      <x:c r="S20" s="154"/>
      <x:c r="T20" s="154"/>
      <x:c r="U20" s="154"/>
      <x:c r="V20" s="154"/>
    </x:row>
    <x:row r="21">
      <x:c r="A21" s="154"/>
      <x:c r="B21" s="154"/>
      <x:c r="C21" s="154"/>
      <x:c r="D21" s="154"/>
      <x:c r="E21" s="154"/>
      <x:c r="F21" s="302"/>
      <x:c r="G21" s="154"/>
      <x:c r="H21" s="154"/>
      <x:c r="I21" s="154"/>
      <x:c r="J21" s="154"/>
      <x:c r="K21" s="154"/>
      <x:c r="L21" s="154"/>
      <x:c r="M21" s="154"/>
      <x:c r="N21" s="154"/>
      <x:c r="O21" s="302"/>
      <x:c r="P21" s="154"/>
      <x:c r="Q21" s="154"/>
      <x:c r="R21" s="154"/>
      <x:c r="S21" s="154"/>
      <x:c r="T21" s="154"/>
      <x:c r="U21" s="154"/>
      <x:c r="V21" s="154"/>
    </x:row>
    <x:row r="22">
      <x:c r="A22" s="154"/>
      <x:c r="B22" s="154"/>
      <x:c r="C22" s="154"/>
      <x:c r="D22" s="154"/>
      <x:c r="E22" s="154"/>
      <x:c r="F22" s="302"/>
      <x:c r="G22" s="154"/>
      <x:c r="H22" s="154"/>
      <x:c r="I22" s="154"/>
      <x:c r="J22" s="154"/>
      <x:c r="K22" s="154"/>
      <x:c r="L22" s="154"/>
      <x:c r="M22" s="154"/>
      <x:c r="N22" s="154"/>
      <x:c r="O22" s="302"/>
      <x:c r="P22" s="154"/>
      <x:c r="Q22" s="154"/>
      <x:c r="R22" s="154"/>
      <x:c r="S22" s="154"/>
      <x:c r="T22" s="154"/>
      <x:c r="U22" s="154"/>
      <x:c r="V22" s="154"/>
    </x:row>
    <x:row r="23">
      <x:c r="A23" s="154"/>
      <x:c r="B23" s="154"/>
      <x:c r="C23" s="154"/>
      <x:c r="D23" s="154"/>
      <x:c r="E23" s="154"/>
      <x:c r="F23" s="302"/>
      <x:c r="G23" s="154"/>
      <x:c r="H23" s="154"/>
      <x:c r="I23" s="154"/>
      <x:c r="J23" s="154"/>
      <x:c r="K23" s="154"/>
      <x:c r="L23" s="154"/>
      <x:c r="M23" s="154"/>
      <x:c r="N23" s="154"/>
      <x:c r="O23" s="302"/>
      <x:c r="P23" s="154"/>
      <x:c r="Q23" s="154"/>
      <x:c r="R23" s="154"/>
      <x:c r="S23" s="154"/>
      <x:c r="T23" s="154"/>
      <x:c r="U23" s="154"/>
      <x:c r="V23" s="154"/>
    </x:row>
    <x:row r="24">
      <x:c r="A24" s="154"/>
      <x:c r="B24" s="154"/>
      <x:c r="C24" s="154"/>
      <x:c r="D24" s="154"/>
      <x:c r="E24" s="154"/>
      <x:c r="F24" s="302"/>
      <x:c r="G24" s="154"/>
      <x:c r="H24" s="154"/>
      <x:c r="I24" s="154"/>
      <x:c r="J24" s="154"/>
      <x:c r="K24" s="154"/>
      <x:c r="L24" s="154"/>
      <x:c r="M24" s="154"/>
      <x:c r="N24" s="154"/>
      <x:c r="O24" s="302"/>
      <x:c r="P24" s="154"/>
      <x:c r="Q24" s="154"/>
      <x:c r="R24" s="154"/>
      <x:c r="S24" s="154"/>
      <x:c r="T24" s="154"/>
      <x:c r="U24" s="154"/>
      <x:c r="V24" s="154"/>
    </x:row>
    <x:row r="25">
      <x:c r="A25" s="154"/>
      <x:c r="B25" s="154"/>
      <x:c r="C25" s="154"/>
      <x:c r="D25" s="154"/>
      <x:c r="E25" s="154"/>
      <x:c r="F25" s="302"/>
      <x:c r="G25" s="154"/>
      <x:c r="H25" s="154"/>
      <x:c r="I25" s="154"/>
      <x:c r="J25" s="154"/>
      <x:c r="K25" s="154"/>
      <x:c r="L25" s="154"/>
      <x:c r="M25" s="154"/>
      <x:c r="N25" s="154"/>
      <x:c r="O25" s="302"/>
      <x:c r="P25" s="154"/>
      <x:c r="Q25" s="154"/>
      <x:c r="R25" s="154"/>
      <x:c r="S25" s="154"/>
      <x:c r="T25" s="154"/>
      <x:c r="U25" s="154"/>
      <x:c r="V25" s="154"/>
    </x:row>
    <x:row r="26">
      <x:c r="A26" s="154"/>
      <x:c r="B26" s="154"/>
      <x:c r="C26" s="154"/>
      <x:c r="D26" s="154"/>
      <x:c r="E26" s="154"/>
      <x:c r="F26" s="302"/>
      <x:c r="G26" s="154"/>
      <x:c r="H26" s="154"/>
      <x:c r="I26" s="154"/>
      <x:c r="J26" s="154"/>
      <x:c r="K26" s="154"/>
      <x:c r="L26" s="154"/>
      <x:c r="M26" s="154"/>
      <x:c r="N26" s="154"/>
      <x:c r="O26" s="302"/>
      <x:c r="P26" s="154"/>
      <x:c r="Q26" s="154"/>
      <x:c r="R26" s="154"/>
      <x:c r="S26" s="154"/>
      <x:c r="T26" s="154"/>
      <x:c r="U26" s="154"/>
      <x:c r="V26" s="154"/>
    </x:row>
    <x:row r="27">
      <x:c r="A27" s="154"/>
      <x:c r="B27" s="154"/>
      <x:c r="C27" s="154"/>
      <x:c r="D27" s="154"/>
      <x:c r="E27" s="154"/>
      <x:c r="F27" s="302"/>
      <x:c r="G27" s="154"/>
      <x:c r="H27" s="154"/>
      <x:c r="I27" s="154"/>
      <x:c r="J27" s="154"/>
      <x:c r="K27" s="154"/>
      <x:c r="L27" s="154"/>
      <x:c r="M27" s="154"/>
      <x:c r="N27" s="154"/>
      <x:c r="O27" s="302"/>
      <x:c r="P27" s="154"/>
      <x:c r="Q27" s="154"/>
      <x:c r="R27" s="154"/>
      <x:c r="S27" s="154"/>
      <x:c r="T27" s="154"/>
      <x:c r="U27" s="154"/>
      <x:c r="V27" s="154"/>
    </x:row>
    <x:row r="28">
      <x:c r="A28" s="154"/>
      <x:c r="B28" s="154"/>
      <x:c r="C28" s="154"/>
      <x:c r="D28" s="154"/>
      <x:c r="E28" s="154"/>
      <x:c r="F28" s="302"/>
      <x:c r="G28" s="154"/>
      <x:c r="H28" s="154"/>
      <x:c r="I28" s="154"/>
      <x:c r="J28" s="154"/>
      <x:c r="K28" s="154"/>
      <x:c r="L28" s="154"/>
      <x:c r="M28" s="154"/>
      <x:c r="N28" s="154"/>
      <x:c r="O28" s="302"/>
      <x:c r="P28" s="154"/>
      <x:c r="Q28" s="154"/>
      <x:c r="R28" s="154"/>
      <x:c r="S28" s="154"/>
      <x:c r="T28" s="154"/>
      <x:c r="U28" s="154"/>
      <x:c r="V28" s="154"/>
    </x:row>
    <x:row r="29">
      <x:c r="A29" s="154"/>
      <x:c r="B29" s="154"/>
      <x:c r="C29" s="154"/>
      <x:c r="D29" s="154"/>
      <x:c r="E29" s="154"/>
      <x:c r="F29" s="302"/>
      <x:c r="G29" s="154"/>
      <x:c r="H29" s="154"/>
      <x:c r="I29" s="154"/>
      <x:c r="J29" s="154"/>
      <x:c r="K29" s="154"/>
      <x:c r="L29" s="154"/>
      <x:c r="M29" s="154"/>
      <x:c r="N29" s="154"/>
      <x:c r="O29" s="302"/>
      <x:c r="P29" s="154"/>
      <x:c r="Q29" s="154"/>
      <x:c r="R29" s="154"/>
      <x:c r="S29" s="154"/>
      <x:c r="T29" s="154"/>
      <x:c r="U29" s="154"/>
      <x:c r="V29" s="154"/>
    </x:row>
    <x:row r="30">
      <x:c r="A30" s="154"/>
      <x:c r="B30" s="154"/>
      <x:c r="C30" s="154"/>
      <x:c r="D30" s="154"/>
      <x:c r="E30" s="154"/>
      <x:c r="F30" s="302"/>
      <x:c r="G30" s="154"/>
      <x:c r="H30" s="154"/>
      <x:c r="I30" s="154"/>
      <x:c r="J30" s="154"/>
      <x:c r="K30" s="154"/>
      <x:c r="L30" s="154"/>
      <x:c r="M30" s="154"/>
      <x:c r="N30" s="154"/>
      <x:c r="O30" s="302"/>
      <x:c r="P30" s="154"/>
      <x:c r="Q30" s="154"/>
      <x:c r="R30" s="154"/>
      <x:c r="S30" s="154"/>
      <x:c r="T30" s="154"/>
      <x:c r="U30" s="154"/>
      <x:c r="V30" s="154"/>
    </x:row>
    <x:row r="31">
      <x:c r="A31" s="154"/>
      <x:c r="B31" s="154"/>
      <x:c r="C31" s="154"/>
      <x:c r="D31" s="154"/>
      <x:c r="E31" s="154"/>
      <x:c r="F31" s="302"/>
      <x:c r="G31" s="154"/>
      <x:c r="H31" s="154"/>
      <x:c r="I31" s="154"/>
      <x:c r="J31" s="154"/>
      <x:c r="K31" s="154"/>
      <x:c r="L31" s="154"/>
      <x:c r="M31" s="154"/>
      <x:c r="N31" s="154"/>
      <x:c r="O31" s="302"/>
      <x:c r="P31" s="154"/>
      <x:c r="Q31" s="154"/>
      <x:c r="R31" s="154"/>
      <x:c r="S31" s="154"/>
      <x:c r="T31" s="154"/>
      <x:c r="U31" s="154"/>
      <x:c r="V31" s="154"/>
    </x:row>
    <x:row r="32">
      <x:c r="A32" s="154"/>
      <x:c r="B32" s="154"/>
      <x:c r="C32" s="154"/>
      <x:c r="D32" s="154"/>
      <x:c r="E32" s="154"/>
      <x:c r="F32" s="302"/>
      <x:c r="G32" s="154"/>
      <x:c r="H32" s="154"/>
      <x:c r="I32" s="154"/>
      <x:c r="J32" s="154"/>
      <x:c r="K32" s="154"/>
      <x:c r="L32" s="154"/>
      <x:c r="M32" s="154"/>
      <x:c r="N32" s="154"/>
      <x:c r="O32" s="302"/>
      <x:c r="P32" s="154"/>
      <x:c r="Q32" s="154"/>
      <x:c r="R32" s="154"/>
      <x:c r="S32" s="154"/>
      <x:c r="T32" s="154"/>
      <x:c r="U32" s="154"/>
      <x:c r="V32" s="154"/>
    </x:row>
    <x:row r="33">
      <x:c r="A33" s="154"/>
      <x:c r="B33" s="154"/>
      <x:c r="C33" s="154"/>
      <x:c r="D33" s="154"/>
      <x:c r="E33" s="154"/>
      <x:c r="F33" s="302"/>
      <x:c r="G33" s="154"/>
      <x:c r="H33" s="154"/>
      <x:c r="I33" s="154"/>
      <x:c r="J33" s="154"/>
      <x:c r="K33" s="154"/>
      <x:c r="L33" s="154"/>
      <x:c r="M33" s="154"/>
      <x:c r="N33" s="154"/>
      <x:c r="O33" s="302"/>
      <x:c r="P33" s="154"/>
      <x:c r="Q33" s="154"/>
      <x:c r="R33" s="154"/>
      <x:c r="S33" s="154"/>
      <x:c r="T33" s="154"/>
      <x:c r="U33" s="154"/>
      <x:c r="V33" s="154"/>
    </x:row>
    <x:row r="34">
      <x:c r="A34" s="154"/>
      <x:c r="B34" s="154"/>
      <x:c r="C34" s="154"/>
      <x:c r="D34" s="154"/>
      <x:c r="E34" s="154"/>
      <x:c r="F34" s="302"/>
      <x:c r="G34" s="154"/>
      <x:c r="H34" s="154"/>
      <x:c r="I34" s="154"/>
      <x:c r="J34" s="154"/>
      <x:c r="K34" s="154"/>
      <x:c r="L34" s="154"/>
      <x:c r="M34" s="154"/>
      <x:c r="N34" s="154"/>
      <x:c r="O34" s="302"/>
      <x:c r="P34" s="154"/>
      <x:c r="Q34" s="154"/>
      <x:c r="R34" s="154"/>
      <x:c r="S34" s="154"/>
      <x:c r="T34" s="154"/>
      <x:c r="U34" s="154"/>
      <x:c r="V34" s="154"/>
    </x:row>
    <x:row r="35">
      <x:c r="A35" s="154"/>
      <x:c r="B35" s="154"/>
      <x:c r="C35" s="154"/>
      <x:c r="D35" s="154"/>
      <x:c r="E35" s="154"/>
      <x:c r="F35" s="302"/>
      <x:c r="G35" s="154"/>
      <x:c r="H35" s="154"/>
      <x:c r="I35" s="154"/>
      <x:c r="J35" s="154"/>
      <x:c r="K35" s="154"/>
      <x:c r="L35" s="154"/>
      <x:c r="M35" s="154"/>
      <x:c r="N35" s="154"/>
      <x:c r="O35" s="302"/>
      <x:c r="P35" s="154"/>
      <x:c r="Q35" s="154"/>
      <x:c r="R35" s="154"/>
      <x:c r="S35" s="154"/>
      <x:c r="T35" s="154"/>
      <x:c r="U35" s="154"/>
      <x:c r="V35" s="154"/>
    </x:row>
    <x:row r="36">
      <x:c r="A36" s="154"/>
      <x:c r="B36" s="154"/>
      <x:c r="C36" s="154"/>
      <x:c r="D36" s="154"/>
      <x:c r="E36" s="154"/>
      <x:c r="F36" s="302"/>
      <x:c r="G36" s="154"/>
      <x:c r="H36" s="154"/>
      <x:c r="I36" s="154"/>
      <x:c r="J36" s="154"/>
      <x:c r="K36" s="154"/>
      <x:c r="L36" s="154"/>
      <x:c r="M36" s="154"/>
      <x:c r="N36" s="154"/>
      <x:c r="O36" s="302"/>
      <x:c r="P36" s="154"/>
      <x:c r="Q36" s="154"/>
      <x:c r="R36" s="154"/>
      <x:c r="S36" s="154"/>
      <x:c r="T36" s="154"/>
      <x:c r="U36" s="154"/>
      <x:c r="V36" s="154"/>
    </x:row>
    <x:row r="37">
      <x:c r="A37" s="154"/>
      <x:c r="B37" s="154"/>
      <x:c r="C37" s="154"/>
      <x:c r="D37" s="154"/>
      <x:c r="E37" s="154"/>
      <x:c r="F37" s="302"/>
      <x:c r="G37" s="154"/>
      <x:c r="H37" s="154"/>
      <x:c r="I37" s="154"/>
      <x:c r="J37" s="154"/>
      <x:c r="K37" s="154"/>
      <x:c r="L37" s="154"/>
      <x:c r="M37" s="154"/>
      <x:c r="N37" s="154"/>
      <x:c r="O37" s="302"/>
      <x:c r="P37" s="154"/>
      <x:c r="Q37" s="154"/>
      <x:c r="R37" s="154"/>
      <x:c r="S37" s="154"/>
      <x:c r="T37" s="154"/>
      <x:c r="U37" s="154"/>
      <x:c r="V37" s="154"/>
    </x:row>
    <x:row r="38">
      <x:c r="A38" s="154"/>
      <x:c r="B38" s="154"/>
      <x:c r="C38" s="154"/>
      <x:c r="D38" s="154"/>
      <x:c r="E38" s="154"/>
      <x:c r="F38" s="302"/>
      <x:c r="G38" s="154"/>
      <x:c r="H38" s="154"/>
      <x:c r="I38" s="154"/>
      <x:c r="J38" s="154"/>
      <x:c r="K38" s="154"/>
      <x:c r="L38" s="154"/>
      <x:c r="M38" s="154"/>
      <x:c r="N38" s="154"/>
      <x:c r="O38" s="302"/>
      <x:c r="P38" s="154"/>
      <x:c r="Q38" s="154"/>
      <x:c r="R38" s="154"/>
      <x:c r="S38" s="154"/>
      <x:c r="T38" s="154"/>
      <x:c r="U38" s="154"/>
      <x:c r="V38" s="154"/>
    </x:row>
    <x:row r="39">
      <x:c r="A39" s="154"/>
      <x:c r="B39" s="154"/>
      <x:c r="C39" s="154"/>
      <x:c r="D39" s="154"/>
      <x:c r="E39" s="154"/>
      <x:c r="F39" s="302"/>
      <x:c r="G39" s="154"/>
      <x:c r="H39" s="154"/>
      <x:c r="I39" s="154"/>
      <x:c r="J39" s="154"/>
      <x:c r="K39" s="154"/>
      <x:c r="L39" s="154"/>
      <x:c r="M39" s="154"/>
      <x:c r="N39" s="154"/>
      <x:c r="O39" s="302"/>
      <x:c r="P39" s="154"/>
      <x:c r="Q39" s="154"/>
      <x:c r="R39" s="154"/>
      <x:c r="S39" s="154"/>
      <x:c r="T39" s="154"/>
      <x:c r="U39" s="154"/>
      <x:c r="V39" s="154"/>
    </x:row>
    <x:row r="40">
      <x:c r="A40" s="154"/>
      <x:c r="B40" s="154"/>
      <x:c r="C40" s="154"/>
      <x:c r="D40" s="154"/>
      <x:c r="E40" s="154"/>
      <x:c r="F40" s="302"/>
      <x:c r="G40" s="154"/>
      <x:c r="H40" s="154"/>
      <x:c r="I40" s="154"/>
      <x:c r="J40" s="154"/>
      <x:c r="K40" s="154"/>
      <x:c r="L40" s="154"/>
      <x:c r="M40" s="154"/>
      <x:c r="N40" s="154"/>
      <x:c r="O40" s="302"/>
      <x:c r="P40" s="154"/>
      <x:c r="Q40" s="154"/>
      <x:c r="R40" s="154"/>
      <x:c r="S40" s="154"/>
      <x:c r="T40" s="154"/>
      <x:c r="U40" s="154"/>
      <x:c r="V40" s="154"/>
    </x:row>
    <x:row r="41">
      <x:c r="A41" s="154"/>
      <x:c r="B41" s="154"/>
      <x:c r="C41" s="154"/>
      <x:c r="D41" s="154"/>
      <x:c r="E41" s="154"/>
      <x:c r="F41" s="302"/>
      <x:c r="G41" s="154"/>
      <x:c r="H41" s="154"/>
      <x:c r="I41" s="154"/>
      <x:c r="J41" s="154"/>
      <x:c r="K41" s="154"/>
      <x:c r="L41" s="154"/>
      <x:c r="M41" s="154"/>
      <x:c r="N41" s="154"/>
      <x:c r="O41" s="302"/>
      <x:c r="P41" s="154"/>
      <x:c r="Q41" s="154"/>
      <x:c r="R41" s="154"/>
      <x:c r="S41" s="154"/>
      <x:c r="T41" s="154"/>
      <x:c r="U41" s="154"/>
      <x:c r="V41" s="154"/>
    </x:row>
    <x:row r="42">
      <x:c r="A42" s="154"/>
      <x:c r="B42" s="154"/>
      <x:c r="C42" s="154"/>
      <x:c r="D42" s="154"/>
      <x:c r="E42" s="154"/>
      <x:c r="F42" s="302"/>
      <x:c r="G42" s="154"/>
      <x:c r="H42" s="154"/>
      <x:c r="I42" s="154"/>
      <x:c r="J42" s="154"/>
      <x:c r="K42" s="154"/>
      <x:c r="L42" s="154"/>
      <x:c r="M42" s="154"/>
      <x:c r="N42" s="154"/>
      <x:c r="O42" s="302"/>
      <x:c r="P42" s="154"/>
      <x:c r="Q42" s="154"/>
      <x:c r="R42" s="154"/>
      <x:c r="S42" s="154"/>
      <x:c r="T42" s="154"/>
      <x:c r="U42" s="154"/>
      <x:c r="V42" s="154"/>
    </x:row>
    <x:row r="43">
      <x:c r="A43" s="154"/>
      <x:c r="B43" s="154"/>
      <x:c r="C43" s="154"/>
      <x:c r="D43" s="154"/>
      <x:c r="E43" s="154"/>
      <x:c r="F43" s="302"/>
      <x:c r="G43" s="154"/>
      <x:c r="H43" s="154"/>
      <x:c r="I43" s="154"/>
      <x:c r="J43" s="154"/>
      <x:c r="K43" s="154"/>
      <x:c r="L43" s="154"/>
      <x:c r="M43" s="154"/>
      <x:c r="N43" s="154"/>
      <x:c r="O43" s="302"/>
      <x:c r="P43" s="154"/>
      <x:c r="Q43" s="154"/>
      <x:c r="R43" s="154"/>
      <x:c r="S43" s="154"/>
      <x:c r="T43" s="154"/>
      <x:c r="U43" s="154"/>
      <x:c r="V43" s="154"/>
    </x:row>
    <x:row r="44">
      <x:c r="A44" s="154"/>
      <x:c r="B44" s="154"/>
      <x:c r="C44" s="154"/>
      <x:c r="D44" s="154"/>
      <x:c r="E44" s="154"/>
      <x:c r="F44" s="302"/>
      <x:c r="G44" s="154"/>
      <x:c r="H44" s="154"/>
      <x:c r="I44" s="154"/>
      <x:c r="J44" s="154"/>
      <x:c r="K44" s="154"/>
      <x:c r="L44" s="154"/>
      <x:c r="M44" s="154"/>
      <x:c r="N44" s="154"/>
      <x:c r="O44" s="302"/>
      <x:c r="P44" s="154"/>
      <x:c r="Q44" s="154"/>
      <x:c r="R44" s="154"/>
      <x:c r="S44" s="154"/>
      <x:c r="T44" s="154"/>
      <x:c r="U44" s="154"/>
      <x:c r="V44" s="154"/>
    </x:row>
    <x:row r="45">
      <x:c r="A45" s="154"/>
      <x:c r="B45" s="154"/>
      <x:c r="C45" s="154"/>
      <x:c r="D45" s="154"/>
      <x:c r="E45" s="154"/>
      <x:c r="F45" s="302"/>
      <x:c r="G45" s="154"/>
      <x:c r="H45" s="154"/>
      <x:c r="I45" s="154"/>
      <x:c r="J45" s="154"/>
      <x:c r="K45" s="154"/>
      <x:c r="L45" s="154"/>
      <x:c r="M45" s="154"/>
      <x:c r="N45" s="154"/>
      <x:c r="O45" s="302"/>
      <x:c r="P45" s="154"/>
      <x:c r="Q45" s="154"/>
      <x:c r="R45" s="154"/>
      <x:c r="S45" s="154"/>
      <x:c r="T45" s="154"/>
      <x:c r="U45" s="154"/>
      <x:c r="V45" s="154"/>
    </x:row>
    <x:row r="46">
      <x:c r="A46" s="154"/>
      <x:c r="B46" s="154"/>
      <x:c r="C46" s="154"/>
      <x:c r="D46" s="154"/>
      <x:c r="E46" s="154"/>
      <x:c r="F46" s="302"/>
      <x:c r="G46" s="154"/>
      <x:c r="H46" s="154"/>
      <x:c r="I46" s="154"/>
      <x:c r="J46" s="154"/>
      <x:c r="K46" s="154"/>
      <x:c r="L46" s="154"/>
      <x:c r="M46" s="154"/>
      <x:c r="N46" s="154"/>
      <x:c r="O46" s="302"/>
      <x:c r="P46" s="154"/>
      <x:c r="Q46" s="154"/>
      <x:c r="R46" s="154"/>
      <x:c r="S46" s="154"/>
      <x:c r="T46" s="154"/>
      <x:c r="U46" s="154"/>
      <x:c r="V46" s="154"/>
    </x:row>
    <x:row r="47">
      <x:c r="A47" s="154"/>
      <x:c r="B47" s="154"/>
      <x:c r="C47" s="154"/>
      <x:c r="D47" s="154"/>
      <x:c r="E47" s="154"/>
      <x:c r="F47" s="302"/>
      <x:c r="G47" s="154"/>
      <x:c r="H47" s="154"/>
      <x:c r="I47" s="154"/>
      <x:c r="J47" s="154"/>
      <x:c r="K47" s="154"/>
      <x:c r="L47" s="154"/>
      <x:c r="M47" s="154"/>
      <x:c r="N47" s="154"/>
      <x:c r="O47" s="302"/>
      <x:c r="P47" s="154"/>
      <x:c r="Q47" s="154"/>
      <x:c r="R47" s="154"/>
      <x:c r="S47" s="154"/>
      <x:c r="T47" s="154"/>
      <x:c r="U47" s="154"/>
      <x:c r="V47" s="154"/>
    </x:row>
    <x:row r="48">
      <x:c r="A48" s="154"/>
      <x:c r="B48" s="154"/>
      <x:c r="C48" s="154"/>
      <x:c r="D48" s="154"/>
      <x:c r="E48" s="154"/>
      <x:c r="F48" s="302"/>
      <x:c r="G48" s="154"/>
      <x:c r="H48" s="154"/>
      <x:c r="I48" s="154"/>
      <x:c r="J48" s="154"/>
      <x:c r="K48" s="154"/>
      <x:c r="L48" s="154"/>
      <x:c r="M48" s="154"/>
      <x:c r="N48" s="154"/>
      <x:c r="O48" s="302"/>
      <x:c r="P48" s="154"/>
      <x:c r="Q48" s="154"/>
      <x:c r="R48" s="154"/>
      <x:c r="S48" s="154"/>
      <x:c r="T48" s="154"/>
      <x:c r="U48" s="154"/>
      <x:c r="V48" s="154"/>
    </x:row>
    <x:row r="49">
      <x:c r="A49" s="154"/>
      <x:c r="B49" s="154"/>
      <x:c r="C49" s="154"/>
      <x:c r="D49" s="154"/>
      <x:c r="E49" s="154"/>
      <x:c r="F49" s="302"/>
      <x:c r="G49" s="154"/>
      <x:c r="H49" s="154"/>
      <x:c r="I49" s="154"/>
      <x:c r="J49" s="154"/>
      <x:c r="K49" s="154"/>
      <x:c r="L49" s="154"/>
      <x:c r="M49" s="154"/>
      <x:c r="N49" s="154"/>
      <x:c r="O49" s="302"/>
      <x:c r="P49" s="154"/>
      <x:c r="Q49" s="154"/>
      <x:c r="R49" s="154"/>
      <x:c r="S49" s="154"/>
      <x:c r="T49" s="154"/>
      <x:c r="U49" s="154"/>
      <x:c r="V49" s="154"/>
    </x:row>
    <x:row r="50">
      <x:c r="A50" s="154"/>
      <x:c r="B50" s="154"/>
      <x:c r="C50" s="154"/>
      <x:c r="D50" s="154"/>
      <x:c r="E50" s="154"/>
      <x:c r="F50" s="302"/>
      <x:c r="G50" s="154"/>
      <x:c r="H50" s="154"/>
      <x:c r="I50" s="154"/>
      <x:c r="J50" s="154"/>
      <x:c r="K50" s="154"/>
      <x:c r="L50" s="154"/>
      <x:c r="M50" s="154"/>
      <x:c r="N50" s="154"/>
      <x:c r="O50" s="302"/>
      <x:c r="P50" s="154"/>
      <x:c r="Q50" s="154"/>
      <x:c r="R50" s="154"/>
      <x:c r="S50" s="154"/>
      <x:c r="T50" s="154"/>
      <x:c r="U50" s="154"/>
      <x:c r="V50" s="154"/>
    </x:row>
    <x:row r="51">
      <x:c r="F51" s="300"/>
      <x:c r="O51" s="300"/>
    </x:row>
    <x:row r="52">
      <x:c r="F52" s="300"/>
      <x:c r="O52" s="300"/>
    </x:row>
    <x:row r="53">
      <x:c r="F53" s="300"/>
      <x:c r="O53" s="300"/>
    </x:row>
    <x:row r="54">
      <x:c r="F54" s="300"/>
      <x:c r="O54" s="300"/>
    </x:row>
    <x:row r="55">
      <x:c r="F55" s="300"/>
      <x:c r="O55" s="300"/>
    </x:row>
    <x:row r="56">
      <x:c r="F56" s="300"/>
      <x:c r="O56" s="300"/>
    </x:row>
    <x:row r="57">
      <x:c r="F57" s="300"/>
      <x:c r="O57" s="300"/>
    </x:row>
    <x:row r="58">
      <x:c r="F58" s="300"/>
      <x:c r="O58" s="300"/>
    </x:row>
    <x:row r="59">
      <x:c r="F59" s="300"/>
      <x:c r="O59" s="300"/>
    </x:row>
    <x:row r="60">
      <x:c r="F60" s="300"/>
      <x:c r="O60" s="300"/>
    </x:row>
    <x:row r="61">
      <x:c r="F61" s="300"/>
      <x:c r="O61" s="300"/>
    </x:row>
    <x:row r="62">
      <x:c r="F62" s="300"/>
      <x:c r="O62" s="300"/>
    </x:row>
    <x:row r="63">
      <x:c r="F63" s="300"/>
      <x:c r="O63" s="300"/>
    </x:row>
    <x:row r="64">
      <x:c r="F64" s="300"/>
      <x:c r="O64" s="300"/>
    </x:row>
    <x:row r="65">
      <x:c r="F65" s="300"/>
      <x:c r="O65" s="300"/>
    </x:row>
    <x:row r="66">
      <x:c r="F66" s="300"/>
      <x:c r="O66" s="300"/>
    </x:row>
    <x:row r="67">
      <x:c r="F67" s="300"/>
      <x:c r="O67" s="300"/>
    </x:row>
    <x:row r="68">
      <x:c r="F68" s="300"/>
      <x:c r="O68" s="300"/>
    </x:row>
    <x:row r="69">
      <x:c r="F69" s="300"/>
      <x:c r="O69" s="300"/>
    </x:row>
    <x:row r="70">
      <x:c r="F70" s="300"/>
      <x:c r="O70" s="300"/>
    </x:row>
    <x:row r="71">
      <x:c r="F71" s="300"/>
      <x:c r="O71" s="300"/>
    </x:row>
    <x:row r="72">
      <x:c r="F72" s="300"/>
      <x:c r="O72" s="300"/>
    </x:row>
    <x:row r="73">
      <x:c r="F73" s="300"/>
      <x:c r="O73" s="300"/>
    </x:row>
    <x:row r="74">
      <x:c r="F74" s="300"/>
      <x:c r="O74" s="300"/>
    </x:row>
    <x:row r="75">
      <x:c r="F75" s="300"/>
      <x:c r="O75" s="300"/>
    </x:row>
    <x:row r="76">
      <x:c r="F76" s="300"/>
      <x:c r="O76" s="300"/>
    </x:row>
    <x:row r="77">
      <x:c r="F77" s="300"/>
      <x:c r="O77" s="300"/>
    </x:row>
    <x:row r="78">
      <x:c r="F78" s="300"/>
      <x:c r="O78" s="300"/>
    </x:row>
    <x:row r="79">
      <x:c r="F79" s="300"/>
      <x:c r="O79" s="300"/>
    </x:row>
    <x:row r="80">
      <x:c r="F80" s="300"/>
      <x:c r="O80" s="300"/>
    </x:row>
    <x:row r="81">
      <x:c r="F81" s="300"/>
      <x:c r="O81" s="300"/>
    </x:row>
    <x:row r="82">
      <x:c r="F82" s="300"/>
      <x:c r="O82" s="300"/>
    </x:row>
    <x:row r="83">
      <x:c r="F83" s="300"/>
      <x:c r="O83" s="300"/>
    </x:row>
    <x:row r="84">
      <x:c r="F84" s="300"/>
      <x:c r="O84" s="300"/>
    </x:row>
    <x:row r="85">
      <x:c r="F85" s="300"/>
      <x:c r="O85" s="300"/>
    </x:row>
    <x:row r="86">
      <x:c r="F86" s="300"/>
      <x:c r="O86" s="300"/>
    </x:row>
    <x:row r="87">
      <x:c r="F87" s="300"/>
      <x:c r="O87" s="300"/>
    </x:row>
    <x:row r="88">
      <x:c r="F88" s="300"/>
      <x:c r="O88" s="300"/>
    </x:row>
    <x:row r="89">
      <x:c r="F89" s="300"/>
      <x:c r="O89" s="300"/>
    </x:row>
    <x:row r="90">
      <x:c r="F90" s="300"/>
      <x:c r="O90" s="300"/>
    </x:row>
    <x:row r="91">
      <x:c r="F91" s="300"/>
      <x:c r="O91" s="300"/>
    </x:row>
    <x:row r="92">
      <x:c r="F92" s="300"/>
      <x:c r="O92" s="300"/>
    </x:row>
    <x:row r="93">
      <x:c r="F93" s="300"/>
      <x:c r="O93" s="300"/>
    </x:row>
    <x:row r="94">
      <x:c r="F94" s="300"/>
      <x:c r="O94" s="300"/>
    </x:row>
    <x:row r="95">
      <x:c r="F95" s="300"/>
      <x:c r="O95" s="300"/>
    </x:row>
    <x:row r="96">
      <x:c r="F96" s="300"/>
      <x:c r="O96" s="300"/>
    </x:row>
    <x:row r="97">
      <x:c r="F97" s="300"/>
      <x:c r="O97" s="300"/>
    </x:row>
    <x:row r="98">
      <x:c r="F98" s="300"/>
      <x:c r="O98" s="300"/>
    </x:row>
    <x:row r="99">
      <x:c r="F99" s="300"/>
      <x:c r="O99" s="300"/>
    </x:row>
    <x:row r="100">
      <x:c r="F100" s="300"/>
      <x:c r="O100" s="300"/>
    </x:row>
    <x:row r="101">
      <x:c r="F101" s="300"/>
      <x:c r="O101" s="300"/>
    </x:row>
    <x:row r="102">
      <x:c r="F102" s="300"/>
      <x:c r="O102" s="300"/>
    </x:row>
    <x:row r="103">
      <x:c r="F103" s="300"/>
      <x:c r="O103" s="300"/>
    </x:row>
    <x:row r="104">
      <x:c r="F104" s="300"/>
      <x:c r="O104" s="300"/>
    </x:row>
    <x:row r="105">
      <x:c r="F105" s="300"/>
      <x:c r="O105" s="300"/>
    </x:row>
    <x:row r="106">
      <x:c r="F106" s="300"/>
      <x:c r="O106" s="300"/>
    </x:row>
    <x:row r="107">
      <x:c r="F107" s="300"/>
      <x:c r="O107" s="300"/>
    </x:row>
    <x:row r="108">
      <x:c r="F108" s="300"/>
      <x:c r="O108" s="300"/>
    </x:row>
    <x:row r="109">
      <x:c r="F109" s="300"/>
      <x:c r="O109" s="300"/>
    </x:row>
    <x:row r="110">
      <x:c r="F110" s="300"/>
      <x:c r="O110" s="300"/>
    </x:row>
    <x:row r="111">
      <x:c r="F111" s="300"/>
      <x:c r="O111" s="300"/>
    </x:row>
    <x:row r="112">
      <x:c r="F112" s="300"/>
      <x:c r="O112" s="300"/>
    </x:row>
    <x:row r="113">
      <x:c r="F113" s="300"/>
      <x:c r="O113" s="300"/>
    </x:row>
    <x:row r="114">
      <x:c r="F114" s="300"/>
      <x:c r="O114" s="300"/>
    </x:row>
    <x:row r="115">
      <x:c r="F115" s="300"/>
      <x:c r="O115" s="300"/>
    </x:row>
    <x:row r="116">
      <x:c r="F116" s="300"/>
      <x:c r="O116" s="300"/>
    </x:row>
    <x:row r="117">
      <x:c r="F117" s="300"/>
      <x:c r="O117" s="300"/>
    </x:row>
    <x:row r="118">
      <x:c r="F118" s="300"/>
      <x:c r="O118" s="300"/>
    </x:row>
    <x:row r="119">
      <x:c r="F119" s="300"/>
      <x:c r="O119" s="300"/>
    </x:row>
    <x:row r="120">
      <x:c r="F120" s="300"/>
      <x:c r="O120" s="300"/>
    </x:row>
    <x:row r="121">
      <x:c r="F121" s="300"/>
      <x:c r="O121" s="300"/>
    </x:row>
    <x:row r="122">
      <x:c r="F122" s="300"/>
      <x:c r="O122" s="300"/>
    </x:row>
    <x:row r="123">
      <x:c r="F123" s="300"/>
      <x:c r="O123" s="300"/>
    </x:row>
    <x:row r="124">
      <x:c r="F124" s="300"/>
      <x:c r="O124" s="300"/>
    </x:row>
    <x:row r="125">
      <x:c r="F125" s="300"/>
      <x:c r="O125" s="300"/>
    </x:row>
    <x:row r="126">
      <x:c r="F126" s="300"/>
      <x:c r="O126" s="300"/>
    </x:row>
    <x:row r="127">
      <x:c r="F127" s="300"/>
      <x:c r="O127" s="300"/>
    </x:row>
    <x:row r="128">
      <x:c r="F128" s="300"/>
      <x:c r="O128" s="300"/>
    </x:row>
    <x:row r="129">
      <x:c r="F129" s="300"/>
      <x:c r="O129" s="300"/>
    </x:row>
    <x:row r="130">
      <x:c r="F130" s="300"/>
      <x:c r="O130" s="300"/>
    </x:row>
    <x:row r="131">
      <x:c r="F131" s="300"/>
      <x:c r="O131" s="300"/>
    </x:row>
    <x:row r="132">
      <x:c r="F132" s="300"/>
      <x:c r="O132" s="300"/>
    </x:row>
    <x:row r="133">
      <x:c r="F133" s="300"/>
      <x:c r="O133" s="300"/>
    </x:row>
    <x:row r="134">
      <x:c r="F134" s="300"/>
      <x:c r="O134" s="300"/>
    </x:row>
    <x:row r="135">
      <x:c r="F135" s="300"/>
      <x:c r="O135" s="300"/>
    </x:row>
    <x:row r="136">
      <x:c r="F136" s="300"/>
      <x:c r="O136" s="300"/>
    </x:row>
    <x:row r="137">
      <x:c r="F137" s="300"/>
      <x:c r="O137" s="300"/>
    </x:row>
    <x:row r="138">
      <x:c r="F138" s="300"/>
      <x:c r="O138" s="300"/>
    </x:row>
    <x:row r="139">
      <x:c r="F139" s="300"/>
      <x:c r="O139" s="300"/>
    </x:row>
    <x:row r="140">
      <x:c r="F140" s="300"/>
      <x:c r="O140" s="300"/>
    </x:row>
    <x:row r="141">
      <x:c r="F141" s="300"/>
      <x:c r="O141" s="300"/>
    </x:row>
    <x:row r="142">
      <x:c r="F142" s="300"/>
      <x:c r="O142" s="300"/>
    </x:row>
    <x:row r="143">
      <x:c r="F143" s="300"/>
      <x:c r="O143" s="300"/>
    </x:row>
    <x:row r="144">
      <x:c r="F144" s="300"/>
      <x:c r="O144" s="300"/>
    </x:row>
    <x:row r="145">
      <x:c r="F145" s="300"/>
      <x:c r="O145" s="300"/>
    </x:row>
    <x:row r="146">
      <x:c r="F146" s="300"/>
      <x:c r="O146" s="300"/>
    </x:row>
    <x:row r="147">
      <x:c r="F147" s="300"/>
      <x:c r="O147" s="300"/>
    </x:row>
    <x:row r="148">
      <x:c r="F148" s="300"/>
      <x:c r="O148" s="300"/>
    </x:row>
    <x:row r="149">
      <x:c r="F149" s="300"/>
      <x:c r="O149" s="300"/>
    </x:row>
    <x:row r="150">
      <x:c r="F150" s="300"/>
      <x:c r="O150" s="300"/>
    </x:row>
    <x:row r="151">
      <x:c r="F151" s="300"/>
      <x:c r="O151" s="300"/>
    </x:row>
    <x:row r="152">
      <x:c r="F152" s="300"/>
      <x:c r="O152" s="300"/>
    </x:row>
    <x:row r="153">
      <x:c r="F153" s="300"/>
      <x:c r="O153" s="300"/>
    </x:row>
    <x:row r="154">
      <x:c r="F154" s="300"/>
      <x:c r="O154" s="300"/>
    </x:row>
    <x:row r="155">
      <x:c r="F155" s="300"/>
      <x:c r="O155" s="300"/>
    </x:row>
    <x:row r="156">
      <x:c r="F156" s="300"/>
      <x:c r="O156" s="300"/>
    </x:row>
    <x:row r="157">
      <x:c r="F157" s="300"/>
      <x:c r="O157" s="300"/>
    </x:row>
    <x:row r="158">
      <x:c r="F158" s="300"/>
      <x:c r="O158" s="300"/>
    </x:row>
    <x:row r="159">
      <x:c r="F159" s="300"/>
      <x:c r="O159" s="300"/>
    </x:row>
    <x:row r="160">
      <x:c r="F160" s="300"/>
      <x:c r="O160" s="300"/>
    </x:row>
    <x:row r="161">
      <x:c r="F161" s="300"/>
      <x:c r="O161" s="300"/>
    </x:row>
    <x:row r="162">
      <x:c r="F162" s="300"/>
      <x:c r="O162" s="300"/>
    </x:row>
    <x:row r="163">
      <x:c r="F163" s="300"/>
      <x:c r="O163" s="300"/>
    </x:row>
    <x:row r="164">
      <x:c r="F164" s="300"/>
      <x:c r="O164" s="300"/>
    </x:row>
    <x:row r="165">
      <x:c r="F165" s="300"/>
      <x:c r="O165" s="300"/>
    </x:row>
    <x:row r="166">
      <x:c r="F166" s="300"/>
      <x:c r="O166" s="300"/>
    </x:row>
    <x:row r="167">
      <x:c r="F167" s="300"/>
      <x:c r="O167" s="300"/>
    </x:row>
    <x:row r="168">
      <x:c r="F168" s="300"/>
      <x:c r="O168" s="300"/>
    </x:row>
    <x:row r="169">
      <x:c r="F169" s="300"/>
      <x:c r="O169" s="300"/>
    </x:row>
    <x:row r="170">
      <x:c r="F170" s="300"/>
      <x:c r="O170" s="300"/>
    </x:row>
    <x:row r="171">
      <x:c r="F171" s="300"/>
      <x:c r="O171" s="300"/>
    </x:row>
    <x:row r="172">
      <x:c r="F172" s="300"/>
      <x:c r="O172" s="300"/>
    </x:row>
    <x:row r="173">
      <x:c r="F173" s="300"/>
      <x:c r="O173" s="300"/>
    </x:row>
    <x:row r="174">
      <x:c r="F174" s="300"/>
      <x:c r="O174" s="300"/>
    </x:row>
    <x:row r="175">
      <x:c r="F175" s="300"/>
      <x:c r="O175" s="300"/>
    </x:row>
    <x:row r="176">
      <x:c r="F176" s="300"/>
      <x:c r="O176" s="300"/>
    </x:row>
    <x:row r="177">
      <x:c r="F177" s="300"/>
      <x:c r="O177" s="300"/>
    </x:row>
    <x:row r="178">
      <x:c r="F178" s="300"/>
      <x:c r="O178" s="300"/>
    </x:row>
    <x:row r="179">
      <x:c r="F179" s="300"/>
      <x:c r="O179" s="300"/>
    </x:row>
    <x:row r="180">
      <x:c r="F180" s="300"/>
      <x:c r="O180" s="300"/>
    </x:row>
    <x:row r="181">
      <x:c r="F181" s="300"/>
      <x:c r="O181" s="300"/>
    </x:row>
    <x:row r="182">
      <x:c r="F182" s="300"/>
      <x:c r="O182" s="300"/>
    </x:row>
    <x:row r="183">
      <x:c r="F183" s="300"/>
      <x:c r="O183" s="300"/>
    </x:row>
    <x:row r="184">
      <x:c r="F184" s="300"/>
      <x:c r="O184" s="300"/>
    </x:row>
    <x:row r="185">
      <x:c r="F185" s="300"/>
      <x:c r="O185" s="300"/>
    </x:row>
    <x:row r="186">
      <x:c r="F186" s="300"/>
      <x:c r="O186" s="300"/>
    </x:row>
    <x:row r="187">
      <x:c r="F187" s="300"/>
      <x:c r="O187" s="300"/>
    </x:row>
    <x:row r="188">
      <x:c r="F188" s="300"/>
      <x:c r="O188" s="300"/>
    </x:row>
    <x:row r="189">
      <x:c r="F189" s="300"/>
      <x:c r="O189" s="300"/>
    </x:row>
    <x:row r="190">
      <x:c r="F190" s="300"/>
      <x:c r="O190" s="300"/>
    </x:row>
    <x:row r="191">
      <x:c r="F191" s="300"/>
      <x:c r="O191" s="300"/>
    </x:row>
    <x:row r="192">
      <x:c r="F192" s="300"/>
      <x:c r="O192" s="300"/>
    </x:row>
    <x:row r="193">
      <x:c r="F193" s="300"/>
      <x:c r="O193" s="300"/>
    </x:row>
    <x:row r="194">
      <x:c r="F194" s="300"/>
      <x:c r="O194" s="300"/>
    </x:row>
    <x:row r="195">
      <x:c r="F195" s="300"/>
      <x:c r="O195" s="300"/>
    </x:row>
    <x:row r="196">
      <x:c r="F196" s="300"/>
      <x:c r="O196" s="300"/>
    </x:row>
    <x:row r="197">
      <x:c r="F197" s="300"/>
      <x:c r="O197" s="300"/>
    </x:row>
    <x:row r="198">
      <x:c r="F198" s="300"/>
      <x:c r="O198" s="300"/>
    </x:row>
    <x:row r="199">
      <x:c r="F199" s="300"/>
      <x:c r="O199" s="300"/>
    </x:row>
    <x:row r="200">
      <x:c r="F200" s="300"/>
      <x:c r="O200" s="300"/>
    </x:row>
    <x:row r="201">
      <x:c r="F201" s="300"/>
      <x:c r="O201" s="300"/>
    </x:row>
    <x:row r="202">
      <x:c r="F202" s="300"/>
      <x:c r="O202" s="300"/>
    </x:row>
    <x:row r="203">
      <x:c r="F203" s="300"/>
      <x:c r="O203" s="300"/>
    </x:row>
    <x:row r="204">
      <x:c r="F204" s="300"/>
      <x:c r="O204" s="300"/>
    </x:row>
    <x:row r="205">
      <x:c r="F205" s="300"/>
      <x:c r="O205" s="300"/>
    </x:row>
    <x:row r="206">
      <x:c r="F206" s="300"/>
      <x:c r="O206" s="300"/>
    </x:row>
    <x:row r="207">
      <x:c r="F207" s="300"/>
      <x:c r="O207" s="300"/>
    </x:row>
    <x:row r="208">
      <x:c r="F208" s="300"/>
      <x:c r="O208" s="300"/>
    </x:row>
    <x:row r="209">
      <x:c r="F209" s="300"/>
      <x:c r="O209" s="300"/>
    </x:row>
    <x:row r="210">
      <x:c r="F210" s="300"/>
      <x:c r="O210" s="300"/>
    </x:row>
    <x:row r="211">
      <x:c r="F211" s="300"/>
      <x:c r="O211" s="300"/>
    </x:row>
    <x:row r="212">
      <x:c r="F212" s="300"/>
      <x:c r="O212" s="300"/>
    </x:row>
    <x:row r="213">
      <x:c r="F213" s="300"/>
      <x:c r="O213" s="300"/>
    </x:row>
    <x:row r="214">
      <x:c r="F214" s="300"/>
      <x:c r="O214" s="300"/>
    </x:row>
    <x:row r="215">
      <x:c r="F215" s="300"/>
      <x:c r="O215" s="300"/>
    </x:row>
    <x:row r="216">
      <x:c r="F216" s="300"/>
      <x:c r="O216" s="300"/>
    </x:row>
    <x:row r="217">
      <x:c r="F217" s="300"/>
      <x:c r="O217" s="300"/>
    </x:row>
    <x:row r="218">
      <x:c r="F218" s="300"/>
      <x:c r="O218" s="300"/>
    </x:row>
    <x:row r="219">
      <x:c r="F219" s="300"/>
      <x:c r="O219" s="300"/>
    </x:row>
    <x:row r="220">
      <x:c r="F220" s="300"/>
      <x:c r="O220" s="300"/>
    </x:row>
    <x:row r="221">
      <x:c r="F221" s="300"/>
      <x:c r="O221" s="300"/>
    </x:row>
    <x:row r="222">
      <x:c r="F222" s="300"/>
      <x:c r="O222" s="300"/>
    </x:row>
    <x:row r="223">
      <x:c r="F223" s="300"/>
      <x:c r="O223" s="300"/>
    </x:row>
    <x:row r="224">
      <x:c r="F224" s="300"/>
      <x:c r="O224" s="300"/>
    </x:row>
    <x:row r="225">
      <x:c r="F225" s="300"/>
      <x:c r="O225" s="300"/>
    </x:row>
    <x:row r="226">
      <x:c r="F226" s="300"/>
      <x:c r="O226" s="300"/>
    </x:row>
    <x:row r="227">
      <x:c r="F227" s="300"/>
      <x:c r="O227" s="300"/>
    </x:row>
    <x:row r="228">
      <x:c r="F228" s="300"/>
      <x:c r="O228" s="300"/>
    </x:row>
    <x:row r="229">
      <x:c r="F229" s="300"/>
      <x:c r="O229" s="300"/>
    </x:row>
    <x:row r="230">
      <x:c r="F230" s="300"/>
      <x:c r="O230" s="300"/>
    </x:row>
    <x:row r="231">
      <x:c r="F231" s="300"/>
      <x:c r="O231" s="300"/>
    </x:row>
    <x:row r="232">
      <x:c r="F232" s="300"/>
      <x:c r="O232" s="300"/>
    </x:row>
    <x:row r="233">
      <x:c r="F233" s="300"/>
      <x:c r="O233" s="300"/>
    </x:row>
    <x:row r="234">
      <x:c r="F234" s="300"/>
      <x:c r="O234" s="300"/>
    </x:row>
    <x:row r="235">
      <x:c r="F235" s="300"/>
      <x:c r="O235" s="300"/>
    </x:row>
    <x:row r="236">
      <x:c r="F236" s="300"/>
      <x:c r="O236" s="300"/>
    </x:row>
    <x:row r="237">
      <x:c r="F237" s="300"/>
      <x:c r="O237" s="300"/>
    </x:row>
    <x:row r="238">
      <x:c r="F238" s="300"/>
      <x:c r="O238" s="300"/>
    </x:row>
    <x:row r="239">
      <x:c r="F239" s="300"/>
      <x:c r="O239" s="300"/>
    </x:row>
    <x:row r="240">
      <x:c r="F240" s="300"/>
      <x:c r="O240" s="300"/>
    </x:row>
    <x:row r="241">
      <x:c r="F241" s="300"/>
      <x:c r="O241" s="300"/>
    </x:row>
    <x:row r="242">
      <x:c r="F242" s="300"/>
      <x:c r="O242" s="300"/>
    </x:row>
    <x:row r="243">
      <x:c r="F243" s="300"/>
      <x:c r="O243" s="300"/>
    </x:row>
    <x:row r="244">
      <x:c r="F244" s="300"/>
      <x:c r="O244" s="300"/>
    </x:row>
    <x:row r="245">
      <x:c r="F245" s="300"/>
      <x:c r="O245" s="300"/>
    </x:row>
    <x:row r="246">
      <x:c r="F246" s="300"/>
      <x:c r="O246" s="300"/>
    </x:row>
    <x:row r="247">
      <x:c r="F247" s="300"/>
      <x:c r="O247" s="300"/>
    </x:row>
    <x:row r="248">
      <x:c r="F248" s="300"/>
      <x:c r="O248" s="300"/>
    </x:row>
    <x:row r="249">
      <x:c r="F249" s="300"/>
      <x:c r="O249" s="300"/>
    </x:row>
    <x:row r="250">
      <x:c r="F250" s="300"/>
      <x:c r="O250" s="300"/>
    </x:row>
    <x:row r="251">
      <x:c r="F251" s="300"/>
      <x:c r="O251" s="300"/>
    </x:row>
    <x:row r="252">
      <x:c r="F252" s="300"/>
      <x:c r="O252" s="300"/>
    </x:row>
    <x:row r="253">
      <x:c r="F253" s="300"/>
      <x:c r="O253" s="300"/>
    </x:row>
    <x:row r="254">
      <x:c r="F254" s="300"/>
      <x:c r="O254" s="300"/>
    </x:row>
    <x:row r="255">
      <x:c r="F255" s="300"/>
      <x:c r="O255" s="300"/>
    </x:row>
    <x:row r="256">
      <x:c r="F256" s="300"/>
      <x:c r="O256" s="300"/>
    </x:row>
    <x:row r="257">
      <x:c r="F257" s="300"/>
      <x:c r="O257" s="300"/>
    </x:row>
    <x:row r="258">
      <x:c r="F258" s="300"/>
      <x:c r="O258" s="300"/>
    </x:row>
    <x:row r="259">
      <x:c r="F259" s="300"/>
      <x:c r="O259" s="300"/>
    </x:row>
    <x:row r="260">
      <x:c r="F260" s="300"/>
      <x:c r="O260" s="300"/>
    </x:row>
    <x:row r="261">
      <x:c r="F261" s="300"/>
      <x:c r="O261" s="300"/>
    </x:row>
    <x:row r="262">
      <x:c r="F262" s="300"/>
      <x:c r="O262" s="300"/>
    </x:row>
    <x:row r="263">
      <x:c r="F263" s="300"/>
      <x:c r="O263" s="300"/>
    </x:row>
    <x:row r="264">
      <x:c r="F264" s="300"/>
      <x:c r="O264" s="300"/>
    </x:row>
    <x:row r="265">
      <x:c r="F265" s="300"/>
      <x:c r="O265" s="300"/>
    </x:row>
    <x:row r="266">
      <x:c r="F266" s="300"/>
      <x:c r="O266" s="300"/>
    </x:row>
    <x:row r="267">
      <x:c r="F267" s="300"/>
      <x:c r="O267" s="300"/>
    </x:row>
    <x:row r="268">
      <x:c r="F268" s="300"/>
      <x:c r="O268" s="300"/>
    </x:row>
    <x:row r="269">
      <x:c r="F269" s="300"/>
      <x:c r="O269" s="300"/>
    </x:row>
    <x:row r="270">
      <x:c r="F270" s="300"/>
      <x:c r="O270" s="300"/>
    </x:row>
    <x:row r="271">
      <x:c r="F271" s="300"/>
      <x:c r="O271" s="300"/>
    </x:row>
    <x:row r="272">
      <x:c r="F272" s="300"/>
      <x:c r="O272" s="300"/>
    </x:row>
    <x:row r="273">
      <x:c r="F273" s="300"/>
      <x:c r="O273" s="300"/>
    </x:row>
    <x:row r="274">
      <x:c r="F274" s="300"/>
      <x:c r="O274" s="300"/>
    </x:row>
    <x:row r="275">
      <x:c r="F275" s="300"/>
      <x:c r="O275" s="300"/>
    </x:row>
    <x:row r="276">
      <x:c r="F276" s="300"/>
      <x:c r="O276" s="300"/>
    </x:row>
    <x:row r="277">
      <x:c r="F277" s="300"/>
      <x:c r="O277" s="300"/>
    </x:row>
    <x:row r="278">
      <x:c r="F278" s="300"/>
      <x:c r="O278" s="300"/>
    </x:row>
    <x:row r="279">
      <x:c r="F279" s="300"/>
      <x:c r="O279" s="300"/>
    </x:row>
    <x:row r="280">
      <x:c r="F280" s="300"/>
      <x:c r="O280" s="300"/>
    </x:row>
    <x:row r="281">
      <x:c r="F281" s="300"/>
      <x:c r="O281" s="300"/>
    </x:row>
    <x:row r="282">
      <x:c r="F282" s="300"/>
      <x:c r="O282" s="300"/>
    </x:row>
    <x:row r="283">
      <x:c r="F283" s="300"/>
      <x:c r="O283" s="300"/>
    </x:row>
    <x:row r="284">
      <x:c r="F284" s="300"/>
      <x:c r="O284" s="300"/>
    </x:row>
    <x:row r="285">
      <x:c r="F285" s="300"/>
      <x:c r="O285" s="300"/>
    </x:row>
    <x:row r="286">
      <x:c r="F286" s="300"/>
      <x:c r="O286" s="300"/>
    </x:row>
    <x:row r="287">
      <x:c r="F287" s="300"/>
      <x:c r="O287" s="300"/>
    </x:row>
    <x:row r="288">
      <x:c r="F288" s="300"/>
      <x:c r="O288" s="300"/>
    </x:row>
    <x:row r="289">
      <x:c r="F289" s="300"/>
      <x:c r="O289" s="300"/>
    </x:row>
    <x:row r="290">
      <x:c r="F290" s="300"/>
      <x:c r="O290" s="300"/>
    </x:row>
    <x:row r="291">
      <x:c r="F291" s="300"/>
      <x:c r="O291" s="300"/>
    </x:row>
    <x:row r="292">
      <x:c r="F292" s="300"/>
      <x:c r="O292" s="300"/>
    </x:row>
    <x:row r="293">
      <x:c r="F293" s="300"/>
      <x:c r="O293" s="300"/>
    </x:row>
    <x:row r="294">
      <x:c r="F294" s="300"/>
      <x:c r="O294" s="300"/>
    </x:row>
    <x:row r="295">
      <x:c r="F295" s="300"/>
      <x:c r="O295" s="300"/>
    </x:row>
    <x:row r="296">
      <x:c r="F296" s="300"/>
      <x:c r="O296" s="300"/>
    </x:row>
    <x:row r="297">
      <x:c r="F297" s="300"/>
      <x:c r="O297" s="300"/>
    </x:row>
    <x:row r="298">
      <x:c r="F298" s="300"/>
      <x:c r="O298" s="300"/>
    </x:row>
    <x:row r="299">
      <x:c r="F299" s="300"/>
      <x:c r="O299" s="300"/>
    </x:row>
    <x:row r="300">
      <x:c r="F300" s="300"/>
      <x:c r="O300" s="300"/>
    </x:row>
    <x:row r="301">
      <x:c r="F301" s="300"/>
      <x:c r="O301" s="300"/>
    </x:row>
    <x:row r="302">
      <x:c r="F302" s="300"/>
      <x:c r="O302" s="300"/>
    </x:row>
    <x:row r="303">
      <x:c r="F303" s="300"/>
      <x:c r="O303" s="300"/>
    </x:row>
    <x:row r="304">
      <x:c r="F304" s="300"/>
      <x:c r="O304" s="300"/>
    </x:row>
    <x:row r="305">
      <x:c r="F305" s="300"/>
      <x:c r="O305" s="300"/>
    </x:row>
    <x:row r="306">
      <x:c r="F306" s="300"/>
      <x:c r="O306" s="300"/>
    </x:row>
    <x:row r="307">
      <x:c r="F307" s="300"/>
      <x:c r="O307" s="300"/>
    </x:row>
    <x:row r="308">
      <x:c r="F308" s="300"/>
      <x:c r="O308" s="300"/>
    </x:row>
    <x:row r="309">
      <x:c r="F309" s="300"/>
      <x:c r="O309" s="300"/>
    </x:row>
    <x:row r="310">
      <x:c r="F310" s="300"/>
      <x:c r="O310" s="300"/>
    </x:row>
    <x:row r="311">
      <x:c r="F311" s="300"/>
      <x:c r="O311" s="300"/>
    </x:row>
    <x:row r="312">
      <x:c r="F312" s="300"/>
      <x:c r="O312" s="300"/>
    </x:row>
    <x:row r="313">
      <x:c r="F313" s="300"/>
      <x:c r="O313" s="300"/>
    </x:row>
    <x:row r="314">
      <x:c r="F314" s="300"/>
      <x:c r="O314" s="300"/>
    </x:row>
    <x:row r="315">
      <x:c r="F315" s="300"/>
      <x:c r="O315" s="300"/>
    </x:row>
    <x:row r="316">
      <x:c r="F316" s="300"/>
      <x:c r="O316" s="300"/>
    </x:row>
    <x:row r="317">
      <x:c r="F317" s="300"/>
      <x:c r="O317" s="300"/>
    </x:row>
    <x:row r="318">
      <x:c r="F318" s="300"/>
      <x:c r="O318" s="300"/>
    </x:row>
    <x:row r="319">
      <x:c r="F319" s="300"/>
      <x:c r="O319" s="300"/>
    </x:row>
    <x:row r="320">
      <x:c r="F320" s="300"/>
      <x:c r="O320" s="300"/>
    </x:row>
    <x:row r="321">
      <x:c r="F321" s="300"/>
      <x:c r="O321" s="300"/>
    </x:row>
    <x:row r="322">
      <x:c r="F322" s="300"/>
      <x:c r="O322" s="300"/>
    </x:row>
    <x:row r="323">
      <x:c r="F323" s="300"/>
      <x:c r="O323" s="300"/>
    </x:row>
    <x:row r="324">
      <x:c r="F324" s="300"/>
      <x:c r="O324" s="300"/>
    </x:row>
    <x:row r="325">
      <x:c r="F325" s="300"/>
      <x:c r="O325" s="300"/>
    </x:row>
    <x:row r="326">
      <x:c r="F326" s="300"/>
      <x:c r="O326" s="300"/>
    </x:row>
    <x:row r="327">
      <x:c r="F327" s="300"/>
      <x:c r="O327" s="300"/>
    </x:row>
    <x:row r="328">
      <x:c r="F328" s="300"/>
      <x:c r="O328" s="300"/>
    </x:row>
    <x:row r="329">
      <x:c r="F329" s="300"/>
      <x:c r="O329" s="300"/>
    </x:row>
    <x:row r="330">
      <x:c r="F330" s="300"/>
      <x:c r="O330" s="300"/>
    </x:row>
    <x:row r="331">
      <x:c r="F331" s="300"/>
      <x:c r="O331" s="300"/>
    </x:row>
    <x:row r="332">
      <x:c r="F332" s="300"/>
      <x:c r="O332" s="300"/>
    </x:row>
    <x:row r="333">
      <x:c r="F333" s="300"/>
      <x:c r="O333" s="300"/>
    </x:row>
    <x:row r="334">
      <x:c r="F334" s="300"/>
      <x:c r="O334" s="300"/>
    </x:row>
    <x:row r="335">
      <x:c r="F335" s="300"/>
      <x:c r="O335" s="300"/>
    </x:row>
    <x:row r="336">
      <x:c r="F336" s="300"/>
      <x:c r="O336" s="300"/>
    </x:row>
    <x:row r="337">
      <x:c r="F337" s="300"/>
      <x:c r="O337" s="300"/>
    </x:row>
    <x:row r="338">
      <x:c r="F338" s="300"/>
      <x:c r="O338" s="300"/>
    </x:row>
    <x:row r="339">
      <x:c r="F339" s="300"/>
      <x:c r="O339" s="300"/>
    </x:row>
    <x:row r="340">
      <x:c r="F340" s="300"/>
      <x:c r="O340" s="300"/>
    </x:row>
    <x:row r="341">
      <x:c r="F341" s="300"/>
      <x:c r="O341" s="300"/>
    </x:row>
    <x:row r="342">
      <x:c r="F342" s="300"/>
      <x:c r="O342" s="300"/>
    </x:row>
    <x:row r="343">
      <x:c r="F343" s="300"/>
      <x:c r="O343" s="300"/>
    </x:row>
    <x:row r="344">
      <x:c r="F344" s="300"/>
      <x:c r="O344" s="300"/>
    </x:row>
    <x:row r="345">
      <x:c r="F345" s="300"/>
      <x:c r="O345" s="300"/>
    </x:row>
    <x:row r="346">
      <x:c r="F346" s="300"/>
      <x:c r="O346" s="300"/>
    </x:row>
    <x:row r="347">
      <x:c r="F347" s="300"/>
      <x:c r="O347" s="300"/>
    </x:row>
    <x:row r="348">
      <x:c r="F348" s="300"/>
      <x:c r="O348" s="300"/>
    </x:row>
    <x:row r="349">
      <x:c r="F349" s="300"/>
      <x:c r="O349" s="300"/>
    </x:row>
    <x:row r="350">
      <x:c r="F350" s="300"/>
      <x:c r="O350" s="300"/>
    </x:row>
    <x:row r="351">
      <x:c r="F351" s="300"/>
      <x:c r="O351" s="300"/>
    </x:row>
    <x:row r="352">
      <x:c r="F352" s="300"/>
      <x:c r="O352" s="300"/>
    </x:row>
    <x:row r="353">
      <x:c r="F353" s="300"/>
      <x:c r="O353" s="300"/>
    </x:row>
    <x:row r="354">
      <x:c r="F354" s="300"/>
      <x:c r="O354" s="300"/>
    </x:row>
    <x:row r="355">
      <x:c r="F355" s="300"/>
      <x:c r="O355" s="300"/>
    </x:row>
    <x:row r="356">
      <x:c r="F356" s="300"/>
      <x:c r="O356" s="300"/>
    </x:row>
    <x:row r="357">
      <x:c r="F357" s="300"/>
      <x:c r="O357" s="300"/>
    </x:row>
    <x:row r="358">
      <x:c r="F358" s="300"/>
      <x:c r="O358" s="300"/>
    </x:row>
    <x:row r="359">
      <x:c r="F359" s="300"/>
      <x:c r="O359" s="300"/>
    </x:row>
    <x:row r="360">
      <x:c r="F360" s="300"/>
      <x:c r="O360" s="300"/>
    </x:row>
    <x:row r="361">
      <x:c r="F361" s="300"/>
      <x:c r="O361" s="300"/>
    </x:row>
    <x:row r="362">
      <x:c r="F362" s="300"/>
      <x:c r="O362" s="300"/>
    </x:row>
    <x:row r="363">
      <x:c r="F363" s="300"/>
      <x:c r="O363" s="300"/>
    </x:row>
    <x:row r="364">
      <x:c r="F364" s="300"/>
      <x:c r="O364" s="300"/>
    </x:row>
    <x:row r="365">
      <x:c r="F365" s="300"/>
      <x:c r="O365" s="300"/>
    </x:row>
    <x:row r="366">
      <x:c r="F366" s="300"/>
      <x:c r="O366" s="300"/>
    </x:row>
    <x:row r="367">
      <x:c r="F367" s="300"/>
      <x:c r="O367" s="300"/>
    </x:row>
    <x:row r="368">
      <x:c r="F368" s="300"/>
      <x:c r="O368" s="300"/>
    </x:row>
    <x:row r="369">
      <x:c r="F369" s="300"/>
      <x:c r="O369" s="300"/>
    </x:row>
    <x:row r="370">
      <x:c r="F370" s="300"/>
      <x:c r="O370" s="300"/>
    </x:row>
    <x:row r="371">
      <x:c r="F371" s="300"/>
      <x:c r="O371" s="300"/>
    </x:row>
    <x:row r="372">
      <x:c r="F372" s="300"/>
      <x:c r="O372" s="300"/>
    </x:row>
    <x:row r="373">
      <x:c r="F373" s="300"/>
      <x:c r="O373" s="300"/>
    </x:row>
    <x:row r="374">
      <x:c r="F374" s="300"/>
      <x:c r="O374" s="300"/>
    </x:row>
    <x:row r="375">
      <x:c r="F375" s="300"/>
      <x:c r="O375" s="300"/>
    </x:row>
    <x:row r="376">
      <x:c r="F376" s="300"/>
      <x:c r="O376" s="300"/>
    </x:row>
    <x:row r="377">
      <x:c r="F377" s="300"/>
      <x:c r="O377" s="300"/>
    </x:row>
    <x:row r="378">
      <x:c r="F378" s="300"/>
      <x:c r="O378" s="300"/>
    </x:row>
    <x:row r="379">
      <x:c r="F379" s="300"/>
      <x:c r="O379" s="300"/>
    </x:row>
    <x:row r="380">
      <x:c r="F380" s="300"/>
      <x:c r="O380" s="300"/>
    </x:row>
    <x:row r="381">
      <x:c r="F381" s="300"/>
      <x:c r="O381" s="300"/>
    </x:row>
    <x:row r="382">
      <x:c r="F382" s="300"/>
      <x:c r="O382" s="300"/>
    </x:row>
    <x:row r="383">
      <x:c r="F383" s="300"/>
      <x:c r="O383" s="300"/>
    </x:row>
    <x:row r="384">
      <x:c r="F384" s="300"/>
      <x:c r="O384" s="300"/>
    </x:row>
    <x:row r="385">
      <x:c r="F385" s="300"/>
      <x:c r="O385" s="300"/>
    </x:row>
    <x:row r="386">
      <x:c r="F386" s="300"/>
      <x:c r="O386" s="300"/>
    </x:row>
    <x:row r="387">
      <x:c r="F387" s="300"/>
      <x:c r="O387" s="300"/>
    </x:row>
    <x:row r="388">
      <x:c r="F388" s="300"/>
      <x:c r="O388" s="300"/>
    </x:row>
    <x:row r="389">
      <x:c r="F389" s="300"/>
      <x:c r="O389" s="300"/>
    </x:row>
    <x:row r="390">
      <x:c r="F390" s="300"/>
      <x:c r="O390" s="300"/>
    </x:row>
    <x:row r="391">
      <x:c r="F391" s="300"/>
      <x:c r="O391" s="300"/>
    </x:row>
    <x:row r="392">
      <x:c r="F392" s="300"/>
      <x:c r="O392" s="300"/>
    </x:row>
    <x:row r="393">
      <x:c r="F393" s="300"/>
      <x:c r="O393" s="300"/>
    </x:row>
    <x:row r="394">
      <x:c r="F394" s="300"/>
      <x:c r="O394" s="300"/>
    </x:row>
    <x:row r="395">
      <x:c r="F395" s="300"/>
      <x:c r="O395" s="300"/>
    </x:row>
    <x:row r="396">
      <x:c r="F396" s="300"/>
      <x:c r="O396" s="300"/>
    </x:row>
    <x:row r="397">
      <x:c r="F397" s="300"/>
      <x:c r="O397" s="300"/>
    </x:row>
    <x:row r="398">
      <x:c r="F398" s="300"/>
      <x:c r="O398" s="300"/>
    </x:row>
    <x:row r="399">
      <x:c r="F399" s="300"/>
      <x:c r="O399" s="300"/>
    </x:row>
    <x:row r="400">
      <x:c r="F400" s="300"/>
      <x:c r="O400" s="300"/>
    </x:row>
    <x:row r="401">
      <x:c r="F401" s="300"/>
      <x:c r="O401" s="300"/>
    </x:row>
    <x:row r="402">
      <x:c r="F402" s="300"/>
      <x:c r="O402" s="300"/>
    </x:row>
    <x:row r="403">
      <x:c r="F403" s="300"/>
      <x:c r="O403" s="300"/>
    </x:row>
    <x:row r="404">
      <x:c r="F404" s="300"/>
      <x:c r="O404" s="300"/>
    </x:row>
    <x:row r="405">
      <x:c r="F405" s="300"/>
      <x:c r="O405" s="300"/>
    </x:row>
    <x:row r="406">
      <x:c r="F406" s="300"/>
      <x:c r="O406" s="300"/>
    </x:row>
    <x:row r="407">
      <x:c r="F407" s="300"/>
      <x:c r="O407" s="300"/>
    </x:row>
    <x:row r="408">
      <x:c r="F408" s="300"/>
      <x:c r="O408" s="300"/>
    </x:row>
    <x:row r="409">
      <x:c r="F409" s="300"/>
      <x:c r="O409" s="300"/>
    </x:row>
    <x:row r="410">
      <x:c r="F410" s="300"/>
      <x:c r="O410" s="300"/>
    </x:row>
    <x:row r="411">
      <x:c r="F411" s="300"/>
      <x:c r="O411" s="300"/>
    </x:row>
    <x:row r="412">
      <x:c r="F412" s="300"/>
      <x:c r="O412" s="300"/>
    </x:row>
    <x:row r="413">
      <x:c r="F413" s="300"/>
      <x:c r="O413" s="300"/>
    </x:row>
    <x:row r="414">
      <x:c r="F414" s="300"/>
      <x:c r="O414" s="300"/>
    </x:row>
    <x:row r="415">
      <x:c r="F415" s="300"/>
      <x:c r="O415" s="300"/>
    </x:row>
    <x:row r="416">
      <x:c r="F416" s="300"/>
      <x:c r="O416" s="300"/>
    </x:row>
    <x:row r="417">
      <x:c r="F417" s="300"/>
      <x:c r="O417" s="300"/>
    </x:row>
    <x:row r="418">
      <x:c r="F418" s="300"/>
      <x:c r="O418" s="300"/>
    </x:row>
    <x:row r="419">
      <x:c r="F419" s="300"/>
      <x:c r="O419" s="300"/>
    </x:row>
    <x:row r="420">
      <x:c r="F420" s="300"/>
      <x:c r="O420" s="300"/>
    </x:row>
    <x:row r="421">
      <x:c r="F421" s="300"/>
      <x:c r="O421" s="300"/>
    </x:row>
    <x:row r="422">
      <x:c r="F422" s="300"/>
      <x:c r="O422" s="300"/>
    </x:row>
    <x:row r="423">
      <x:c r="F423" s="300"/>
      <x:c r="O423" s="300"/>
    </x:row>
    <x:row r="424">
      <x:c r="F424" s="300"/>
      <x:c r="O424" s="300"/>
    </x:row>
    <x:row r="425">
      <x:c r="F425" s="300"/>
      <x:c r="O425" s="300"/>
    </x:row>
    <x:row r="426">
      <x:c r="F426" s="300"/>
      <x:c r="O426" s="300"/>
    </x:row>
    <x:row r="427">
      <x:c r="F427" s="300"/>
      <x:c r="O427" s="300"/>
    </x:row>
    <x:row r="428">
      <x:c r="F428" s="300"/>
      <x:c r="O428" s="300"/>
    </x:row>
    <x:row r="429">
      <x:c r="F429" s="300"/>
      <x:c r="O429" s="300"/>
    </x:row>
    <x:row r="430">
      <x:c r="F430" s="300"/>
      <x:c r="O430" s="300"/>
    </x:row>
    <x:row r="431">
      <x:c r="F431" s="300"/>
      <x:c r="O431" s="300"/>
    </x:row>
    <x:row r="432">
      <x:c r="F432" s="300"/>
      <x:c r="O432" s="300"/>
    </x:row>
    <x:row r="433">
      <x:c r="F433" s="300"/>
      <x:c r="O433" s="300"/>
    </x:row>
    <x:row r="434">
      <x:c r="F434" s="300"/>
      <x:c r="O434" s="300"/>
    </x:row>
    <x:row r="435">
      <x:c r="F435" s="300"/>
      <x:c r="O435" s="300"/>
    </x:row>
    <x:row r="436">
      <x:c r="F436" s="300"/>
      <x:c r="O436" s="300"/>
    </x:row>
    <x:row r="437">
      <x:c r="F437" s="300"/>
      <x:c r="O437" s="300"/>
    </x:row>
    <x:row r="438">
      <x:c r="F438" s="300"/>
      <x:c r="O438" s="300"/>
    </x:row>
    <x:row r="439">
      <x:c r="F439" s="300"/>
      <x:c r="O439" s="300"/>
    </x:row>
    <x:row r="440">
      <x:c r="F440" s="300"/>
      <x:c r="O440" s="300"/>
    </x:row>
    <x:row r="441">
      <x:c r="F441" s="300"/>
      <x:c r="O441" s="300"/>
    </x:row>
    <x:row r="442">
      <x:c r="F442" s="300"/>
      <x:c r="O442" s="300"/>
    </x:row>
    <x:row r="443">
      <x:c r="F443" s="300"/>
      <x:c r="O443" s="300"/>
    </x:row>
    <x:row r="444">
      <x:c r="F444" s="300"/>
      <x:c r="O444" s="300"/>
    </x:row>
    <x:row r="445">
      <x:c r="F445" s="300"/>
      <x:c r="O445" s="300"/>
    </x:row>
    <x:row r="446">
      <x:c r="F446" s="300"/>
      <x:c r="O446" s="300"/>
    </x:row>
    <x:row r="447">
      <x:c r="F447" s="300"/>
      <x:c r="O447" s="300"/>
    </x:row>
    <x:row r="448">
      <x:c r="F448" s="300"/>
      <x:c r="O448" s="300"/>
    </x:row>
    <x:row r="449">
      <x:c r="F449" s="300"/>
      <x:c r="O449" s="300"/>
    </x:row>
    <x:row r="450">
      <x:c r="F450" s="300"/>
      <x:c r="O450" s="300"/>
    </x:row>
    <x:row r="451">
      <x:c r="F451" s="300"/>
      <x:c r="O451" s="300"/>
    </x:row>
    <x:row r="452">
      <x:c r="F452" s="300"/>
      <x:c r="O452" s="300"/>
    </x:row>
    <x:row r="453">
      <x:c r="F453" s="300"/>
      <x:c r="O453" s="300"/>
    </x:row>
    <x:row r="454">
      <x:c r="F454" s="300"/>
      <x:c r="O454" s="300"/>
    </x:row>
    <x:row r="455">
      <x:c r="F455" s="300"/>
      <x:c r="O455" s="300"/>
    </x:row>
    <x:row r="456">
      <x:c r="F456" s="300"/>
      <x:c r="O456" s="300"/>
    </x:row>
    <x:row r="457">
      <x:c r="F457" s="300"/>
      <x:c r="O457" s="300"/>
    </x:row>
    <x:row r="458">
      <x:c r="F458" s="300"/>
      <x:c r="O458" s="300"/>
    </x:row>
    <x:row r="459">
      <x:c r="F459" s="300"/>
      <x:c r="O459" s="300"/>
    </x:row>
    <x:row r="460">
      <x:c r="F460" s="300"/>
      <x:c r="O460" s="300"/>
    </x:row>
    <x:row r="461">
      <x:c r="F461" s="300"/>
      <x:c r="O461" s="300"/>
    </x:row>
    <x:row r="462">
      <x:c r="F462" s="300"/>
      <x:c r="O462" s="300"/>
    </x:row>
    <x:row r="463">
      <x:c r="F463" s="300"/>
      <x:c r="O463" s="300"/>
    </x:row>
    <x:row r="464">
      <x:c r="F464" s="300"/>
      <x:c r="O464" s="300"/>
    </x:row>
    <x:row r="465">
      <x:c r="F465" s="300"/>
      <x:c r="O465" s="300"/>
    </x:row>
    <x:row r="466">
      <x:c r="F466" s="300"/>
      <x:c r="O466" s="300"/>
    </x:row>
    <x:row r="467">
      <x:c r="F467" s="300"/>
      <x:c r="O467" s="300"/>
    </x:row>
    <x:row r="468">
      <x:c r="F468" s="300"/>
      <x:c r="O468" s="300"/>
    </x:row>
    <x:row r="469">
      <x:c r="F469" s="300"/>
      <x:c r="O469" s="300"/>
    </x:row>
    <x:row r="470">
      <x:c r="F470" s="300"/>
      <x:c r="O470" s="300"/>
    </x:row>
    <x:row r="471">
      <x:c r="F471" s="300"/>
      <x:c r="O471" s="300"/>
    </x:row>
    <x:row r="472">
      <x:c r="F472" s="300"/>
      <x:c r="O472" s="300"/>
    </x:row>
    <x:row r="473">
      <x:c r="F473" s="300"/>
      <x:c r="O473" s="300"/>
    </x:row>
    <x:row r="474">
      <x:c r="F474" s="300"/>
      <x:c r="O474" s="300"/>
    </x:row>
    <x:row r="475">
      <x:c r="F475" s="300"/>
      <x:c r="O475" s="300"/>
    </x:row>
    <x:row r="476">
      <x:c r="F476" s="300"/>
      <x:c r="O476" s="300"/>
    </x:row>
    <x:row r="477">
      <x:c r="F477" s="300"/>
      <x:c r="O477" s="300"/>
    </x:row>
    <x:row r="478">
      <x:c r="F478" s="300"/>
      <x:c r="O478" s="300"/>
    </x:row>
    <x:row r="479">
      <x:c r="F479" s="300"/>
      <x:c r="O479" s="300"/>
    </x:row>
    <x:row r="480">
      <x:c r="F480" s="300"/>
      <x:c r="O480" s="300"/>
    </x:row>
    <x:row r="481">
      <x:c r="F481" s="300"/>
      <x:c r="O481" s="300"/>
    </x:row>
    <x:row r="482">
      <x:c r="F482" s="300"/>
      <x:c r="O482" s="300"/>
    </x:row>
    <x:row r="483">
      <x:c r="F483" s="300"/>
      <x:c r="O483" s="300"/>
    </x:row>
    <x:row r="484">
      <x:c r="F484" s="300"/>
      <x:c r="O484" s="300"/>
    </x:row>
    <x:row r="485">
      <x:c r="F485" s="300"/>
      <x:c r="O485" s="300"/>
    </x:row>
    <x:row r="486">
      <x:c r="F486" s="300"/>
      <x:c r="O486" s="300"/>
    </x:row>
    <x:row r="487">
      <x:c r="F487" s="300"/>
      <x:c r="O487" s="300"/>
    </x:row>
    <x:row r="488">
      <x:c r="F488" s="300"/>
      <x:c r="O488" s="300"/>
    </x:row>
    <x:row r="489">
      <x:c r="F489" s="300"/>
      <x:c r="O489" s="300"/>
    </x:row>
    <x:row r="490">
      <x:c r="F490" s="300"/>
      <x:c r="O490" s="300"/>
    </x:row>
    <x:row r="491">
      <x:c r="F491" s="300"/>
      <x:c r="O491" s="300"/>
    </x:row>
    <x:row r="492">
      <x:c r="F492" s="300"/>
      <x:c r="O492" s="300"/>
    </x:row>
    <x:row r="493">
      <x:c r="F493" s="300"/>
      <x:c r="O493" s="300"/>
    </x:row>
    <x:row r="494">
      <x:c r="F494" s="300"/>
      <x:c r="O494" s="300"/>
    </x:row>
    <x:row r="495">
      <x:c r="F495" s="300"/>
      <x:c r="O495" s="300"/>
    </x:row>
    <x:row r="496">
      <x:c r="F496" s="300"/>
      <x:c r="O496" s="300"/>
    </x:row>
    <x:row r="497">
      <x:c r="F497" s="300"/>
      <x:c r="O497" s="300"/>
    </x:row>
    <x:row r="498">
      <x:c r="F498" s="300"/>
      <x:c r="O498" s="300"/>
    </x:row>
    <x:row r="499">
      <x:c r="F499" s="300"/>
      <x:c r="O499" s="300"/>
    </x:row>
    <x:row r="500">
      <x:c r="F500" s="300"/>
      <x:c r="O500" s="300"/>
    </x:row>
    <x:row r="501">
      <x:c r="F501" s="300"/>
      <x:c r="O501" s="300"/>
    </x:row>
    <x:row r="502">
      <x:c r="F502" s="300"/>
      <x:c r="O502" s="300"/>
    </x:row>
    <x:row r="503">
      <x:c r="F503" s="300"/>
      <x:c r="O503" s="300"/>
    </x:row>
    <x:row r="504">
      <x:c r="F504" s="300"/>
      <x:c r="O504" s="300"/>
    </x:row>
    <x:row r="505">
      <x:c r="F505" s="300"/>
      <x:c r="O505" s="300"/>
    </x:row>
    <x:row r="506">
      <x:c r="F506" s="300"/>
      <x:c r="O506" s="300"/>
    </x:row>
    <x:row r="507">
      <x:c r="F507" s="300"/>
      <x:c r="O507" s="300"/>
    </x:row>
    <x:row r="508">
      <x:c r="F508" s="300"/>
      <x:c r="O508" s="300"/>
    </x:row>
    <x:row r="509">
      <x:c r="F509" s="300"/>
      <x:c r="O509" s="300"/>
    </x:row>
    <x:row r="510">
      <x:c r="F510" s="300"/>
      <x:c r="O510" s="300"/>
    </x:row>
    <x:row r="511">
      <x:c r="F511" s="300"/>
      <x:c r="O511" s="300"/>
    </x:row>
    <x:row r="512">
      <x:c r="F512" s="300"/>
      <x:c r="O512" s="300"/>
    </x:row>
    <x:row r="513">
      <x:c r="F513" s="300"/>
      <x:c r="O513" s="300"/>
    </x:row>
    <x:row r="514">
      <x:c r="F514" s="300"/>
      <x:c r="O514" s="300"/>
    </x:row>
    <x:row r="515">
      <x:c r="F515" s="300"/>
      <x:c r="O515" s="300"/>
    </x:row>
    <x:row r="516">
      <x:c r="F516" s="300"/>
      <x:c r="O516" s="300"/>
    </x:row>
    <x:row r="517">
      <x:c r="F517" s="300"/>
      <x:c r="O517" s="300"/>
    </x:row>
    <x:row r="518">
      <x:c r="F518" s="300"/>
      <x:c r="O518" s="300"/>
    </x:row>
    <x:row r="519">
      <x:c r="F519" s="300"/>
      <x:c r="O519" s="300"/>
    </x:row>
    <x:row r="520">
      <x:c r="F520" s="300"/>
      <x:c r="O520" s="300"/>
    </x:row>
    <x:row r="521">
      <x:c r="F521" s="300"/>
      <x:c r="O521" s="300"/>
    </x:row>
    <x:row r="522">
      <x:c r="F522" s="300"/>
      <x:c r="O522" s="300"/>
    </x:row>
    <x:row r="523">
      <x:c r="F523" s="300"/>
      <x:c r="O523" s="300"/>
    </x:row>
    <x:row r="524">
      <x:c r="F524" s="300"/>
      <x:c r="O524" s="300"/>
    </x:row>
    <x:row r="525">
      <x:c r="F525" s="300"/>
      <x:c r="O525" s="300"/>
    </x:row>
    <x:row r="526">
      <x:c r="F526" s="300"/>
      <x:c r="O526" s="300"/>
    </x:row>
    <x:row r="527">
      <x:c r="F527" s="300"/>
      <x:c r="O527" s="300"/>
    </x:row>
    <x:row r="528">
      <x:c r="F528" s="300"/>
      <x:c r="O528" s="300"/>
    </x:row>
    <x:row r="529">
      <x:c r="F529" s="300"/>
      <x:c r="O529" s="300"/>
    </x:row>
    <x:row r="530">
      <x:c r="F530" s="300"/>
      <x:c r="O530" s="300"/>
    </x:row>
    <x:row r="531">
      <x:c r="F531" s="300"/>
      <x:c r="O531" s="300"/>
    </x:row>
    <x:row r="532">
      <x:c r="F532" s="300"/>
      <x:c r="O532" s="300"/>
    </x:row>
    <x:row r="533">
      <x:c r="F533" s="300"/>
      <x:c r="O533" s="300"/>
    </x:row>
    <x:row r="534">
      <x:c r="F534" s="300"/>
      <x:c r="O534" s="300"/>
    </x:row>
    <x:row r="535">
      <x:c r="F535" s="300"/>
      <x:c r="O535" s="300"/>
    </x:row>
    <x:row r="536">
      <x:c r="F536" s="300"/>
      <x:c r="O536" s="300"/>
    </x:row>
    <x:row r="537">
      <x:c r="F537" s="300"/>
      <x:c r="O537" s="300"/>
    </x:row>
    <x:row r="538">
      <x:c r="F538" s="300"/>
      <x:c r="O538" s="300"/>
    </x:row>
    <x:row r="539">
      <x:c r="F539" s="300"/>
      <x:c r="O539" s="300"/>
    </x:row>
    <x:row r="540">
      <x:c r="F540" s="300"/>
      <x:c r="O540" s="300"/>
    </x:row>
    <x:row r="541">
      <x:c r="F541" s="300"/>
      <x:c r="O541" s="300"/>
    </x:row>
    <x:row r="542">
      <x:c r="F542" s="300"/>
      <x:c r="O542" s="300"/>
    </x:row>
    <x:row r="543">
      <x:c r="F543" s="300"/>
      <x:c r="O543" s="300"/>
    </x:row>
    <x:row r="544">
      <x:c r="F544" s="300"/>
      <x:c r="O544" s="300"/>
    </x:row>
    <x:row r="545">
      <x:c r="F545" s="300"/>
      <x:c r="O545" s="300"/>
    </x:row>
    <x:row r="546">
      <x:c r="F546" s="300"/>
      <x:c r="O546" s="300"/>
    </x:row>
    <x:row r="547">
      <x:c r="F547" s="300"/>
      <x:c r="O547" s="300"/>
    </x:row>
    <x:row r="548">
      <x:c r="F548" s="300"/>
      <x:c r="O548" s="300"/>
    </x:row>
    <x:row r="549">
      <x:c r="F549" s="300"/>
      <x:c r="O549" s="300"/>
    </x:row>
    <x:row r="550">
      <x:c r="F550" s="300"/>
      <x:c r="O550" s="300"/>
    </x:row>
    <x:row r="551">
      <x:c r="F551" s="300"/>
      <x:c r="O551" s="300"/>
    </x:row>
    <x:row r="552">
      <x:c r="F552" s="300"/>
      <x:c r="O552" s="300"/>
    </x:row>
    <x:row r="553">
      <x:c r="F553" s="300"/>
      <x:c r="O553" s="300"/>
    </x:row>
    <x:row r="554">
      <x:c r="F554" s="300"/>
      <x:c r="O554" s="300"/>
    </x:row>
    <x:row r="555">
      <x:c r="F555" s="300"/>
      <x:c r="O555" s="300"/>
    </x:row>
    <x:row r="556">
      <x:c r="F556" s="300"/>
      <x:c r="O556" s="300"/>
    </x:row>
    <x:row r="557">
      <x:c r="F557" s="300"/>
      <x:c r="O557" s="300"/>
    </x:row>
    <x:row r="558">
      <x:c r="F558" s="300"/>
      <x:c r="O558" s="300"/>
    </x:row>
    <x:row r="559">
      <x:c r="F559" s="300"/>
      <x:c r="O559" s="300"/>
    </x:row>
    <x:row r="560">
      <x:c r="F560" s="300"/>
      <x:c r="O560" s="300"/>
    </x:row>
    <x:row r="561">
      <x:c r="F561" s="300"/>
      <x:c r="O561" s="300"/>
    </x:row>
    <x:row r="562">
      <x:c r="F562" s="300"/>
      <x:c r="O562" s="300"/>
    </x:row>
    <x:row r="563">
      <x:c r="F563" s="300"/>
      <x:c r="O563" s="300"/>
    </x:row>
    <x:row r="564">
      <x:c r="F564" s="300"/>
      <x:c r="O564" s="300"/>
    </x:row>
    <x:row r="565">
      <x:c r="F565" s="300"/>
      <x:c r="O565" s="300"/>
    </x:row>
    <x:row r="566">
      <x:c r="F566" s="300"/>
      <x:c r="O566" s="300"/>
    </x:row>
    <x:row r="567">
      <x:c r="F567" s="300"/>
      <x:c r="O567" s="300"/>
    </x:row>
    <x:row r="568">
      <x:c r="F568" s="300"/>
      <x:c r="O568" s="300"/>
    </x:row>
    <x:row r="569">
      <x:c r="F569" s="300"/>
      <x:c r="O569" s="300"/>
    </x:row>
    <x:row r="570">
      <x:c r="F570" s="300"/>
      <x:c r="O570" s="300"/>
    </x:row>
    <x:row r="571">
      <x:c r="F571" s="300"/>
      <x:c r="O571" s="300"/>
    </x:row>
    <x:row r="572">
      <x:c r="F572" s="300"/>
      <x:c r="O572" s="300"/>
    </x:row>
    <x:row r="573">
      <x:c r="F573" s="300"/>
      <x:c r="O573" s="300"/>
    </x:row>
    <x:row r="574">
      <x:c r="F574" s="300"/>
      <x:c r="O574" s="300"/>
    </x:row>
    <x:row r="575">
      <x:c r="F575" s="300"/>
      <x:c r="O575" s="300"/>
    </x:row>
    <x:row r="576">
      <x:c r="F576" s="300"/>
      <x:c r="O576" s="300"/>
    </x:row>
    <x:row r="577">
      <x:c r="F577" s="300"/>
      <x:c r="O577" s="300"/>
    </x:row>
    <x:row r="578">
      <x:c r="F578" s="300"/>
      <x:c r="O578" s="300"/>
    </x:row>
    <x:row r="579">
      <x:c r="F579" s="300"/>
      <x:c r="O579" s="300"/>
    </x:row>
    <x:row r="580">
      <x:c r="F580" s="300"/>
      <x:c r="O580" s="300"/>
    </x:row>
    <x:row r="581">
      <x:c r="F581" s="300"/>
      <x:c r="O581" s="300"/>
    </x:row>
    <x:row r="582">
      <x:c r="F582" s="300"/>
      <x:c r="O582" s="300"/>
    </x:row>
    <x:row r="583">
      <x:c r="F583" s="300"/>
      <x:c r="O583" s="300"/>
    </x:row>
    <x:row r="584">
      <x:c r="F584" s="300"/>
      <x:c r="O584" s="300"/>
    </x:row>
    <x:row r="585">
      <x:c r="F585" s="300"/>
      <x:c r="O585" s="300"/>
    </x:row>
    <x:row r="586">
      <x:c r="F586" s="300"/>
      <x:c r="O586" s="300"/>
    </x:row>
    <x:row r="587">
      <x:c r="F587" s="300"/>
      <x:c r="O587" s="300"/>
    </x:row>
    <x:row r="588">
      <x:c r="F588" s="300"/>
      <x:c r="O588" s="300"/>
    </x:row>
    <x:row r="589">
      <x:c r="F589" s="300"/>
      <x:c r="O589" s="300"/>
    </x:row>
    <x:row r="590">
      <x:c r="F590" s="300"/>
      <x:c r="O590" s="300"/>
    </x:row>
    <x:row r="591">
      <x:c r="F591" s="300"/>
      <x:c r="O591" s="300"/>
    </x:row>
    <x:row r="592">
      <x:c r="F592" s="300"/>
      <x:c r="O592" s="300"/>
    </x:row>
    <x:row r="593">
      <x:c r="F593" s="300"/>
      <x:c r="O593" s="300"/>
    </x:row>
    <x:row r="594">
      <x:c r="F594" s="300"/>
      <x:c r="O594" s="300"/>
    </x:row>
    <x:row r="595">
      <x:c r="F595" s="300"/>
      <x:c r="O595" s="300"/>
    </x:row>
    <x:row r="596">
      <x:c r="F596" s="300"/>
      <x:c r="O596" s="300"/>
    </x:row>
    <x:row r="597">
      <x:c r="F597" s="300"/>
      <x:c r="O597" s="300"/>
    </x:row>
    <x:row r="598">
      <x:c r="F598" s="300"/>
      <x:c r="O598" s="300"/>
    </x:row>
    <x:row r="599">
      <x:c r="F599" s="300"/>
      <x:c r="O599" s="300"/>
    </x:row>
    <x:row r="600">
      <x:c r="F600" s="300"/>
      <x:c r="O600" s="300"/>
    </x:row>
    <x:row r="601">
      <x:c r="F601" s="300"/>
      <x:c r="O601" s="300"/>
    </x:row>
    <x:row r="602">
      <x:c r="F602" s="300"/>
      <x:c r="O602" s="300"/>
    </x:row>
    <x:row r="603">
      <x:c r="F603" s="300"/>
      <x:c r="O603" s="300"/>
    </x:row>
    <x:row r="604">
      <x:c r="F604" s="300"/>
      <x:c r="O604" s="300"/>
    </x:row>
    <x:row r="605">
      <x:c r="F605" s="300"/>
      <x:c r="O605" s="300"/>
    </x:row>
    <x:row r="606">
      <x:c r="F606" s="300"/>
      <x:c r="O606" s="300"/>
    </x:row>
    <x:row r="607">
      <x:c r="F607" s="300"/>
      <x:c r="O607" s="300"/>
    </x:row>
    <x:row r="608">
      <x:c r="F608" s="300"/>
      <x:c r="O608" s="300"/>
    </x:row>
    <x:row r="609">
      <x:c r="F609" s="300"/>
      <x:c r="O609" s="300"/>
    </x:row>
    <x:row r="610">
      <x:c r="F610" s="300"/>
      <x:c r="O610" s="300"/>
    </x:row>
    <x:row r="611">
      <x:c r="F611" s="300"/>
      <x:c r="O611" s="300"/>
    </x:row>
    <x:row r="612">
      <x:c r="F612" s="300"/>
      <x:c r="O612" s="300"/>
    </x:row>
    <x:row r="613">
      <x:c r="F613" s="300"/>
      <x:c r="O613" s="300"/>
    </x:row>
    <x:row r="614">
      <x:c r="F614" s="300"/>
      <x:c r="O614" s="300"/>
    </x:row>
    <x:row r="615">
      <x:c r="F615" s="300"/>
      <x:c r="O615" s="300"/>
    </x:row>
    <x:row r="616">
      <x:c r="F616" s="300"/>
      <x:c r="O616" s="300"/>
    </x:row>
    <x:row r="617">
      <x:c r="F617" s="300"/>
      <x:c r="O617" s="300"/>
    </x:row>
    <x:row r="618">
      <x:c r="F618" s="300"/>
      <x:c r="O618" s="300"/>
    </x:row>
    <x:row r="619">
      <x:c r="F619" s="300"/>
      <x:c r="O619" s="300"/>
    </x:row>
    <x:row r="620">
      <x:c r="F620" s="300"/>
      <x:c r="O620" s="300"/>
    </x:row>
    <x:row r="621">
      <x:c r="F621" s="300"/>
      <x:c r="O621" s="300"/>
    </x:row>
    <x:row r="622">
      <x:c r="F622" s="300"/>
      <x:c r="O622" s="300"/>
    </x:row>
    <x:row r="623">
      <x:c r="F623" s="300"/>
      <x:c r="O623" s="300"/>
    </x:row>
    <x:row r="624">
      <x:c r="F624" s="300"/>
      <x:c r="O624" s="300"/>
    </x:row>
    <x:row r="625">
      <x:c r="F625" s="300"/>
      <x:c r="O625" s="300"/>
    </x:row>
    <x:row r="626">
      <x:c r="F626" s="300"/>
      <x:c r="O626" s="300"/>
    </x:row>
    <x:row r="627">
      <x:c r="F627" s="300"/>
      <x:c r="O627" s="300"/>
    </x:row>
    <x:row r="628">
      <x:c r="F628" s="300"/>
      <x:c r="O628" s="300"/>
    </x:row>
    <x:row r="629">
      <x:c r="F629" s="300"/>
      <x:c r="O629" s="300"/>
    </x:row>
    <x:row r="630">
      <x:c r="F630" s="300"/>
      <x:c r="O630" s="300"/>
    </x:row>
    <x:row r="631">
      <x:c r="F631" s="300"/>
      <x:c r="O631" s="300"/>
    </x:row>
    <x:row r="632">
      <x:c r="F632" s="300"/>
      <x:c r="O632" s="300"/>
    </x:row>
    <x:row r="633">
      <x:c r="F633" s="300"/>
      <x:c r="O633" s="300"/>
    </x:row>
    <x:row r="634">
      <x:c r="F634" s="300"/>
      <x:c r="O634" s="300"/>
    </x:row>
    <x:row r="635">
      <x:c r="F635" s="300"/>
      <x:c r="O635" s="300"/>
    </x:row>
    <x:row r="636">
      <x:c r="F636" s="300"/>
      <x:c r="O636" s="300"/>
    </x:row>
    <x:row r="637">
      <x:c r="F637" s="300"/>
      <x:c r="O637" s="300"/>
    </x:row>
    <x:row r="638">
      <x:c r="F638" s="300"/>
      <x:c r="O638" s="300"/>
    </x:row>
    <x:row r="639">
      <x:c r="F639" s="300"/>
      <x:c r="O639" s="300"/>
    </x:row>
    <x:row r="640">
      <x:c r="F640" s="300"/>
      <x:c r="O640" s="300"/>
    </x:row>
    <x:row r="641">
      <x:c r="F641" s="300"/>
      <x:c r="O641" s="300"/>
    </x:row>
    <x:row r="642">
      <x:c r="F642" s="300"/>
      <x:c r="O642" s="300"/>
    </x:row>
    <x:row r="643">
      <x:c r="F643" s="300"/>
      <x:c r="O643" s="300"/>
    </x:row>
    <x:row r="644">
      <x:c r="F644" s="300"/>
      <x:c r="O644" s="300"/>
    </x:row>
    <x:row r="645">
      <x:c r="F645" s="300"/>
      <x:c r="O645" s="300"/>
    </x:row>
    <x:row r="646">
      <x:c r="F646" s="300"/>
      <x:c r="O646" s="300"/>
    </x:row>
    <x:row r="647">
      <x:c r="F647" s="300"/>
      <x:c r="O647" s="300"/>
    </x:row>
    <x:row r="648">
      <x:c r="F648" s="300"/>
      <x:c r="O648" s="300"/>
    </x:row>
    <x:row r="649">
      <x:c r="F649" s="300"/>
      <x:c r="O649" s="300"/>
    </x:row>
    <x:row r="650">
      <x:c r="F650" s="300"/>
      <x:c r="O650" s="300"/>
    </x:row>
    <x:row r="651">
      <x:c r="F651" s="300"/>
      <x:c r="O651" s="300"/>
    </x:row>
    <x:row r="652">
      <x:c r="F652" s="300"/>
      <x:c r="O652" s="300"/>
    </x:row>
    <x:row r="653">
      <x:c r="F653" s="300"/>
      <x:c r="O653" s="300"/>
    </x:row>
    <x:row r="654">
      <x:c r="F654" s="300"/>
      <x:c r="O654" s="300"/>
    </x:row>
    <x:row r="655">
      <x:c r="F655" s="300"/>
      <x:c r="O655" s="300"/>
    </x:row>
    <x:row r="656">
      <x:c r="F656" s="300"/>
      <x:c r="O656" s="300"/>
    </x:row>
    <x:row r="657">
      <x:c r="F657" s="300"/>
      <x:c r="O657" s="300"/>
    </x:row>
    <x:row r="658">
      <x:c r="F658" s="300"/>
      <x:c r="O658" s="300"/>
    </x:row>
    <x:row r="659">
      <x:c r="F659" s="300"/>
      <x:c r="O659" s="300"/>
    </x:row>
    <x:row r="660">
      <x:c r="F660" s="300"/>
      <x:c r="O660" s="300"/>
    </x:row>
    <x:row r="661">
      <x:c r="F661" s="300"/>
      <x:c r="O661" s="300"/>
    </x:row>
    <x:row r="662">
      <x:c r="F662" s="300"/>
      <x:c r="O662" s="300"/>
    </x:row>
    <x:row r="663">
      <x:c r="F663" s="300"/>
      <x:c r="O663" s="300"/>
    </x:row>
    <x:row r="664">
      <x:c r="F664" s="300"/>
      <x:c r="O664" s="300"/>
    </x:row>
    <x:row r="665">
      <x:c r="F665" s="300"/>
      <x:c r="O665" s="300"/>
    </x:row>
    <x:row r="666">
      <x:c r="F666" s="300"/>
      <x:c r="O666" s="300"/>
    </x:row>
    <x:row r="667">
      <x:c r="F667" s="300"/>
      <x:c r="O667" s="300"/>
    </x:row>
    <x:row r="668">
      <x:c r="F668" s="300"/>
      <x:c r="O668" s="300"/>
    </x:row>
    <x:row r="669">
      <x:c r="F669" s="300"/>
      <x:c r="O669" s="300"/>
    </x:row>
    <x:row r="670">
      <x:c r="F670" s="300"/>
      <x:c r="O670" s="300"/>
    </x:row>
    <x:row r="671">
      <x:c r="F671" s="300"/>
      <x:c r="O671" s="300"/>
    </x:row>
    <x:row r="672">
      <x:c r="F672" s="300"/>
      <x:c r="O672" s="300"/>
    </x:row>
    <x:row r="673">
      <x:c r="F673" s="300"/>
      <x:c r="O673" s="300"/>
    </x:row>
    <x:row r="674">
      <x:c r="F674" s="300"/>
      <x:c r="O674" s="300"/>
    </x:row>
    <x:row r="675">
      <x:c r="F675" s="300"/>
      <x:c r="O675" s="300"/>
    </x:row>
    <x:row r="676">
      <x:c r="F676" s="300"/>
      <x:c r="O676" s="300"/>
    </x:row>
    <x:row r="677">
      <x:c r="F677" s="300"/>
      <x:c r="O677" s="300"/>
    </x:row>
    <x:row r="678">
      <x:c r="F678" s="300"/>
      <x:c r="O678" s="300"/>
    </x:row>
    <x:row r="679">
      <x:c r="F679" s="300"/>
      <x:c r="O679" s="300"/>
    </x:row>
    <x:row r="680">
      <x:c r="F680" s="300"/>
      <x:c r="O680" s="300"/>
    </x:row>
    <x:row r="681">
      <x:c r="F681" s="300"/>
      <x:c r="O681" s="300"/>
    </x:row>
    <x:row r="682">
      <x:c r="F682" s="300"/>
      <x:c r="O682" s="300"/>
    </x:row>
    <x:row r="683">
      <x:c r="F683" s="300"/>
      <x:c r="O683" s="300"/>
    </x:row>
    <x:row r="684">
      <x:c r="F684" s="300"/>
      <x:c r="O684" s="300"/>
    </x:row>
    <x:row r="685">
      <x:c r="F685" s="300"/>
      <x:c r="O685" s="300"/>
    </x:row>
    <x:row r="686">
      <x:c r="F686" s="300"/>
      <x:c r="O686" s="300"/>
    </x:row>
    <x:row r="687">
      <x:c r="F687" s="300"/>
      <x:c r="O687" s="300"/>
    </x:row>
    <x:row r="688">
      <x:c r="F688" s="300"/>
      <x:c r="O688" s="300"/>
    </x:row>
    <x:row r="689">
      <x:c r="F689" s="300"/>
      <x:c r="O689" s="300"/>
    </x:row>
    <x:row r="690">
      <x:c r="F690" s="300"/>
      <x:c r="O690" s="300"/>
    </x:row>
    <x:row r="691">
      <x:c r="F691" s="300"/>
      <x:c r="O691" s="300"/>
    </x:row>
    <x:row r="692">
      <x:c r="F692" s="300"/>
      <x:c r="O692" s="300"/>
    </x:row>
    <x:row r="693">
      <x:c r="F693" s="300"/>
      <x:c r="O693" s="300"/>
    </x:row>
    <x:row r="694">
      <x:c r="F694" s="300"/>
      <x:c r="O694" s="300"/>
    </x:row>
    <x:row r="695">
      <x:c r="F695" s="300"/>
      <x:c r="O695" s="300"/>
    </x:row>
    <x:row r="696">
      <x:c r="F696" s="300"/>
      <x:c r="O696" s="300"/>
    </x:row>
    <x:row r="697">
      <x:c r="F697" s="300"/>
      <x:c r="O697" s="300"/>
    </x:row>
    <x:row r="698">
      <x:c r="F698" s="300"/>
      <x:c r="O698" s="300"/>
    </x:row>
    <x:row r="699">
      <x:c r="F699" s="300"/>
      <x:c r="O699" s="300"/>
    </x:row>
    <x:row r="700">
      <x:c r="F700" s="300"/>
      <x:c r="O700" s="300"/>
    </x:row>
    <x:row r="701">
      <x:c r="F701" s="300"/>
      <x:c r="O701" s="300"/>
    </x:row>
    <x:row r="702">
      <x:c r="F702" s="300"/>
      <x:c r="O702" s="300"/>
    </x:row>
    <x:row r="703">
      <x:c r="F703" s="300"/>
      <x:c r="O703" s="300"/>
    </x:row>
    <x:row r="704">
      <x:c r="F704" s="300"/>
      <x:c r="O704" s="300"/>
    </x:row>
    <x:row r="705">
      <x:c r="F705" s="300"/>
      <x:c r="O705" s="300"/>
    </x:row>
    <x:row r="706">
      <x:c r="F706" s="300"/>
      <x:c r="O706" s="300"/>
    </x:row>
    <x:row r="707">
      <x:c r="F707" s="300"/>
      <x:c r="O707" s="300"/>
    </x:row>
    <x:row r="708">
      <x:c r="F708" s="300"/>
      <x:c r="O708" s="300"/>
    </x:row>
    <x:row r="709">
      <x:c r="F709" s="300"/>
      <x:c r="O709" s="300"/>
    </x:row>
    <x:row r="710">
      <x:c r="F710" s="300"/>
      <x:c r="O710" s="300"/>
    </x:row>
    <x:row r="711">
      <x:c r="F711" s="300"/>
      <x:c r="O711" s="300"/>
    </x:row>
    <x:row r="712">
      <x:c r="F712" s="300"/>
      <x:c r="O712" s="300"/>
    </x:row>
    <x:row r="713">
      <x:c r="F713" s="300"/>
      <x:c r="O713" s="300"/>
    </x:row>
    <x:row r="714">
      <x:c r="F714" s="300"/>
      <x:c r="O714" s="300"/>
    </x:row>
    <x:row r="715">
      <x:c r="F715" s="300"/>
      <x:c r="O715" s="300"/>
    </x:row>
    <x:row r="716">
      <x:c r="F716" s="300"/>
      <x:c r="O716" s="300"/>
    </x:row>
    <x:row r="717">
      <x:c r="F717" s="300"/>
      <x:c r="O717" s="300"/>
    </x:row>
    <x:row r="718">
      <x:c r="F718" s="300"/>
      <x:c r="O718" s="300"/>
    </x:row>
    <x:row r="719">
      <x:c r="F719" s="300"/>
      <x:c r="O719" s="300"/>
    </x:row>
    <x:row r="720">
      <x:c r="F720" s="300"/>
      <x:c r="O720" s="300"/>
    </x:row>
    <x:row r="721">
      <x:c r="F721" s="300"/>
      <x:c r="O721" s="300"/>
    </x:row>
    <x:row r="722">
      <x:c r="F722" s="300"/>
      <x:c r="O722" s="300"/>
    </x:row>
    <x:row r="723">
      <x:c r="F723" s="300"/>
      <x:c r="O723" s="300"/>
    </x:row>
    <x:row r="724">
      <x:c r="F724" s="300"/>
      <x:c r="O724" s="300"/>
    </x:row>
    <x:row r="725">
      <x:c r="F725" s="300"/>
      <x:c r="O725" s="300"/>
    </x:row>
    <x:row r="726">
      <x:c r="F726" s="300"/>
      <x:c r="O726" s="300"/>
    </x:row>
    <x:row r="727">
      <x:c r="F727" s="300"/>
      <x:c r="O727" s="300"/>
    </x:row>
    <x:row r="728">
      <x:c r="F728" s="300"/>
      <x:c r="O728" s="300"/>
    </x:row>
    <x:row r="729">
      <x:c r="F729" s="300"/>
      <x:c r="O729" s="300"/>
    </x:row>
    <x:row r="730">
      <x:c r="F730" s="300"/>
      <x:c r="O730" s="300"/>
    </x:row>
    <x:row r="731">
      <x:c r="F731" s="300"/>
      <x:c r="O731" s="300"/>
    </x:row>
    <x:row r="732">
      <x:c r="F732" s="300"/>
      <x:c r="O732" s="300"/>
    </x:row>
    <x:row r="733">
      <x:c r="F733" s="300"/>
      <x:c r="O733" s="300"/>
    </x:row>
    <x:row r="734">
      <x:c r="F734" s="300"/>
      <x:c r="O734" s="300"/>
    </x:row>
    <x:row r="735">
      <x:c r="F735" s="300"/>
      <x:c r="O735" s="300"/>
    </x:row>
    <x:row r="736">
      <x:c r="F736" s="300"/>
      <x:c r="O736" s="300"/>
    </x:row>
    <x:row r="737">
      <x:c r="F737" s="300"/>
      <x:c r="O737" s="300"/>
    </x:row>
    <x:row r="738">
      <x:c r="F738" s="300"/>
      <x:c r="O738" s="300"/>
    </x:row>
    <x:row r="739">
      <x:c r="F739" s="300"/>
      <x:c r="O739" s="300"/>
    </x:row>
    <x:row r="740">
      <x:c r="F740" s="300"/>
      <x:c r="O740" s="300"/>
    </x:row>
    <x:row r="741">
      <x:c r="F741" s="300"/>
      <x:c r="O741" s="300"/>
    </x:row>
    <x:row r="742">
      <x:c r="F742" s="300"/>
      <x:c r="O742" s="300"/>
    </x:row>
    <x:row r="743">
      <x:c r="F743" s="300"/>
      <x:c r="O743" s="300"/>
    </x:row>
    <x:row r="744">
      <x:c r="F744" s="300"/>
      <x:c r="O744" s="300"/>
    </x:row>
    <x:row r="745">
      <x:c r="F745" s="300"/>
      <x:c r="O745" s="300"/>
    </x:row>
    <x:row r="746">
      <x:c r="F746" s="300"/>
      <x:c r="O746" s="300"/>
    </x:row>
    <x:row r="747">
      <x:c r="F747" s="300"/>
      <x:c r="O747" s="300"/>
    </x:row>
    <x:row r="748">
      <x:c r="F748" s="300"/>
      <x:c r="O748" s="300"/>
    </x:row>
    <x:row r="749">
      <x:c r="F749" s="300"/>
      <x:c r="O749" s="300"/>
    </x:row>
    <x:row r="750">
      <x:c r="F750" s="300"/>
      <x:c r="O750" s="300"/>
    </x:row>
    <x:row r="751">
      <x:c r="F751" s="300"/>
      <x:c r="O751" s="300"/>
    </x:row>
    <x:row r="752">
      <x:c r="F752" s="300"/>
      <x:c r="O752" s="300"/>
    </x:row>
    <x:row r="753">
      <x:c r="F753" s="300"/>
      <x:c r="O753" s="300"/>
    </x:row>
    <x:row r="754">
      <x:c r="F754" s="300"/>
      <x:c r="O754" s="300"/>
    </x:row>
    <x:row r="755">
      <x:c r="F755" s="300"/>
      <x:c r="O755" s="300"/>
    </x:row>
    <x:row r="756">
      <x:c r="F756" s="300"/>
      <x:c r="O756" s="300"/>
    </x:row>
    <x:row r="757">
      <x:c r="F757" s="300"/>
      <x:c r="O757" s="300"/>
    </x:row>
    <x:row r="758">
      <x:c r="F758" s="300"/>
      <x:c r="O758" s="300"/>
    </x:row>
    <x:row r="759">
      <x:c r="F759" s="300"/>
      <x:c r="O759" s="300"/>
    </x:row>
    <x:row r="760">
      <x:c r="F760" s="300"/>
      <x:c r="O760" s="300"/>
    </x:row>
    <x:row r="761">
      <x:c r="F761" s="300"/>
      <x:c r="O761" s="300"/>
    </x:row>
    <x:row r="762">
      <x:c r="F762" s="300"/>
      <x:c r="O762" s="300"/>
    </x:row>
    <x:row r="763">
      <x:c r="F763" s="300"/>
      <x:c r="O763" s="300"/>
    </x:row>
    <x:row r="764">
      <x:c r="F764" s="300"/>
      <x:c r="O764" s="300"/>
    </x:row>
    <x:row r="765">
      <x:c r="F765" s="300"/>
      <x:c r="O765" s="300"/>
    </x:row>
    <x:row r="766">
      <x:c r="F766" s="300"/>
      <x:c r="O766" s="300"/>
    </x:row>
    <x:row r="767">
      <x:c r="F767" s="300"/>
      <x:c r="O767" s="300"/>
    </x:row>
    <x:row r="768">
      <x:c r="F768" s="300"/>
      <x:c r="O768" s="300"/>
    </x:row>
    <x:row r="769">
      <x:c r="F769" s="300"/>
      <x:c r="O769" s="300"/>
    </x:row>
    <x:row r="770">
      <x:c r="F770" s="300"/>
      <x:c r="O770" s="300"/>
    </x:row>
    <x:row r="771">
      <x:c r="F771" s="300"/>
      <x:c r="O771" s="300"/>
    </x:row>
    <x:row r="772">
      <x:c r="F772" s="300"/>
      <x:c r="O772" s="300"/>
    </x:row>
    <x:row r="773">
      <x:c r="F773" s="300"/>
      <x:c r="O773" s="300"/>
    </x:row>
    <x:row r="774">
      <x:c r="F774" s="300"/>
      <x:c r="O774" s="300"/>
    </x:row>
    <x:row r="775">
      <x:c r="F775" s="300"/>
      <x:c r="O775" s="300"/>
    </x:row>
    <x:row r="776">
      <x:c r="F776" s="300"/>
      <x:c r="O776" s="300"/>
    </x:row>
    <x:row r="777">
      <x:c r="F777" s="300"/>
      <x:c r="O777" s="300"/>
    </x:row>
    <x:row r="778">
      <x:c r="F778" s="300"/>
      <x:c r="O778" s="300"/>
    </x:row>
    <x:row r="779">
      <x:c r="F779" s="300"/>
      <x:c r="O779" s="300"/>
    </x:row>
    <x:row r="780">
      <x:c r="F780" s="300"/>
      <x:c r="O780" s="300"/>
    </x:row>
    <x:row r="781">
      <x:c r="F781" s="300"/>
      <x:c r="O781" s="300"/>
    </x:row>
    <x:row r="782">
      <x:c r="F782" s="300"/>
      <x:c r="O782" s="300"/>
    </x:row>
    <x:row r="783">
      <x:c r="F783" s="300"/>
      <x:c r="O783" s="300"/>
    </x:row>
    <x:row r="784">
      <x:c r="F784" s="300"/>
      <x:c r="O784" s="300"/>
    </x:row>
    <x:row r="785">
      <x:c r="F785" s="300"/>
      <x:c r="O785" s="300"/>
    </x:row>
    <x:row r="786">
      <x:c r="F786" s="300"/>
      <x:c r="O786" s="300"/>
    </x:row>
    <x:row r="787">
      <x:c r="F787" s="300"/>
      <x:c r="O787" s="300"/>
    </x:row>
    <x:row r="788">
      <x:c r="F788" s="300"/>
      <x:c r="O788" s="300"/>
    </x:row>
    <x:row r="789">
      <x:c r="F789" s="300"/>
      <x:c r="O789" s="300"/>
    </x:row>
    <x:row r="790">
      <x:c r="F790" s="300"/>
      <x:c r="O790" s="300"/>
    </x:row>
    <x:row r="791">
      <x:c r="F791" s="300"/>
      <x:c r="O791" s="300"/>
    </x:row>
    <x:row r="792">
      <x:c r="F792" s="300"/>
      <x:c r="O792" s="300"/>
    </x:row>
    <x:row r="793">
      <x:c r="F793" s="300"/>
      <x:c r="O793" s="300"/>
    </x:row>
    <x:row r="794">
      <x:c r="F794" s="300"/>
      <x:c r="O794" s="300"/>
    </x:row>
    <x:row r="795">
      <x:c r="F795" s="300"/>
      <x:c r="O795" s="300"/>
    </x:row>
    <x:row r="796">
      <x:c r="F796" s="300"/>
      <x:c r="O796" s="300"/>
    </x:row>
    <x:row r="797">
      <x:c r="F797" s="300"/>
      <x:c r="O797" s="300"/>
    </x:row>
    <x:row r="798">
      <x:c r="F798" s="300"/>
      <x:c r="O798" s="300"/>
    </x:row>
    <x:row r="799">
      <x:c r="F799" s="300"/>
      <x:c r="O799" s="300"/>
    </x:row>
    <x:row r="800">
      <x:c r="F800" s="300"/>
      <x:c r="O800" s="300"/>
    </x:row>
    <x:row r="801">
      <x:c r="F801" s="300"/>
      <x:c r="O801" s="300"/>
    </x:row>
    <x:row r="802">
      <x:c r="F802" s="300"/>
      <x:c r="O802" s="300"/>
    </x:row>
    <x:row r="803">
      <x:c r="F803" s="300"/>
      <x:c r="O803" s="300"/>
    </x:row>
    <x:row r="804">
      <x:c r="F804" s="300"/>
      <x:c r="O804" s="300"/>
    </x:row>
    <x:row r="805">
      <x:c r="F805" s="300"/>
      <x:c r="O805" s="300"/>
    </x:row>
    <x:row r="806">
      <x:c r="F806" s="300"/>
      <x:c r="O806" s="300"/>
    </x:row>
    <x:row r="807">
      <x:c r="F807" s="300"/>
      <x:c r="O807" s="300"/>
    </x:row>
    <x:row r="808">
      <x:c r="F808" s="300"/>
      <x:c r="O808" s="300"/>
    </x:row>
    <x:row r="809">
      <x:c r="F809" s="300"/>
      <x:c r="O809" s="300"/>
    </x:row>
    <x:row r="810">
      <x:c r="F810" s="300"/>
      <x:c r="O810" s="300"/>
    </x:row>
    <x:row r="811">
      <x:c r="F811" s="300"/>
      <x:c r="O811" s="300"/>
    </x:row>
    <x:row r="812">
      <x:c r="F812" s="300"/>
      <x:c r="O812" s="300"/>
    </x:row>
    <x:row r="813">
      <x:c r="F813" s="300"/>
      <x:c r="O813" s="300"/>
    </x:row>
    <x:row r="814">
      <x:c r="F814" s="300"/>
      <x:c r="O814" s="300"/>
    </x:row>
    <x:row r="815">
      <x:c r="F815" s="300"/>
      <x:c r="O815" s="300"/>
    </x:row>
    <x:row r="816">
      <x:c r="F816" s="300"/>
      <x:c r="O816" s="300"/>
    </x:row>
    <x:row r="817">
      <x:c r="F817" s="300"/>
      <x:c r="O817" s="300"/>
    </x:row>
    <x:row r="818">
      <x:c r="F818" s="300"/>
      <x:c r="O818" s="300"/>
    </x:row>
    <x:row r="819">
      <x:c r="F819" s="300"/>
      <x:c r="O819" s="300"/>
    </x:row>
    <x:row r="820">
      <x:c r="F820" s="300"/>
      <x:c r="O820" s="300"/>
    </x:row>
    <x:row r="821">
      <x:c r="F821" s="300"/>
      <x:c r="O821" s="300"/>
    </x:row>
    <x:row r="822">
      <x:c r="F822" s="300"/>
      <x:c r="O822" s="300"/>
    </x:row>
    <x:row r="823">
      <x:c r="F823" s="300"/>
      <x:c r="O823" s="300"/>
    </x:row>
    <x:row r="824">
      <x:c r="F824" s="300"/>
      <x:c r="O824" s="300"/>
    </x:row>
    <x:row r="825">
      <x:c r="F825" s="300"/>
      <x:c r="O825" s="300"/>
    </x:row>
    <x:row r="826">
      <x:c r="F826" s="300"/>
      <x:c r="O826" s="300"/>
    </x:row>
    <x:row r="827">
      <x:c r="F827" s="300"/>
      <x:c r="O827" s="300"/>
    </x:row>
    <x:row r="828">
      <x:c r="F828" s="300"/>
      <x:c r="O828" s="300"/>
    </x:row>
    <x:row r="829">
      <x:c r="F829" s="300"/>
      <x:c r="O829" s="300"/>
    </x:row>
    <x:row r="830">
      <x:c r="F830" s="300"/>
      <x:c r="O830" s="300"/>
    </x:row>
    <x:row r="831">
      <x:c r="F831" s="300"/>
      <x:c r="O831" s="300"/>
    </x:row>
    <x:row r="832">
      <x:c r="F832" s="300"/>
      <x:c r="O832" s="300"/>
    </x:row>
    <x:row r="833">
      <x:c r="F833" s="300"/>
      <x:c r="O833" s="300"/>
    </x:row>
    <x:row r="834">
      <x:c r="F834" s="300"/>
      <x:c r="O834" s="300"/>
    </x:row>
    <x:row r="835">
      <x:c r="F835" s="300"/>
      <x:c r="O835" s="300"/>
    </x:row>
    <x:row r="836">
      <x:c r="F836" s="300"/>
      <x:c r="O836" s="300"/>
    </x:row>
    <x:row r="837">
      <x:c r="F837" s="300"/>
      <x:c r="O837" s="300"/>
    </x:row>
    <x:row r="838">
      <x:c r="F838" s="300"/>
      <x:c r="O838" s="300"/>
    </x:row>
    <x:row r="839">
      <x:c r="F839" s="300"/>
      <x:c r="O839" s="300"/>
    </x:row>
    <x:row r="840">
      <x:c r="F840" s="300"/>
      <x:c r="O840" s="300"/>
    </x:row>
    <x:row r="841">
      <x:c r="F841" s="300"/>
      <x:c r="O841" s="300"/>
    </x:row>
    <x:row r="842">
      <x:c r="F842" s="300"/>
      <x:c r="O842" s="300"/>
    </x:row>
    <x:row r="843">
      <x:c r="F843" s="300"/>
      <x:c r="O843" s="300"/>
    </x:row>
    <x:row r="844">
      <x:c r="F844" s="300"/>
      <x:c r="O844" s="300"/>
    </x:row>
    <x:row r="845">
      <x:c r="F845" s="300"/>
      <x:c r="O845" s="300"/>
    </x:row>
    <x:row r="846">
      <x:c r="F846" s="300"/>
      <x:c r="O846" s="300"/>
    </x:row>
    <x:row r="847">
      <x:c r="F847" s="300"/>
      <x:c r="O847" s="300"/>
    </x:row>
    <x:row r="848">
      <x:c r="F848" s="300"/>
      <x:c r="O848" s="300"/>
    </x:row>
    <x:row r="849">
      <x:c r="F849" s="300"/>
      <x:c r="O849" s="300"/>
    </x:row>
    <x:row r="850">
      <x:c r="F850" s="300"/>
      <x:c r="O850" s="300"/>
    </x:row>
    <x:row r="851">
      <x:c r="F851" s="300"/>
      <x:c r="O851" s="300"/>
    </x:row>
    <x:row r="852">
      <x:c r="F852" s="300"/>
      <x:c r="O852" s="300"/>
    </x:row>
    <x:row r="853">
      <x:c r="F853" s="300"/>
      <x:c r="O853" s="300"/>
    </x:row>
    <x:row r="854">
      <x:c r="F854" s="300"/>
      <x:c r="O854" s="300"/>
    </x:row>
    <x:row r="855">
      <x:c r="F855" s="300"/>
      <x:c r="O855" s="300"/>
    </x:row>
    <x:row r="856">
      <x:c r="F856" s="300"/>
      <x:c r="O856" s="300"/>
    </x:row>
    <x:row r="857">
      <x:c r="F857" s="300"/>
      <x:c r="O857" s="300"/>
    </x:row>
    <x:row r="858">
      <x:c r="F858" s="300"/>
      <x:c r="O858" s="300"/>
    </x:row>
    <x:row r="859">
      <x:c r="F859" s="300"/>
      <x:c r="O859" s="300"/>
    </x:row>
    <x:row r="860">
      <x:c r="F860" s="300"/>
      <x:c r="O860" s="300"/>
    </x:row>
    <x:row r="861">
      <x:c r="F861" s="300"/>
      <x:c r="O861" s="300"/>
    </x:row>
    <x:row r="862">
      <x:c r="F862" s="300"/>
      <x:c r="O862" s="300"/>
    </x:row>
    <x:row r="863">
      <x:c r="F863" s="300"/>
      <x:c r="O863" s="300"/>
    </x:row>
    <x:row r="864">
      <x:c r="F864" s="300"/>
      <x:c r="O864" s="300"/>
    </x:row>
    <x:row r="865">
      <x:c r="F865" s="300"/>
      <x:c r="O865" s="300"/>
    </x:row>
    <x:row r="866">
      <x:c r="F866" s="300"/>
      <x:c r="O866" s="300"/>
    </x:row>
    <x:row r="867">
      <x:c r="F867" s="300"/>
      <x:c r="O867" s="300"/>
    </x:row>
    <x:row r="868">
      <x:c r="F868" s="300"/>
      <x:c r="O868" s="300"/>
    </x:row>
    <x:row r="869">
      <x:c r="F869" s="300"/>
      <x:c r="O869" s="300"/>
    </x:row>
    <x:row r="870">
      <x:c r="F870" s="300"/>
      <x:c r="O870" s="300"/>
    </x:row>
    <x:row r="871">
      <x:c r="F871" s="300"/>
      <x:c r="O871" s="300"/>
    </x:row>
    <x:row r="872">
      <x:c r="F872" s="300"/>
      <x:c r="O872" s="300"/>
    </x:row>
    <x:row r="873">
      <x:c r="F873" s="300"/>
      <x:c r="O873" s="300"/>
    </x:row>
    <x:row r="874">
      <x:c r="F874" s="300"/>
      <x:c r="O874" s="300"/>
    </x:row>
    <x:row r="875">
      <x:c r="F875" s="300"/>
      <x:c r="O875" s="300"/>
    </x:row>
    <x:row r="876">
      <x:c r="F876" s="300"/>
      <x:c r="O876" s="300"/>
    </x:row>
    <x:row r="877">
      <x:c r="F877" s="300"/>
      <x:c r="O877" s="300"/>
    </x:row>
    <x:row r="878">
      <x:c r="F878" s="300"/>
      <x:c r="O878" s="300"/>
    </x:row>
    <x:row r="879">
      <x:c r="F879" s="300"/>
      <x:c r="O879" s="300"/>
    </x:row>
    <x:row r="880">
      <x:c r="F880" s="300"/>
      <x:c r="O880" s="300"/>
    </x:row>
    <x:row r="881">
      <x:c r="F881" s="300"/>
      <x:c r="O881" s="300"/>
    </x:row>
    <x:row r="882">
      <x:c r="F882" s="300"/>
      <x:c r="O882" s="300"/>
    </x:row>
    <x:row r="883">
      <x:c r="F883" s="300"/>
      <x:c r="O883" s="300"/>
    </x:row>
    <x:row r="884">
      <x:c r="F884" s="300"/>
      <x:c r="O884" s="300"/>
    </x:row>
    <x:row r="885">
      <x:c r="F885" s="300"/>
      <x:c r="O885" s="300"/>
    </x:row>
    <x:row r="886">
      <x:c r="F886" s="300"/>
      <x:c r="O886" s="300"/>
    </x:row>
    <x:row r="887">
      <x:c r="F887" s="300"/>
      <x:c r="O887" s="300"/>
    </x:row>
    <x:row r="888">
      <x:c r="F888" s="300"/>
      <x:c r="O888" s="300"/>
    </x:row>
    <x:row r="889">
      <x:c r="F889" s="300"/>
      <x:c r="O889" s="300"/>
    </x:row>
    <x:row r="890">
      <x:c r="F890" s="300"/>
      <x:c r="O890" s="300"/>
    </x:row>
    <x:row r="891">
      <x:c r="F891" s="300"/>
      <x:c r="O891" s="300"/>
    </x:row>
    <x:row r="892">
      <x:c r="F892" s="300"/>
      <x:c r="O892" s="300"/>
    </x:row>
    <x:row r="893">
      <x:c r="F893" s="300"/>
      <x:c r="O893" s="300"/>
    </x:row>
    <x:row r="894">
      <x:c r="F894" s="300"/>
      <x:c r="O894" s="300"/>
    </x:row>
    <x:row r="895">
      <x:c r="F895" s="300"/>
      <x:c r="O895" s="300"/>
    </x:row>
    <x:row r="896">
      <x:c r="F896" s="300"/>
      <x:c r="O896" s="300"/>
    </x:row>
    <x:row r="897">
      <x:c r="F897" s="300"/>
      <x:c r="O897" s="300"/>
    </x:row>
    <x:row r="898">
      <x:c r="F898" s="300"/>
      <x:c r="O898" s="300"/>
    </x:row>
    <x:row r="899">
      <x:c r="F899" s="300"/>
      <x:c r="O899" s="300"/>
    </x:row>
    <x:row r="900">
      <x:c r="F900" s="300"/>
      <x:c r="O900" s="300"/>
    </x:row>
    <x:row r="901">
      <x:c r="F901" s="300"/>
      <x:c r="O901" s="300"/>
    </x:row>
    <x:row r="902">
      <x:c r="F902" s="300"/>
      <x:c r="O902" s="300"/>
    </x:row>
    <x:row r="903">
      <x:c r="F903" s="300"/>
      <x:c r="O903" s="300"/>
    </x:row>
    <x:row r="904">
      <x:c r="F904" s="300"/>
      <x:c r="O904" s="300"/>
    </x:row>
    <x:row r="905">
      <x:c r="F905" s="300"/>
      <x:c r="O905" s="300"/>
    </x:row>
    <x:row r="906">
      <x:c r="F906" s="300"/>
      <x:c r="O906" s="300"/>
    </x:row>
    <x:row r="907">
      <x:c r="F907" s="300"/>
      <x:c r="O907" s="300"/>
    </x:row>
    <x:row r="908">
      <x:c r="F908" s="300"/>
      <x:c r="O908" s="300"/>
    </x:row>
    <x:row r="909">
      <x:c r="F909" s="300"/>
      <x:c r="O909" s="300"/>
    </x:row>
    <x:row r="910">
      <x:c r="F910" s="300"/>
      <x:c r="O910" s="300"/>
    </x:row>
    <x:row r="911">
      <x:c r="F911" s="300"/>
      <x:c r="O911" s="300"/>
    </x:row>
    <x:row r="912">
      <x:c r="F912" s="300"/>
      <x:c r="O912" s="300"/>
    </x:row>
    <x:row r="913">
      <x:c r="F913" s="300"/>
      <x:c r="O913" s="300"/>
    </x:row>
    <x:row r="914">
      <x:c r="F914" s="300"/>
      <x:c r="O914" s="300"/>
    </x:row>
    <x:row r="915">
      <x:c r="F915" s="300"/>
      <x:c r="O915" s="300"/>
    </x:row>
    <x:row r="916">
      <x:c r="F916" s="300"/>
      <x:c r="O916" s="300"/>
    </x:row>
    <x:row r="917">
      <x:c r="F917" s="300"/>
      <x:c r="O917" s="300"/>
    </x:row>
    <x:row r="918">
      <x:c r="F918" s="300"/>
      <x:c r="O918" s="300"/>
    </x:row>
    <x:row r="919">
      <x:c r="F919" s="300"/>
      <x:c r="O919" s="300"/>
    </x:row>
    <x:row r="920">
      <x:c r="F920" s="300"/>
      <x:c r="O920" s="300"/>
    </x:row>
    <x:row r="921">
      <x:c r="F921" s="300"/>
      <x:c r="O921" s="300"/>
    </x:row>
    <x:row r="922">
      <x:c r="F922" s="300"/>
      <x:c r="O922" s="300"/>
    </x:row>
    <x:row r="923">
      <x:c r="F923" s="300"/>
      <x:c r="O923" s="300"/>
    </x:row>
    <x:row r="924">
      <x:c r="F924" s="300"/>
      <x:c r="O924" s="300"/>
    </x:row>
    <x:row r="925">
      <x:c r="F925" s="300"/>
      <x:c r="O925" s="300"/>
    </x:row>
    <x:row r="926">
      <x:c r="F926" s="300"/>
      <x:c r="O926" s="300"/>
    </x:row>
    <x:row r="927">
      <x:c r="F927" s="300"/>
      <x:c r="O927" s="300"/>
    </x:row>
    <x:row r="928">
      <x:c r="F928" s="300"/>
      <x:c r="O928" s="300"/>
    </x:row>
    <x:row r="929">
      <x:c r="F929" s="300"/>
      <x:c r="O929" s="300"/>
    </x:row>
    <x:row r="930">
      <x:c r="F930" s="300"/>
      <x:c r="O930" s="300"/>
    </x:row>
    <x:row r="931">
      <x:c r="F931" s="300"/>
      <x:c r="O931" s="300"/>
    </x:row>
    <x:row r="932">
      <x:c r="F932" s="300"/>
      <x:c r="O932" s="300"/>
    </x:row>
    <x:row r="933">
      <x:c r="F933" s="300"/>
      <x:c r="O933" s="300"/>
    </x:row>
    <x:row r="934">
      <x:c r="F934" s="300"/>
      <x:c r="O934" s="300"/>
    </x:row>
    <x:row r="935">
      <x:c r="F935" s="300"/>
      <x:c r="O935" s="300"/>
    </x:row>
    <x:row r="936">
      <x:c r="F936" s="300"/>
      <x:c r="O936" s="300"/>
    </x:row>
    <x:row r="937">
      <x:c r="F937" s="300"/>
      <x:c r="O937" s="300"/>
    </x:row>
    <x:row r="938">
      <x:c r="F938" s="300"/>
      <x:c r="O938" s="300"/>
    </x:row>
    <x:row r="939">
      <x:c r="F939" s="300"/>
      <x:c r="O939" s="300"/>
    </x:row>
    <x:row r="940">
      <x:c r="F940" s="300"/>
      <x:c r="O940" s="300"/>
    </x:row>
    <x:row r="941">
      <x:c r="F941" s="300"/>
      <x:c r="O941" s="300"/>
    </x:row>
    <x:row r="942">
      <x:c r="F942" s="300"/>
      <x:c r="O942" s="300"/>
    </x:row>
    <x:row r="943">
      <x:c r="F943" s="300"/>
      <x:c r="O943" s="300"/>
    </x:row>
    <x:row r="944">
      <x:c r="F944" s="300"/>
      <x:c r="O944" s="300"/>
    </x:row>
    <x:row r="945">
      <x:c r="F945" s="300"/>
      <x:c r="O945" s="300"/>
    </x:row>
    <x:row r="946">
      <x:c r="F946" s="300"/>
      <x:c r="O946" s="300"/>
    </x:row>
    <x:row r="947">
      <x:c r="F947" s="300"/>
      <x:c r="O947" s="300"/>
    </x:row>
    <x:row r="948">
      <x:c r="F948" s="300"/>
      <x:c r="O948" s="300"/>
    </x:row>
    <x:row r="949">
      <x:c r="F949" s="300"/>
      <x:c r="O949" s="300"/>
    </x:row>
    <x:row r="950">
      <x:c r="F950" s="300"/>
      <x:c r="O950" s="300"/>
    </x:row>
    <x:row r="951">
      <x:c r="F951" s="300"/>
      <x:c r="O951" s="300"/>
    </x:row>
    <x:row r="952">
      <x:c r="F952" s="300"/>
      <x:c r="O952" s="300"/>
    </x:row>
    <x:row r="953">
      <x:c r="F953" s="300"/>
      <x:c r="O953" s="300"/>
    </x:row>
    <x:row r="954">
      <x:c r="F954" s="300"/>
      <x:c r="O954" s="300"/>
    </x:row>
    <x:row r="955">
      <x:c r="F955" s="300"/>
      <x:c r="O955" s="300"/>
    </x:row>
    <x:row r="956">
      <x:c r="F956" s="300"/>
      <x:c r="O956" s="300"/>
    </x:row>
    <x:row r="957">
      <x:c r="F957" s="300"/>
      <x:c r="O957" s="300"/>
    </x:row>
    <x:row r="958">
      <x:c r="F958" s="300"/>
      <x:c r="O958" s="300"/>
    </x:row>
    <x:row r="959">
      <x:c r="F959" s="300"/>
      <x:c r="O959" s="300"/>
    </x:row>
    <x:row r="960">
      <x:c r="F960" s="300"/>
      <x:c r="O960" s="300"/>
    </x:row>
    <x:row r="961">
      <x:c r="F961" s="300"/>
      <x:c r="O961" s="300"/>
    </x:row>
    <x:row r="962">
      <x:c r="F962" s="300"/>
      <x:c r="O962" s="300"/>
    </x:row>
    <x:row r="963">
      <x:c r="F963" s="300"/>
      <x:c r="O963" s="300"/>
    </x:row>
    <x:row r="964">
      <x:c r="F964" s="300"/>
      <x:c r="O964" s="300"/>
    </x:row>
    <x:row r="965">
      <x:c r="F965" s="300"/>
      <x:c r="O965" s="300"/>
    </x:row>
    <x:row r="966">
      <x:c r="F966" s="300"/>
      <x:c r="O966" s="300"/>
    </x:row>
    <x:row r="967">
      <x:c r="F967" s="300"/>
      <x:c r="O967" s="300"/>
    </x:row>
    <x:row r="968">
      <x:c r="F968" s="300"/>
      <x:c r="O968" s="300"/>
    </x:row>
    <x:row r="969">
      <x:c r="F969" s="300"/>
      <x:c r="O969" s="300"/>
    </x:row>
    <x:row r="970">
      <x:c r="F970" s="300"/>
      <x:c r="O970" s="300"/>
    </x:row>
    <x:row r="971">
      <x:c r="F971" s="300"/>
      <x:c r="O971" s="300"/>
    </x:row>
    <x:row r="972">
      <x:c r="F972" s="300"/>
      <x:c r="O972" s="300"/>
    </x:row>
    <x:row r="973">
      <x:c r="F973" s="300"/>
      <x:c r="O973" s="300"/>
    </x:row>
    <x:row r="974">
      <x:c r="F974" s="300"/>
      <x:c r="O974" s="300"/>
    </x:row>
    <x:row r="975">
      <x:c r="F975" s="300"/>
      <x:c r="O975" s="300"/>
    </x:row>
    <x:row r="976">
      <x:c r="F976" s="300"/>
      <x:c r="O976" s="300"/>
    </x:row>
    <x:row r="977">
      <x:c r="F977" s="300"/>
      <x:c r="O977" s="300"/>
    </x:row>
    <x:row r="978">
      <x:c r="F978" s="300"/>
      <x:c r="O978" s="300"/>
    </x:row>
    <x:row r="979">
      <x:c r="F979" s="300"/>
      <x:c r="O979" s="300"/>
    </x:row>
    <x:row r="980">
      <x:c r="F980" s="300"/>
      <x:c r="O980" s="300"/>
    </x:row>
    <x:row r="981">
      <x:c r="F981" s="300"/>
      <x:c r="O981" s="300"/>
    </x:row>
    <x:row r="982">
      <x:c r="F982" s="300"/>
      <x:c r="O982" s="300"/>
    </x:row>
    <x:row r="983">
      <x:c r="F983" s="300"/>
      <x:c r="O983" s="300"/>
    </x:row>
    <x:row r="984">
      <x:c r="F984" s="300"/>
      <x:c r="O984" s="300"/>
    </x:row>
    <x:row r="985">
      <x:c r="F985" s="300"/>
      <x:c r="O985" s="300"/>
    </x:row>
    <x:row r="986">
      <x:c r="F986" s="300"/>
      <x:c r="O986" s="300"/>
    </x:row>
    <x:row r="987">
      <x:c r="F987" s="300"/>
      <x:c r="O987" s="300"/>
    </x:row>
    <x:row r="988">
      <x:c r="F988" s="300"/>
      <x:c r="O988" s="300"/>
    </x:row>
    <x:row r="989">
      <x:c r="F989" s="300"/>
      <x:c r="O989" s="300"/>
    </x:row>
    <x:row r="990">
      <x:c r="F990" s="300"/>
      <x:c r="O990" s="300"/>
    </x:row>
    <x:row r="991">
      <x:c r="F991" s="300"/>
      <x:c r="O991" s="300"/>
    </x:row>
    <x:row r="992">
      <x:c r="F992" s="300"/>
      <x:c r="O992" s="300"/>
    </x:row>
    <x:row r="993">
      <x:c r="F993" s="300"/>
      <x:c r="O993" s="300"/>
    </x:row>
    <x:row r="994">
      <x:c r="F994" s="300"/>
      <x:c r="O994" s="300"/>
    </x:row>
    <x:row r="995">
      <x:c r="F995" s="300"/>
      <x:c r="O995" s="300"/>
    </x:row>
    <x:row r="996">
      <x:c r="F996" s="300"/>
      <x:c r="O996" s="300"/>
    </x:row>
    <x:row r="997">
      <x:c r="F997" s="300"/>
      <x:c r="O997" s="300"/>
    </x:row>
    <x:row r="998">
      <x:c r="F998" s="300"/>
      <x:c r="O998" s="300"/>
    </x:row>
    <x:row r="999">
      <x:c r="F999" s="300"/>
      <x:c r="O999" s="300"/>
    </x:row>
    <x:row r="1000">
      <x:c r="F1000" s="300"/>
      <x:c r="O1000" s="300"/>
    </x:row>
    <x:row r="1001">
      <x:c r="F1001" s="300"/>
      <x:c r="O1001" s="300"/>
    </x:row>
    <x:row r="1002">
      <x:c r="F1002" s="300"/>
      <x:c r="O1002" s="300"/>
    </x:row>
    <x:row r="1003">
      <x:c r="F1003" s="300"/>
      <x:c r="O1003" s="300"/>
    </x:row>
    <x:row r="1004">
      <x:c r="F1004" s="300"/>
      <x:c r="O1004" s="300"/>
    </x:row>
    <x:row r="1005">
      <x:c r="F1005" s="300"/>
      <x:c r="O1005" s="300"/>
    </x:row>
    <x:row r="1006">
      <x:c r="F1006" s="300"/>
      <x:c r="O1006" s="300"/>
    </x:row>
    <x:row r="1007">
      <x:c r="F1007" s="300"/>
      <x:c r="O1007" s="300"/>
    </x:row>
    <x:row r="1008">
      <x:c r="F1008" s="300"/>
      <x:c r="O1008" s="300"/>
    </x:row>
    <x:row r="1009">
      <x:c r="F1009" s="300"/>
      <x:c r="O1009" s="300"/>
    </x:row>
    <x:row r="1010">
      <x:c r="F1010" s="300"/>
      <x:c r="O1010" s="300"/>
    </x:row>
    <x:row r="1011">
      <x:c r="F1011" s="300"/>
      <x:c r="O1011" s="300"/>
    </x:row>
    <x:row r="1012">
      <x:c r="F1012" s="300"/>
      <x:c r="O1012" s="300"/>
    </x:row>
    <x:row r="1013">
      <x:c r="F1013" s="300"/>
      <x:c r="O1013" s="300"/>
    </x:row>
    <x:row r="1014">
      <x:c r="F1014" s="300"/>
      <x:c r="O1014" s="300"/>
    </x:row>
    <x:row r="1015">
      <x:c r="F1015" s="300"/>
      <x:c r="O1015" s="300"/>
    </x:row>
    <x:row r="1016">
      <x:c r="F1016" s="300"/>
      <x:c r="O1016" s="300"/>
    </x:row>
    <x:row r="1017">
      <x:c r="F1017" s="300"/>
      <x:c r="O1017" s="300"/>
    </x:row>
    <x:row r="1018">
      <x:c r="F1018" s="300"/>
      <x:c r="O1018" s="300"/>
    </x:row>
    <x:row r="1019">
      <x:c r="F1019" s="300"/>
      <x:c r="O1019" s="300"/>
    </x:row>
    <x:row r="1020">
      <x:c r="F1020" s="300"/>
      <x:c r="O1020" s="300"/>
    </x:row>
    <x:row r="1021">
      <x:c r="F1021" s="300"/>
      <x:c r="O1021" s="300"/>
    </x:row>
    <x:row r="1022">
      <x:c r="F1022" s="300"/>
      <x:c r="O1022" s="300"/>
    </x:row>
    <x:row r="1023">
      <x:c r="F1023" s="300"/>
      <x:c r="O1023" s="300"/>
    </x:row>
    <x:row r="1024">
      <x:c r="F1024" s="300"/>
      <x:c r="O1024" s="300"/>
    </x:row>
    <x:row r="1025">
      <x:c r="F1025" s="300"/>
      <x:c r="O1025" s="300"/>
    </x:row>
    <x:row r="1026">
      <x:c r="F1026" s="300"/>
      <x:c r="O1026" s="300"/>
    </x:row>
    <x:row r="1027">
      <x:c r="F1027" s="300"/>
      <x:c r="O1027" s="300"/>
    </x:row>
    <x:row r="1028">
      <x:c r="F1028" s="300"/>
      <x:c r="O1028" s="300"/>
    </x:row>
    <x:row r="1029">
      <x:c r="F1029" s="300"/>
      <x:c r="O1029" s="300"/>
    </x:row>
    <x:row r="1030">
      <x:c r="F1030" s="300"/>
      <x:c r="O1030" s="300"/>
    </x:row>
    <x:row r="1031">
      <x:c r="F1031" s="300"/>
      <x:c r="O1031" s="300"/>
    </x:row>
    <x:row r="1032">
      <x:c r="F1032" s="300"/>
      <x:c r="O1032" s="300"/>
    </x:row>
    <x:row r="1033">
      <x:c r="F1033" s="300"/>
      <x:c r="O1033" s="300"/>
    </x:row>
    <x:row r="1034">
      <x:c r="F1034" s="300"/>
      <x:c r="O1034" s="300"/>
    </x:row>
    <x:row r="1035">
      <x:c r="F1035" s="300"/>
      <x:c r="O1035" s="300"/>
    </x:row>
    <x:row r="1036">
      <x:c r="F1036" s="300"/>
      <x:c r="O1036" s="300"/>
    </x:row>
    <x:row r="1037">
      <x:c r="F1037" s="300"/>
      <x:c r="O1037" s="300"/>
    </x:row>
    <x:row r="1038">
      <x:c r="F1038" s="300"/>
      <x:c r="O1038" s="300"/>
    </x:row>
    <x:row r="1039">
      <x:c r="F1039" s="300"/>
      <x:c r="O1039" s="300"/>
    </x:row>
    <x:row r="1040">
      <x:c r="F1040" s="300"/>
      <x:c r="O1040" s="300"/>
    </x:row>
    <x:row r="1041">
      <x:c r="F1041" s="300"/>
      <x:c r="O1041" s="300"/>
    </x:row>
    <x:row r="1042">
      <x:c r="F1042" s="300"/>
      <x:c r="O1042" s="300"/>
    </x:row>
    <x:row r="1043">
      <x:c r="F1043" s="300"/>
      <x:c r="O1043" s="300"/>
    </x:row>
    <x:row r="1044">
      <x:c r="F1044" s="300"/>
      <x:c r="O1044" s="300"/>
    </x:row>
    <x:row r="1045">
      <x:c r="F1045" s="300"/>
      <x:c r="O1045" s="300"/>
    </x:row>
    <x:row r="1046">
      <x:c r="F1046" s="300"/>
      <x:c r="O1046" s="300"/>
    </x:row>
    <x:row r="1047">
      <x:c r="F1047" s="300"/>
      <x:c r="O1047" s="300"/>
    </x:row>
    <x:row r="1048">
      <x:c r="F1048" s="300"/>
      <x:c r="O1048" s="300"/>
    </x:row>
    <x:row r="1049">
      <x:c r="F1049" s="300"/>
      <x:c r="O1049" s="300"/>
    </x:row>
    <x:row r="1050">
      <x:c r="F1050" s="300"/>
      <x:c r="O1050" s="300"/>
    </x:row>
    <x:row r="1051">
      <x:c r="F1051" s="300"/>
      <x:c r="O1051" s="300"/>
    </x:row>
    <x:row r="1052">
      <x:c r="F1052" s="300"/>
      <x:c r="O1052" s="300"/>
    </x:row>
    <x:row r="1053">
      <x:c r="F1053" s="300"/>
      <x:c r="O1053" s="300"/>
    </x:row>
    <x:row r="1054">
      <x:c r="F1054" s="300"/>
      <x:c r="O1054" s="300"/>
    </x:row>
    <x:row r="1055">
      <x:c r="F1055" s="300"/>
      <x:c r="O1055" s="300"/>
    </x:row>
    <x:row r="1056">
      <x:c r="F1056" s="300"/>
      <x:c r="O1056" s="300"/>
    </x:row>
    <x:row r="1057">
      <x:c r="F1057" s="300"/>
      <x:c r="O1057" s="300"/>
    </x:row>
    <x:row r="1058">
      <x:c r="F1058" s="300"/>
      <x:c r="O1058" s="300"/>
    </x:row>
    <x:row r="1059">
      <x:c r="F1059" s="300"/>
      <x:c r="O1059" s="300"/>
    </x:row>
    <x:row r="1060">
      <x:c r="F1060" s="300"/>
      <x:c r="O1060" s="300"/>
    </x:row>
    <x:row r="1061">
      <x:c r="F1061" s="300"/>
      <x:c r="O1061" s="300"/>
    </x:row>
    <x:row r="1062">
      <x:c r="F1062" s="300"/>
      <x:c r="O1062" s="300"/>
    </x:row>
    <x:row r="1063">
      <x:c r="F1063" s="300"/>
      <x:c r="O1063" s="300"/>
    </x:row>
    <x:row r="1064">
      <x:c r="F1064" s="300"/>
      <x:c r="O1064" s="300"/>
    </x:row>
    <x:row r="1065">
      <x:c r="F1065" s="300"/>
      <x:c r="O1065" s="300"/>
    </x:row>
    <x:row r="1066">
      <x:c r="F1066" s="300"/>
      <x:c r="O1066" s="300"/>
    </x:row>
    <x:row r="1067">
      <x:c r="F1067" s="300"/>
      <x:c r="O1067" s="300"/>
    </x:row>
    <x:row r="1068">
      <x:c r="F1068" s="300"/>
      <x:c r="O1068" s="300"/>
    </x:row>
    <x:row r="1069">
      <x:c r="F1069" s="300"/>
      <x:c r="O1069" s="300"/>
    </x:row>
    <x:row r="1070">
      <x:c r="F1070" s="300"/>
      <x:c r="O1070" s="300"/>
    </x:row>
    <x:row r="1071">
      <x:c r="F1071" s="300"/>
      <x:c r="O1071" s="300"/>
    </x:row>
    <x:row r="1072">
      <x:c r="F1072" s="300"/>
      <x:c r="O1072" s="300"/>
    </x:row>
    <x:row r="1073">
      <x:c r="F1073" s="300"/>
      <x:c r="O1073" s="300"/>
    </x:row>
    <x:row r="1074">
      <x:c r="F1074" s="300"/>
      <x:c r="O1074" s="300"/>
    </x:row>
    <x:row r="1075">
      <x:c r="F1075" s="300"/>
      <x:c r="O1075" s="300"/>
    </x:row>
    <x:row r="1076">
      <x:c r="F1076" s="300"/>
      <x:c r="O1076" s="300"/>
    </x:row>
    <x:row r="1077">
      <x:c r="F1077" s="300"/>
      <x:c r="O1077" s="300"/>
    </x:row>
    <x:row r="1078">
      <x:c r="F1078" s="300"/>
      <x:c r="O1078" s="300"/>
    </x:row>
    <x:row r="1079">
      <x:c r="F1079" s="300"/>
      <x:c r="O1079" s="300"/>
    </x:row>
    <x:row r="1080">
      <x:c r="F1080" s="300"/>
      <x:c r="O1080" s="300"/>
    </x:row>
    <x:row r="1081">
      <x:c r="F1081" s="300"/>
      <x:c r="O1081" s="300"/>
    </x:row>
    <x:row r="1082">
      <x:c r="F1082" s="300"/>
      <x:c r="O1082" s="300"/>
    </x:row>
    <x:row r="1083">
      <x:c r="F1083" s="300"/>
      <x:c r="O1083" s="300"/>
    </x:row>
    <x:row r="1084">
      <x:c r="F1084" s="300"/>
      <x:c r="O1084" s="300"/>
    </x:row>
    <x:row r="1085">
      <x:c r="F1085" s="300"/>
      <x:c r="O1085" s="300"/>
    </x:row>
    <x:row r="1086">
      <x:c r="F1086" s="300"/>
      <x:c r="O1086" s="300"/>
    </x:row>
    <x:row r="1087">
      <x:c r="F1087" s="300"/>
      <x:c r="O1087" s="300"/>
    </x:row>
    <x:row r="1088">
      <x:c r="F1088" s="300"/>
      <x:c r="O1088" s="300"/>
    </x:row>
    <x:row r="1089">
      <x:c r="F1089" s="300"/>
      <x:c r="O1089" s="300"/>
    </x:row>
    <x:row r="1090">
      <x:c r="F1090" s="300"/>
      <x:c r="O1090" s="300"/>
    </x:row>
    <x:row r="1091">
      <x:c r="F1091" s="300"/>
      <x:c r="O1091" s="300"/>
    </x:row>
    <x:row r="1092">
      <x:c r="F1092" s="300"/>
      <x:c r="O1092" s="300"/>
    </x:row>
    <x:row r="1093">
      <x:c r="F1093" s="300"/>
      <x:c r="O1093" s="300"/>
    </x:row>
    <x:row r="1094">
      <x:c r="F1094" s="300"/>
      <x:c r="O1094" s="300"/>
    </x:row>
    <x:row r="1095">
      <x:c r="F1095" s="300"/>
      <x:c r="O1095" s="300"/>
    </x:row>
    <x:row r="1096">
      <x:c r="F1096" s="300"/>
      <x:c r="O1096" s="300"/>
    </x:row>
    <x:row r="1097">
      <x:c r="F1097" s="300"/>
      <x:c r="O1097" s="300"/>
    </x:row>
    <x:row r="1098">
      <x:c r="F1098" s="300"/>
      <x:c r="O1098" s="300"/>
    </x:row>
    <x:row r="1099">
      <x:c r="F1099" s="300"/>
      <x:c r="O1099" s="300"/>
    </x:row>
    <x:row r="1100">
      <x:c r="F1100" s="300"/>
      <x:c r="O1100" s="300"/>
    </x:row>
    <x:row r="1101">
      <x:c r="F1101" s="300"/>
      <x:c r="O1101" s="300"/>
    </x:row>
    <x:row r="1102">
      <x:c r="F1102" s="300"/>
      <x:c r="O1102" s="300"/>
    </x:row>
    <x:row r="1103">
      <x:c r="F1103" s="300"/>
      <x:c r="O1103" s="300"/>
    </x:row>
    <x:row r="1104">
      <x:c r="F1104" s="300"/>
      <x:c r="O1104" s="300"/>
    </x:row>
    <x:row r="1105">
      <x:c r="F1105" s="300"/>
      <x:c r="O1105" s="300"/>
    </x:row>
    <x:row r="1106">
      <x:c r="F1106" s="300"/>
      <x:c r="O1106" s="300"/>
    </x:row>
    <x:row r="1107">
      <x:c r="F1107" s="300"/>
      <x:c r="O1107" s="300"/>
    </x:row>
    <x:row r="1108">
      <x:c r="F1108" s="300"/>
      <x:c r="O1108" s="300"/>
    </x:row>
    <x:row r="1109">
      <x:c r="F1109" s="300"/>
      <x:c r="O1109" s="300"/>
    </x:row>
    <x:row r="1110">
      <x:c r="F1110" s="300"/>
      <x:c r="O1110" s="300"/>
    </x:row>
    <x:row r="1111">
      <x:c r="F1111" s="300"/>
      <x:c r="O1111" s="300"/>
    </x:row>
    <x:row r="1112">
      <x:c r="F1112" s="300"/>
      <x:c r="O1112" s="300"/>
    </x:row>
    <x:row r="1113">
      <x:c r="F1113" s="300"/>
      <x:c r="O1113" s="300"/>
    </x:row>
    <x:row r="1114">
      <x:c r="F1114" s="300"/>
      <x:c r="O1114" s="300"/>
    </x:row>
    <x:row r="1115">
      <x:c r="F1115" s="300"/>
      <x:c r="O1115" s="300"/>
    </x:row>
    <x:row r="1116">
      <x:c r="F1116" s="300"/>
      <x:c r="O1116" s="300"/>
    </x:row>
    <x:row r="1117">
      <x:c r="F1117" s="300"/>
      <x:c r="O1117" s="300"/>
    </x:row>
    <x:row r="1118">
      <x:c r="F1118" s="300"/>
      <x:c r="O1118" s="300"/>
    </x:row>
    <x:row r="1119">
      <x:c r="F1119" s="300"/>
      <x:c r="O1119" s="300"/>
    </x:row>
    <x:row r="1120">
      <x:c r="F1120" s="300"/>
      <x:c r="O1120" s="300"/>
    </x:row>
    <x:row r="1121">
      <x:c r="F1121" s="300"/>
      <x:c r="O1121" s="300"/>
    </x:row>
    <x:row r="1122">
      <x:c r="F1122" s="300"/>
      <x:c r="O1122" s="300"/>
    </x:row>
    <x:row r="1123">
      <x:c r="F1123" s="300"/>
      <x:c r="O1123" s="300"/>
    </x:row>
    <x:row r="1124">
      <x:c r="F1124" s="300"/>
      <x:c r="O1124" s="300"/>
    </x:row>
    <x:row r="1125">
      <x:c r="F1125" s="300"/>
      <x:c r="O1125" s="300"/>
    </x:row>
    <x:row r="1126">
      <x:c r="F1126" s="300"/>
      <x:c r="O1126" s="300"/>
    </x:row>
    <x:row r="1127">
      <x:c r="F1127" s="300"/>
      <x:c r="O1127" s="300"/>
    </x:row>
    <x:row r="1128">
      <x:c r="F1128" s="300"/>
      <x:c r="O1128" s="300"/>
    </x:row>
    <x:row r="1129">
      <x:c r="F1129" s="300"/>
      <x:c r="O1129" s="300"/>
    </x:row>
    <x:row r="1130">
      <x:c r="F1130" s="300"/>
      <x:c r="O1130" s="300"/>
    </x:row>
    <x:row r="1131">
      <x:c r="F1131" s="300"/>
      <x:c r="O1131" s="300"/>
    </x:row>
    <x:row r="1132">
      <x:c r="F1132" s="300"/>
      <x:c r="O1132" s="300"/>
    </x:row>
    <x:row r="1133">
      <x:c r="F1133" s="300"/>
      <x:c r="O1133" s="300"/>
    </x:row>
    <x:row r="1134">
      <x:c r="F1134" s="300"/>
      <x:c r="O1134" s="300"/>
    </x:row>
    <x:row r="1135">
      <x:c r="F1135" s="300"/>
      <x:c r="O1135" s="300"/>
    </x:row>
    <x:row r="1136">
      <x:c r="F1136" s="300"/>
      <x:c r="O1136" s="300"/>
    </x:row>
    <x:row r="1137">
      <x:c r="F1137" s="300"/>
      <x:c r="O1137" s="300"/>
    </x:row>
    <x:row r="1138">
      <x:c r="F1138" s="300"/>
      <x:c r="O1138" s="300"/>
    </x:row>
    <x:row r="1139">
      <x:c r="F1139" s="300"/>
      <x:c r="O1139" s="300"/>
    </x:row>
    <x:row r="1140">
      <x:c r="F1140" s="300"/>
      <x:c r="O1140" s="300"/>
    </x:row>
    <x:row r="1141">
      <x:c r="F1141" s="300"/>
      <x:c r="O1141" s="300"/>
    </x:row>
    <x:row r="1142">
      <x:c r="F1142" s="300"/>
      <x:c r="O1142" s="300"/>
    </x:row>
    <x:row r="1143">
      <x:c r="F1143" s="300"/>
      <x:c r="O1143" s="300"/>
    </x:row>
    <x:row r="1144">
      <x:c r="F1144" s="300"/>
      <x:c r="O1144" s="300"/>
    </x:row>
    <x:row r="1145">
      <x:c r="F1145" s="300"/>
      <x:c r="O1145" s="300"/>
    </x:row>
    <x:row r="1146">
      <x:c r="F1146" s="300"/>
      <x:c r="O1146" s="300"/>
    </x:row>
    <x:row r="1147">
      <x:c r="F1147" s="300"/>
      <x:c r="O1147" s="300"/>
    </x:row>
    <x:row r="1148">
      <x:c r="F1148" s="300"/>
      <x:c r="O1148" s="300"/>
    </x:row>
    <x:row r="1149">
      <x:c r="F1149" s="300"/>
      <x:c r="O1149" s="300"/>
    </x:row>
    <x:row r="1150">
      <x:c r="F1150" s="300"/>
      <x:c r="O1150" s="300"/>
    </x:row>
    <x:row r="1151">
      <x:c r="F1151" s="300"/>
      <x:c r="O1151" s="300"/>
    </x:row>
    <x:row r="1152">
      <x:c r="F1152" s="300"/>
      <x:c r="O1152" s="300"/>
    </x:row>
    <x:row r="1153">
      <x:c r="F1153" s="300"/>
      <x:c r="O1153" s="300"/>
    </x:row>
    <x:row r="1154">
      <x:c r="F1154" s="300"/>
      <x:c r="O1154" s="300"/>
    </x:row>
    <x:row r="1155">
      <x:c r="F1155" s="300"/>
      <x:c r="O1155" s="300"/>
    </x:row>
    <x:row r="1156">
      <x:c r="F1156" s="300"/>
      <x:c r="O1156" s="300"/>
    </x:row>
    <x:row r="1157">
      <x:c r="F1157" s="300"/>
      <x:c r="O1157" s="300"/>
    </x:row>
    <x:row r="1158">
      <x:c r="F1158" s="300"/>
      <x:c r="O1158" s="300"/>
    </x:row>
    <x:row r="1159">
      <x:c r="F1159" s="300"/>
      <x:c r="O1159" s="300"/>
    </x:row>
    <x:row r="1160">
      <x:c r="F1160" s="300"/>
      <x:c r="O1160" s="300"/>
    </x:row>
    <x:row r="1161">
      <x:c r="F1161" s="300"/>
      <x:c r="O1161" s="300"/>
    </x:row>
    <x:row r="1162">
      <x:c r="F1162" s="300"/>
      <x:c r="O1162" s="300"/>
    </x:row>
    <x:row r="1163">
      <x:c r="F1163" s="300"/>
      <x:c r="O1163" s="300"/>
    </x:row>
    <x:row r="1164">
      <x:c r="F1164" s="300"/>
      <x:c r="O1164" s="300"/>
    </x:row>
    <x:row r="1165">
      <x:c r="F1165" s="300"/>
      <x:c r="O1165" s="300"/>
    </x:row>
    <x:row r="1166">
      <x:c r="F1166" s="300"/>
      <x:c r="O1166" s="300"/>
    </x:row>
    <x:row r="1167">
      <x:c r="F1167" s="300"/>
      <x:c r="O1167" s="300"/>
    </x:row>
    <x:row r="1168">
      <x:c r="F1168" s="300"/>
      <x:c r="O1168" s="300"/>
    </x:row>
    <x:row r="1169">
      <x:c r="F1169" s="300"/>
      <x:c r="O1169" s="300"/>
    </x:row>
    <x:row r="1170">
      <x:c r="F1170" s="300"/>
      <x:c r="O1170" s="300"/>
    </x:row>
    <x:row r="1171">
      <x:c r="F1171" s="300"/>
      <x:c r="O1171" s="300"/>
    </x:row>
    <x:row r="1172">
      <x:c r="F1172" s="300"/>
      <x:c r="O1172" s="300"/>
    </x:row>
    <x:row r="1173">
      <x:c r="F1173" s="300"/>
      <x:c r="O1173" s="300"/>
    </x:row>
    <x:row r="1174">
      <x:c r="F1174" s="300"/>
      <x:c r="O1174" s="300"/>
    </x:row>
    <x:row r="1175">
      <x:c r="F1175" s="300"/>
      <x:c r="O1175" s="300"/>
    </x:row>
    <x:row r="1176">
      <x:c r="F1176" s="300"/>
      <x:c r="O1176" s="300"/>
    </x:row>
    <x:row r="1177">
      <x:c r="F1177" s="300"/>
      <x:c r="O1177" s="300"/>
    </x:row>
    <x:row r="1178">
      <x:c r="F1178" s="300"/>
      <x:c r="O1178" s="300"/>
    </x:row>
    <x:row r="1179">
      <x:c r="F1179" s="300"/>
      <x:c r="O1179" s="300"/>
    </x:row>
    <x:row r="1180">
      <x:c r="F1180" s="300"/>
      <x:c r="O1180" s="300"/>
    </x:row>
    <x:row r="1181">
      <x:c r="F1181" s="300"/>
      <x:c r="O1181" s="300"/>
    </x:row>
    <x:row r="1182">
      <x:c r="F1182" s="300"/>
      <x:c r="O1182" s="300"/>
    </x:row>
    <x:row r="1183">
      <x:c r="F1183" s="300"/>
      <x:c r="O1183" s="300"/>
    </x:row>
    <x:row r="1184">
      <x:c r="F1184" s="300"/>
      <x:c r="O1184" s="300"/>
    </x:row>
    <x:row r="1185">
      <x:c r="F1185" s="300"/>
      <x:c r="O1185" s="300"/>
    </x:row>
    <x:row r="1186">
      <x:c r="F1186" s="300"/>
      <x:c r="O1186" s="300"/>
    </x:row>
    <x:row r="1187">
      <x:c r="F1187" s="300"/>
      <x:c r="O1187" s="300"/>
    </x:row>
    <x:row r="1188">
      <x:c r="F1188" s="300"/>
      <x:c r="O1188" s="300"/>
    </x:row>
    <x:row r="1189">
      <x:c r="F1189" s="300"/>
      <x:c r="O1189" s="300"/>
    </x:row>
    <x:row r="1190">
      <x:c r="F1190" s="300"/>
      <x:c r="O1190" s="300"/>
    </x:row>
    <x:row r="1191">
      <x:c r="F1191" s="300"/>
      <x:c r="O1191" s="300"/>
    </x:row>
    <x:row r="1192">
      <x:c r="F1192" s="300"/>
      <x:c r="O1192" s="300"/>
    </x:row>
    <x:row r="1193">
      <x:c r="F1193" s="300"/>
      <x:c r="O1193" s="300"/>
    </x:row>
    <x:row r="1194">
      <x:c r="F1194" s="300"/>
      <x:c r="O1194" s="300"/>
    </x:row>
    <x:row r="1195">
      <x:c r="F1195" s="300"/>
      <x:c r="O1195" s="300"/>
    </x:row>
    <x:row r="1196">
      <x:c r="F1196" s="300"/>
      <x:c r="O1196" s="300"/>
    </x:row>
    <x:row r="1197">
      <x:c r="F1197" s="300"/>
      <x:c r="O1197" s="300"/>
    </x:row>
    <x:row r="1198">
      <x:c r="F1198" s="300"/>
      <x:c r="O1198" s="300"/>
    </x:row>
    <x:row r="1199">
      <x:c r="F1199" s="300"/>
      <x:c r="O1199" s="300"/>
    </x:row>
    <x:row r="1200">
      <x:c r="F1200" s="300"/>
      <x:c r="O1200" s="300"/>
    </x:row>
    <x:row r="1201">
      <x:c r="F1201" s="300"/>
      <x:c r="O1201" s="300"/>
    </x:row>
    <x:row r="1202">
      <x:c r="F1202" s="300"/>
      <x:c r="O1202" s="300"/>
    </x:row>
    <x:row r="1203">
      <x:c r="F1203" s="300"/>
      <x:c r="O1203" s="300"/>
    </x:row>
    <x:row r="1204">
      <x:c r="F1204" s="300"/>
      <x:c r="O1204" s="300"/>
    </x:row>
    <x:row r="1205">
      <x:c r="F1205" s="300"/>
      <x:c r="O1205" s="300"/>
    </x:row>
    <x:row r="1206">
      <x:c r="F1206" s="300"/>
      <x:c r="O1206" s="300"/>
    </x:row>
    <x:row r="1207">
      <x:c r="F1207" s="300"/>
      <x:c r="O1207" s="300"/>
    </x:row>
    <x:row r="1208">
      <x:c r="F1208" s="300"/>
      <x:c r="O1208" s="300"/>
    </x:row>
    <x:row r="1209">
      <x:c r="F1209" s="300"/>
      <x:c r="O1209" s="300"/>
    </x:row>
    <x:row r="1210">
      <x:c r="F1210" s="300"/>
      <x:c r="O1210" s="300"/>
    </x:row>
    <x:row r="1211">
      <x:c r="F1211" s="300"/>
      <x:c r="O1211" s="300"/>
    </x:row>
    <x:row r="1212">
      <x:c r="F1212" s="300"/>
      <x:c r="O1212" s="300"/>
    </x:row>
    <x:row r="1213">
      <x:c r="F1213" s="300"/>
      <x:c r="O1213" s="300"/>
    </x:row>
    <x:row r="1214">
      <x:c r="F1214" s="300"/>
      <x:c r="O1214" s="300"/>
    </x:row>
    <x:row r="1215">
      <x:c r="F1215" s="300"/>
      <x:c r="O1215" s="300"/>
    </x:row>
    <x:row r="1216">
      <x:c r="F1216" s="300"/>
      <x:c r="O1216" s="300"/>
    </x:row>
    <x:row r="1217">
      <x:c r="F1217" s="300"/>
      <x:c r="O1217" s="300"/>
    </x:row>
    <x:row r="1218">
      <x:c r="F1218" s="300"/>
      <x:c r="O1218" s="300"/>
    </x:row>
    <x:row r="1219">
      <x:c r="F1219" s="300"/>
      <x:c r="O1219" s="300"/>
    </x:row>
    <x:row r="1220">
      <x:c r="F1220" s="300"/>
      <x:c r="O1220" s="300"/>
    </x:row>
    <x:row r="1221">
      <x:c r="F1221" s="300"/>
      <x:c r="O1221" s="300"/>
    </x:row>
    <x:row r="1222">
      <x:c r="F1222" s="300"/>
      <x:c r="O1222" s="300"/>
    </x:row>
    <x:row r="1223">
      <x:c r="F1223" s="300"/>
      <x:c r="O1223" s="300"/>
    </x:row>
    <x:row r="1224">
      <x:c r="F1224" s="300"/>
      <x:c r="O1224" s="300"/>
    </x:row>
    <x:row r="1225">
      <x:c r="F1225" s="300"/>
      <x:c r="O1225" s="300"/>
    </x:row>
    <x:row r="1226">
      <x:c r="F1226" s="300"/>
      <x:c r="O1226" s="300"/>
    </x:row>
    <x:row r="1227">
      <x:c r="F1227" s="300"/>
      <x:c r="O1227" s="300"/>
    </x:row>
    <x:row r="1228">
      <x:c r="F1228" s="300"/>
      <x:c r="O1228" s="300"/>
    </x:row>
    <x:row r="1229">
      <x:c r="F1229" s="300"/>
      <x:c r="O1229" s="300"/>
    </x:row>
    <x:row r="1230">
      <x:c r="F1230" s="300"/>
      <x:c r="O1230" s="300"/>
    </x:row>
    <x:row r="1231">
      <x:c r="F1231" s="300"/>
      <x:c r="O1231" s="300"/>
    </x:row>
    <x:row r="1232">
      <x:c r="F1232" s="300"/>
      <x:c r="O1232" s="300"/>
    </x:row>
    <x:row r="1233">
      <x:c r="F1233" s="300"/>
      <x:c r="O1233" s="300"/>
    </x:row>
    <x:row r="1234">
      <x:c r="F1234" s="300"/>
      <x:c r="O1234" s="300"/>
    </x:row>
    <x:row r="1235">
      <x:c r="F1235" s="300"/>
      <x:c r="O1235" s="300"/>
    </x:row>
    <x:row r="1236">
      <x:c r="F1236" s="300"/>
      <x:c r="O1236" s="300"/>
    </x:row>
    <x:row r="1237">
      <x:c r="F1237" s="300"/>
      <x:c r="O1237" s="300"/>
    </x:row>
    <x:row r="1238">
      <x:c r="F1238" s="300"/>
      <x:c r="O1238" s="300"/>
    </x:row>
    <x:row r="1239">
      <x:c r="F1239" s="300"/>
      <x:c r="O1239" s="300"/>
    </x:row>
    <x:row r="1240">
      <x:c r="F1240" s="300"/>
      <x:c r="O1240" s="300"/>
    </x:row>
    <x:row r="1241">
      <x:c r="F1241" s="300"/>
      <x:c r="O1241" s="300"/>
    </x:row>
    <x:row r="1242">
      <x:c r="F1242" s="300"/>
      <x:c r="O1242" s="300"/>
    </x:row>
    <x:row r="1243">
      <x:c r="F1243" s="300"/>
      <x:c r="O1243" s="300"/>
    </x:row>
    <x:row r="1244">
      <x:c r="F1244" s="300"/>
      <x:c r="O1244" s="300"/>
    </x:row>
    <x:row r="1245">
      <x:c r="F1245" s="300"/>
      <x:c r="O1245" s="300"/>
    </x:row>
    <x:row r="1246">
      <x:c r="F1246" s="300"/>
      <x:c r="O1246" s="300"/>
    </x:row>
    <x:row r="1247">
      <x:c r="F1247" s="300"/>
      <x:c r="O1247" s="300"/>
    </x:row>
    <x:row r="1248">
      <x:c r="F1248" s="300"/>
      <x:c r="O1248" s="300"/>
    </x:row>
    <x:row r="1249">
      <x:c r="F1249" s="300"/>
      <x:c r="O1249" s="300"/>
    </x:row>
    <x:row r="1250">
      <x:c r="F1250" s="300"/>
      <x:c r="O1250" s="300"/>
    </x:row>
    <x:row r="1251">
      <x:c r="F1251" s="300"/>
      <x:c r="O1251" s="300"/>
    </x:row>
    <x:row r="1252">
      <x:c r="F1252" s="300"/>
      <x:c r="O1252" s="300"/>
    </x:row>
    <x:row r="1253">
      <x:c r="F1253" s="300"/>
      <x:c r="O1253" s="300"/>
    </x:row>
    <x:row r="1254">
      <x:c r="F1254" s="300"/>
      <x:c r="O1254" s="300"/>
    </x:row>
    <x:row r="1255">
      <x:c r="F1255" s="300"/>
      <x:c r="O1255" s="300"/>
    </x:row>
    <x:row r="1256">
      <x:c r="F1256" s="300"/>
      <x:c r="O1256" s="300"/>
    </x:row>
    <x:row r="1257">
      <x:c r="F1257" s="300"/>
      <x:c r="O1257" s="300"/>
    </x:row>
    <x:row r="1258">
      <x:c r="F1258" s="300"/>
      <x:c r="O1258" s="300"/>
    </x:row>
    <x:row r="1259">
      <x:c r="F1259" s="300"/>
      <x:c r="O1259" s="300"/>
    </x:row>
    <x:row r="1260">
      <x:c r="F1260" s="300"/>
      <x:c r="O1260" s="300"/>
    </x:row>
    <x:row r="1261">
      <x:c r="F1261" s="300"/>
      <x:c r="O1261" s="300"/>
    </x:row>
    <x:row r="1262">
      <x:c r="F1262" s="300"/>
      <x:c r="O1262" s="300"/>
    </x:row>
    <x:row r="1263">
      <x:c r="F1263" s="300"/>
      <x:c r="O1263" s="300"/>
    </x:row>
    <x:row r="1264">
      <x:c r="F1264" s="300"/>
      <x:c r="O1264" s="300"/>
    </x:row>
    <x:row r="1265">
      <x:c r="F1265" s="300"/>
      <x:c r="O1265" s="300"/>
    </x:row>
    <x:row r="1266">
      <x:c r="F1266" s="300"/>
      <x:c r="O1266" s="300"/>
    </x:row>
    <x:row r="1267">
      <x:c r="F1267" s="300"/>
      <x:c r="O1267" s="300"/>
    </x:row>
    <x:row r="1268">
      <x:c r="F1268" s="300"/>
      <x:c r="O1268" s="300"/>
    </x:row>
    <x:row r="1269">
      <x:c r="F1269" s="300"/>
      <x:c r="O1269" s="300"/>
    </x:row>
    <x:row r="1270">
      <x:c r="F1270" s="300"/>
      <x:c r="O1270" s="300"/>
    </x:row>
    <x:row r="1271">
      <x:c r="F1271" s="300"/>
      <x:c r="O1271" s="300"/>
    </x:row>
    <x:row r="1272">
      <x:c r="F1272" s="300"/>
      <x:c r="O1272" s="300"/>
    </x:row>
    <x:row r="1273">
      <x:c r="F1273" s="300"/>
      <x:c r="O1273" s="300"/>
    </x:row>
    <x:row r="1274">
      <x:c r="F1274" s="300"/>
      <x:c r="O1274" s="300"/>
    </x:row>
    <x:row r="1275">
      <x:c r="F1275" s="300"/>
      <x:c r="O1275" s="300"/>
    </x:row>
    <x:row r="1276">
      <x:c r="F1276" s="300"/>
      <x:c r="O1276" s="300"/>
    </x:row>
    <x:row r="1277">
      <x:c r="F1277" s="300"/>
      <x:c r="O1277" s="300"/>
    </x:row>
    <x:row r="1278">
      <x:c r="F1278" s="300"/>
      <x:c r="O1278" s="300"/>
    </x:row>
    <x:row r="1279">
      <x:c r="F1279" s="300"/>
      <x:c r="O1279" s="300"/>
    </x:row>
    <x:row r="1280">
      <x:c r="F1280" s="300"/>
      <x:c r="O1280" s="300"/>
    </x:row>
    <x:row r="1281">
      <x:c r="F1281" s="300"/>
      <x:c r="O1281" s="300"/>
    </x:row>
    <x:row r="1282">
      <x:c r="F1282" s="300"/>
      <x:c r="O1282" s="300"/>
    </x:row>
    <x:row r="1283">
      <x:c r="F1283" s="300"/>
      <x:c r="O1283" s="300"/>
    </x:row>
    <x:row r="1284">
      <x:c r="F1284" s="300"/>
      <x:c r="O1284" s="300"/>
    </x:row>
    <x:row r="1285">
      <x:c r="F1285" s="300"/>
      <x:c r="O1285" s="300"/>
    </x:row>
    <x:row r="1286">
      <x:c r="F1286" s="300"/>
      <x:c r="O1286" s="300"/>
    </x:row>
    <x:row r="1287">
      <x:c r="F1287" s="300"/>
      <x:c r="O1287" s="300"/>
    </x:row>
    <x:row r="1288">
      <x:c r="F1288" s="300"/>
      <x:c r="O1288" s="300"/>
    </x:row>
    <x:row r="1289">
      <x:c r="F1289" s="300"/>
      <x:c r="O1289" s="300"/>
    </x:row>
    <x:row r="1290">
      <x:c r="F1290" s="300"/>
      <x:c r="O1290" s="300"/>
    </x:row>
    <x:row r="1291">
      <x:c r="F1291" s="300"/>
      <x:c r="O1291" s="300"/>
    </x:row>
    <x:row r="1292">
      <x:c r="F1292" s="300"/>
      <x:c r="O1292" s="300"/>
    </x:row>
    <x:row r="1293">
      <x:c r="F1293" s="300"/>
      <x:c r="O1293" s="300"/>
    </x:row>
    <x:row r="1294">
      <x:c r="F1294" s="300"/>
      <x:c r="O1294" s="300"/>
    </x:row>
    <x:row r="1295">
      <x:c r="F1295" s="300"/>
      <x:c r="O1295" s="300"/>
    </x:row>
    <x:row r="1296">
      <x:c r="F1296" s="300"/>
      <x:c r="O1296" s="300"/>
    </x:row>
    <x:row r="1297">
      <x:c r="F1297" s="300"/>
      <x:c r="O1297" s="300"/>
    </x:row>
    <x:row r="1298">
      <x:c r="F1298" s="300"/>
      <x:c r="O1298" s="300"/>
    </x:row>
    <x:row r="1299">
      <x:c r="F1299" s="300"/>
      <x:c r="O1299" s="300"/>
    </x:row>
    <x:row r="1300">
      <x:c r="F1300" s="300"/>
      <x:c r="O1300" s="300"/>
    </x:row>
    <x:row r="1301">
      <x:c r="F1301" s="300"/>
      <x:c r="O1301" s="300"/>
    </x:row>
    <x:row r="1302">
      <x:c r="F1302" s="300"/>
      <x:c r="O1302" s="300"/>
    </x:row>
    <x:row r="1303">
      <x:c r="F1303" s="300"/>
      <x:c r="O1303" s="300"/>
    </x:row>
    <x:row r="1304">
      <x:c r="F1304" s="300"/>
      <x:c r="O1304" s="300"/>
    </x:row>
    <x:row r="1305">
      <x:c r="F1305" s="300"/>
      <x:c r="O1305" s="300"/>
    </x:row>
    <x:row r="1306">
      <x:c r="F1306" s="300"/>
      <x:c r="O1306" s="300"/>
    </x:row>
    <x:row r="1307">
      <x:c r="F1307" s="300"/>
      <x:c r="O1307" s="300"/>
    </x:row>
    <x:row r="1308">
      <x:c r="F1308" s="300"/>
      <x:c r="O1308" s="300"/>
    </x:row>
    <x:row r="1309">
      <x:c r="F1309" s="300"/>
      <x:c r="O1309" s="300"/>
    </x:row>
    <x:row r="1310">
      <x:c r="F1310" s="300"/>
      <x:c r="O1310" s="300"/>
    </x:row>
    <x:row r="1311">
      <x:c r="F1311" s="300"/>
      <x:c r="O1311" s="300"/>
    </x:row>
    <x:row r="1312">
      <x:c r="F1312" s="300"/>
      <x:c r="O1312" s="300"/>
    </x:row>
    <x:row r="1313">
      <x:c r="F1313" s="300"/>
      <x:c r="O1313" s="300"/>
    </x:row>
    <x:row r="1314">
      <x:c r="F1314" s="300"/>
      <x:c r="O1314" s="300"/>
    </x:row>
    <x:row r="1315">
      <x:c r="F1315" s="300"/>
      <x:c r="O1315" s="300"/>
    </x:row>
    <x:row r="1316">
      <x:c r="F1316" s="300"/>
      <x:c r="O1316" s="300"/>
    </x:row>
    <x:row r="1317">
      <x:c r="F1317" s="300"/>
      <x:c r="O1317" s="300"/>
    </x:row>
    <x:row r="1318">
      <x:c r="F1318" s="300"/>
      <x:c r="O1318" s="300"/>
    </x:row>
    <x:row r="1319">
      <x:c r="F1319" s="300"/>
      <x:c r="O1319" s="300"/>
    </x:row>
    <x:row r="1320">
      <x:c r="F1320" s="300"/>
      <x:c r="O1320" s="300"/>
    </x:row>
    <x:row r="1321">
      <x:c r="F1321" s="300"/>
      <x:c r="O1321" s="300"/>
    </x:row>
    <x:row r="1322">
      <x:c r="F1322" s="300"/>
      <x:c r="O1322" s="300"/>
    </x:row>
    <x:row r="1323">
      <x:c r="F1323" s="300"/>
      <x:c r="O1323" s="300"/>
    </x:row>
    <x:row r="1324">
      <x:c r="F1324" s="300"/>
      <x:c r="O1324" s="300"/>
    </x:row>
    <x:row r="1325">
      <x:c r="F1325" s="300"/>
      <x:c r="O1325" s="300"/>
    </x:row>
    <x:row r="1326">
      <x:c r="F1326" s="300"/>
      <x:c r="O1326" s="300"/>
    </x:row>
    <x:row r="1327">
      <x:c r="F1327" s="300"/>
      <x:c r="O1327" s="300"/>
    </x:row>
    <x:row r="1328">
      <x:c r="F1328" s="300"/>
      <x:c r="O1328" s="300"/>
    </x:row>
    <x:row r="1329">
      <x:c r="F1329" s="300"/>
      <x:c r="O1329" s="300"/>
    </x:row>
    <x:row r="1330">
      <x:c r="F1330" s="300"/>
      <x:c r="O1330" s="300"/>
    </x:row>
    <x:row r="1331">
      <x:c r="F1331" s="300"/>
      <x:c r="O1331" s="300"/>
    </x:row>
    <x:row r="1332">
      <x:c r="F1332" s="300"/>
      <x:c r="O1332" s="300"/>
    </x:row>
    <x:row r="1333">
      <x:c r="F1333" s="300"/>
      <x:c r="O1333" s="300"/>
    </x:row>
    <x:row r="1334">
      <x:c r="F1334" s="300"/>
      <x:c r="O1334" s="300"/>
    </x:row>
    <x:row r="1335">
      <x:c r="F1335" s="300"/>
      <x:c r="O1335" s="300"/>
    </x:row>
    <x:row r="1336">
      <x:c r="F1336" s="300"/>
      <x:c r="O1336" s="300"/>
    </x:row>
    <x:row r="1337">
      <x:c r="F1337" s="300"/>
      <x:c r="O1337" s="300"/>
    </x:row>
    <x:row r="1338">
      <x:c r="F1338" s="300"/>
      <x:c r="O1338" s="300"/>
    </x:row>
    <x:row r="1339">
      <x:c r="F1339" s="300"/>
      <x:c r="O1339" s="300"/>
    </x:row>
    <x:row r="1340">
      <x:c r="F1340" s="300"/>
      <x:c r="O1340" s="300"/>
    </x:row>
    <x:row r="1341">
      <x:c r="F1341" s="300"/>
      <x:c r="O1341" s="300"/>
    </x:row>
    <x:row r="1342">
      <x:c r="F1342" s="300"/>
      <x:c r="O1342" s="300"/>
    </x:row>
    <x:row r="1343">
      <x:c r="F1343" s="300"/>
      <x:c r="O1343" s="300"/>
    </x:row>
    <x:row r="1344">
      <x:c r="F1344" s="300"/>
      <x:c r="O1344" s="300"/>
    </x:row>
    <x:row r="1345">
      <x:c r="F1345" s="300"/>
      <x:c r="O1345" s="300"/>
    </x:row>
    <x:row r="1346">
      <x:c r="F1346" s="300"/>
      <x:c r="O1346" s="300"/>
    </x:row>
    <x:row r="1347">
      <x:c r="F1347" s="300"/>
      <x:c r="O1347" s="300"/>
    </x:row>
    <x:row r="1348">
      <x:c r="F1348" s="300"/>
      <x:c r="O1348" s="300"/>
    </x:row>
    <x:row r="1349">
      <x:c r="F1349" s="300"/>
      <x:c r="O1349" s="300"/>
    </x:row>
    <x:row r="1350">
      <x:c r="F1350" s="300"/>
      <x:c r="O1350" s="300"/>
    </x:row>
    <x:row r="1351">
      <x:c r="F1351" s="300"/>
      <x:c r="O1351" s="300"/>
    </x:row>
    <x:row r="1352">
      <x:c r="F1352" s="300"/>
      <x:c r="O1352" s="300"/>
    </x:row>
    <x:row r="1353">
      <x:c r="F1353" s="300"/>
      <x:c r="O1353" s="300"/>
    </x:row>
    <x:row r="1354">
      <x:c r="F1354" s="300"/>
      <x:c r="O1354" s="300"/>
    </x:row>
    <x:row r="1355">
      <x:c r="F1355" s="300"/>
      <x:c r="O1355" s="300"/>
    </x:row>
    <x:row r="1356">
      <x:c r="F1356" s="300"/>
      <x:c r="O1356" s="300"/>
    </x:row>
    <x:row r="1357">
      <x:c r="F1357" s="300"/>
      <x:c r="O1357" s="300"/>
    </x:row>
    <x:row r="1358">
      <x:c r="F1358" s="300"/>
      <x:c r="O1358" s="300"/>
    </x:row>
    <x:row r="1359">
      <x:c r="F1359" s="300"/>
      <x:c r="O1359" s="300"/>
    </x:row>
    <x:row r="1360">
      <x:c r="F1360" s="300"/>
      <x:c r="O1360" s="300"/>
    </x:row>
    <x:row r="1361">
      <x:c r="F1361" s="300"/>
      <x:c r="O1361" s="300"/>
    </x:row>
    <x:row r="1362">
      <x:c r="F1362" s="300"/>
      <x:c r="O1362" s="300"/>
    </x:row>
    <x:row r="1363">
      <x:c r="F1363" s="300"/>
      <x:c r="O1363" s="300"/>
    </x:row>
    <x:row r="1364">
      <x:c r="F1364" s="300"/>
      <x:c r="O1364" s="300"/>
    </x:row>
    <x:row r="1365">
      <x:c r="F1365" s="300"/>
      <x:c r="O1365" s="300"/>
    </x:row>
    <x:row r="1366">
      <x:c r="F1366" s="300"/>
      <x:c r="O1366" s="300"/>
    </x:row>
    <x:row r="1367">
      <x:c r="F1367" s="300"/>
      <x:c r="O1367" s="300"/>
    </x:row>
    <x:row r="1368">
      <x:c r="F1368" s="300"/>
      <x:c r="O1368" s="300"/>
    </x:row>
    <x:row r="1369">
      <x:c r="F1369" s="300"/>
      <x:c r="O1369" s="300"/>
    </x:row>
    <x:row r="1370">
      <x:c r="F1370" s="300"/>
      <x:c r="O1370" s="300"/>
    </x:row>
    <x:row r="1371">
      <x:c r="F1371" s="300"/>
      <x:c r="O1371" s="300"/>
    </x:row>
    <x:row r="1372">
      <x:c r="F1372" s="300"/>
      <x:c r="O1372" s="300"/>
    </x:row>
    <x:row r="1373">
      <x:c r="F1373" s="300"/>
      <x:c r="O1373" s="300"/>
    </x:row>
    <x:row r="1374">
      <x:c r="F1374" s="300"/>
      <x:c r="O1374" s="300"/>
    </x:row>
    <x:row r="1375">
      <x:c r="F1375" s="300"/>
      <x:c r="O1375" s="300"/>
    </x:row>
    <x:row r="1376">
      <x:c r="F1376" s="300"/>
      <x:c r="O1376" s="300"/>
    </x:row>
    <x:row r="1377">
      <x:c r="F1377" s="300"/>
      <x:c r="O1377" s="300"/>
    </x:row>
    <x:row r="1378">
      <x:c r="F1378" s="300"/>
      <x:c r="O1378" s="300"/>
    </x:row>
    <x:row r="1379">
      <x:c r="F1379" s="300"/>
      <x:c r="O1379" s="300"/>
    </x:row>
    <x:row r="1380">
      <x:c r="F1380" s="300"/>
      <x:c r="O1380" s="300"/>
    </x:row>
    <x:row r="1381">
      <x:c r="F1381" s="300"/>
      <x:c r="O1381" s="300"/>
    </x:row>
    <x:row r="1382">
      <x:c r="F1382" s="300"/>
      <x:c r="O1382" s="300"/>
    </x:row>
    <x:row r="1383">
      <x:c r="F1383" s="300"/>
      <x:c r="O1383" s="300"/>
    </x:row>
    <x:row r="1384">
      <x:c r="F1384" s="300"/>
      <x:c r="O1384" s="300"/>
    </x:row>
    <x:row r="1385">
      <x:c r="F1385" s="300"/>
      <x:c r="O1385" s="300"/>
    </x:row>
    <x:row r="1386">
      <x:c r="F1386" s="300"/>
      <x:c r="O1386" s="300"/>
    </x:row>
    <x:row r="1387">
      <x:c r="F1387" s="300"/>
      <x:c r="O1387" s="300"/>
    </x:row>
    <x:row r="1388">
      <x:c r="F1388" s="300"/>
      <x:c r="O1388" s="300"/>
    </x:row>
    <x:row r="1389">
      <x:c r="F1389" s="300"/>
      <x:c r="O1389" s="300"/>
    </x:row>
    <x:row r="1390">
      <x:c r="F1390" s="300"/>
      <x:c r="O1390" s="300"/>
    </x:row>
    <x:row r="1391">
      <x:c r="F1391" s="300"/>
      <x:c r="O1391" s="300"/>
    </x:row>
    <x:row r="1392">
      <x:c r="F1392" s="300"/>
      <x:c r="O1392" s="300"/>
    </x:row>
    <x:row r="1393">
      <x:c r="F1393" s="300"/>
      <x:c r="O1393" s="300"/>
    </x:row>
    <x:row r="1394">
      <x:c r="F1394" s="300"/>
      <x:c r="O1394" s="300"/>
    </x:row>
    <x:row r="1395">
      <x:c r="F1395" s="300"/>
      <x:c r="O1395" s="300"/>
    </x:row>
    <x:row r="1396">
      <x:c r="F1396" s="300"/>
      <x:c r="O1396" s="300"/>
    </x:row>
    <x:row r="1397">
      <x:c r="F1397" s="300"/>
      <x:c r="O1397" s="300"/>
    </x:row>
    <x:row r="1398">
      <x:c r="F1398" s="300"/>
      <x:c r="O1398" s="300"/>
    </x:row>
    <x:row r="1399">
      <x:c r="F1399" s="300"/>
      <x:c r="O1399" s="300"/>
    </x:row>
    <x:row r="1400">
      <x:c r="F1400" s="300"/>
      <x:c r="O1400" s="300"/>
    </x:row>
    <x:row r="1401">
      <x:c r="F1401" s="300"/>
      <x:c r="O1401" s="300"/>
    </x:row>
    <x:row r="1402">
      <x:c r="F1402" s="300"/>
      <x:c r="O1402" s="300"/>
    </x:row>
    <x:row r="1403">
      <x:c r="F1403" s="300"/>
      <x:c r="O1403" s="300"/>
    </x:row>
    <x:row r="1404">
      <x:c r="F1404" s="300"/>
      <x:c r="O1404" s="300"/>
    </x:row>
    <x:row r="1405">
      <x:c r="F1405" s="300"/>
      <x:c r="O1405" s="300"/>
    </x:row>
    <x:row r="1406">
      <x:c r="F1406" s="300"/>
      <x:c r="O1406" s="300"/>
    </x:row>
    <x:row r="1407">
      <x:c r="F1407" s="300"/>
      <x:c r="O1407" s="300"/>
    </x:row>
    <x:row r="1408">
      <x:c r="F1408" s="300"/>
      <x:c r="O1408" s="300"/>
    </x:row>
    <x:row r="1409">
      <x:c r="F1409" s="300"/>
      <x:c r="O1409" s="300"/>
    </x:row>
    <x:row r="1410">
      <x:c r="F1410" s="300"/>
      <x:c r="O1410" s="300"/>
    </x:row>
    <x:row r="1411">
      <x:c r="F1411" s="300"/>
      <x:c r="O1411" s="300"/>
    </x:row>
    <x:row r="1412">
      <x:c r="F1412" s="300"/>
      <x:c r="O1412" s="300"/>
    </x:row>
    <x:row r="1413">
      <x:c r="F1413" s="300"/>
      <x:c r="O1413" s="300"/>
    </x:row>
    <x:row r="1414">
      <x:c r="F1414" s="300"/>
      <x:c r="O1414" s="300"/>
    </x:row>
    <x:row r="1415">
      <x:c r="F1415" s="300"/>
      <x:c r="O1415" s="300"/>
    </x:row>
    <x:row r="1416">
      <x:c r="F1416" s="300"/>
      <x:c r="O1416" s="300"/>
    </x:row>
    <x:row r="1417">
      <x:c r="F1417" s="300"/>
      <x:c r="O1417" s="300"/>
    </x:row>
    <x:row r="1418">
      <x:c r="F1418" s="300"/>
      <x:c r="O1418" s="300"/>
    </x:row>
    <x:row r="1419">
      <x:c r="F1419" s="300"/>
      <x:c r="O1419" s="300"/>
    </x:row>
    <x:row r="1420">
      <x:c r="F1420" s="300"/>
      <x:c r="O1420" s="300"/>
    </x:row>
    <x:row r="1421">
      <x:c r="F1421" s="300"/>
      <x:c r="O1421" s="300"/>
    </x:row>
    <x:row r="1422">
      <x:c r="F1422" s="300"/>
      <x:c r="O1422" s="300"/>
    </x:row>
    <x:row r="1423">
      <x:c r="F1423" s="300"/>
      <x:c r="O1423" s="300"/>
    </x:row>
    <x:row r="1424">
      <x:c r="F1424" s="300"/>
      <x:c r="O1424" s="300"/>
    </x:row>
    <x:row r="1425">
      <x:c r="F1425" s="300"/>
      <x:c r="O1425" s="300"/>
    </x:row>
    <x:row r="1426">
      <x:c r="F1426" s="300"/>
      <x:c r="O1426" s="300"/>
    </x:row>
    <x:row r="1427">
      <x:c r="F1427" s="300"/>
      <x:c r="O1427" s="300"/>
    </x:row>
    <x:row r="1428">
      <x:c r="F1428" s="300"/>
      <x:c r="O1428" s="300"/>
    </x:row>
    <x:row r="1429">
      <x:c r="F1429" s="300"/>
      <x:c r="O1429" s="300"/>
    </x:row>
    <x:row r="1430">
      <x:c r="F1430" s="300"/>
      <x:c r="O1430" s="300"/>
    </x:row>
    <x:row r="1431">
      <x:c r="F1431" s="300"/>
      <x:c r="O1431" s="300"/>
    </x:row>
    <x:row r="1432">
      <x:c r="F1432" s="300"/>
      <x:c r="O1432" s="300"/>
    </x:row>
    <x:row r="1433">
      <x:c r="F1433" s="300"/>
      <x:c r="O1433" s="300"/>
    </x:row>
    <x:row r="1434">
      <x:c r="F1434" s="300"/>
      <x:c r="O1434" s="300"/>
    </x:row>
    <x:row r="1435">
      <x:c r="F1435" s="300"/>
      <x:c r="O1435" s="300"/>
    </x:row>
    <x:row r="1436">
      <x:c r="F1436" s="300"/>
      <x:c r="O1436" s="300"/>
    </x:row>
    <x:row r="1437">
      <x:c r="F1437" s="300"/>
      <x:c r="O1437" s="300"/>
    </x:row>
    <x:row r="1438">
      <x:c r="F1438" s="300"/>
      <x:c r="O1438" s="300"/>
    </x:row>
    <x:row r="1439">
      <x:c r="F1439" s="300"/>
      <x:c r="O1439" s="300"/>
    </x:row>
    <x:row r="1440">
      <x:c r="F1440" s="300"/>
      <x:c r="O1440" s="300"/>
    </x:row>
    <x:row r="1441">
      <x:c r="F1441" s="300"/>
      <x:c r="O1441" s="300"/>
    </x:row>
    <x:row r="1442">
      <x:c r="F1442" s="300"/>
      <x:c r="O1442" s="300"/>
    </x:row>
    <x:row r="1443">
      <x:c r="F1443" s="300"/>
      <x:c r="O1443" s="300"/>
    </x:row>
    <x:row r="1444">
      <x:c r="F1444" s="300"/>
      <x:c r="O1444" s="300"/>
    </x:row>
    <x:row r="1445">
      <x:c r="F1445" s="300"/>
      <x:c r="O1445" s="300"/>
    </x:row>
    <x:row r="1446">
      <x:c r="F1446" s="300"/>
      <x:c r="O1446" s="300"/>
    </x:row>
    <x:row r="1447">
      <x:c r="F1447" s="300"/>
      <x:c r="O1447" s="300"/>
    </x:row>
    <x:row r="1448">
      <x:c r="F1448" s="300"/>
      <x:c r="O1448" s="300"/>
    </x:row>
    <x:row r="1449">
      <x:c r="F1449" s="300"/>
      <x:c r="O1449" s="300"/>
    </x:row>
    <x:row r="1450">
      <x:c r="F1450" s="300"/>
      <x:c r="O1450" s="300"/>
    </x:row>
    <x:row r="1451">
      <x:c r="F1451" s="300"/>
      <x:c r="O1451" s="300"/>
    </x:row>
    <x:row r="1452">
      <x:c r="F1452" s="300"/>
      <x:c r="O1452" s="300"/>
    </x:row>
    <x:row r="1453">
      <x:c r="F1453" s="300"/>
      <x:c r="O1453" s="300"/>
    </x:row>
    <x:row r="1454">
      <x:c r="F1454" s="300"/>
      <x:c r="O1454" s="300"/>
    </x:row>
    <x:row r="1455">
      <x:c r="F1455" s="300"/>
      <x:c r="O1455" s="300"/>
    </x:row>
    <x:row r="1456">
      <x:c r="F1456" s="300"/>
      <x:c r="O1456" s="300"/>
    </x:row>
    <x:row r="1457">
      <x:c r="F1457" s="300"/>
      <x:c r="O1457" s="300"/>
    </x:row>
    <x:row r="1458">
      <x:c r="F1458" s="300"/>
      <x:c r="O1458" s="300"/>
    </x:row>
    <x:row r="1459">
      <x:c r="F1459" s="300"/>
      <x:c r="O1459" s="300"/>
    </x:row>
    <x:row r="1460">
      <x:c r="F1460" s="300"/>
      <x:c r="O1460" s="300"/>
    </x:row>
    <x:row r="1461">
      <x:c r="F1461" s="300"/>
      <x:c r="O1461" s="300"/>
    </x:row>
    <x:row r="1462">
      <x:c r="F1462" s="300"/>
      <x:c r="O1462" s="300"/>
    </x:row>
    <x:row r="1463">
      <x:c r="F1463" s="300"/>
      <x:c r="O1463" s="300"/>
    </x:row>
    <x:row r="1464">
      <x:c r="F1464" s="300"/>
      <x:c r="O1464" s="300"/>
    </x:row>
    <x:row r="1465">
      <x:c r="F1465" s="300"/>
      <x:c r="O1465" s="300"/>
    </x:row>
    <x:row r="1466">
      <x:c r="F1466" s="300"/>
      <x:c r="O1466" s="300"/>
    </x:row>
    <x:row r="1467">
      <x:c r="F1467" s="300"/>
      <x:c r="O1467" s="300"/>
    </x:row>
    <x:row r="1468">
      <x:c r="F1468" s="300"/>
      <x:c r="O1468" s="300"/>
    </x:row>
    <x:row r="1469">
      <x:c r="F1469" s="300"/>
      <x:c r="O1469" s="300"/>
    </x:row>
    <x:row r="1470">
      <x:c r="F1470" s="300"/>
      <x:c r="O1470" s="300"/>
    </x:row>
    <x:row r="1471">
      <x:c r="F1471" s="300"/>
      <x:c r="O1471" s="300"/>
    </x:row>
    <x:row r="1472">
      <x:c r="F1472" s="300"/>
      <x:c r="O1472" s="300"/>
    </x:row>
    <x:row r="1473">
      <x:c r="F1473" s="300"/>
      <x:c r="O1473" s="300"/>
    </x:row>
    <x:row r="1474">
      <x:c r="F1474" s="300"/>
      <x:c r="O1474" s="300"/>
    </x:row>
    <x:row r="1475">
      <x:c r="F1475" s="300"/>
      <x:c r="O1475" s="300"/>
    </x:row>
    <x:row r="1476">
      <x:c r="F1476" s="300"/>
      <x:c r="O1476" s="300"/>
    </x:row>
    <x:row r="1477">
      <x:c r="F1477" s="300"/>
      <x:c r="O1477" s="300"/>
    </x:row>
    <x:row r="1478">
      <x:c r="F1478" s="300"/>
      <x:c r="O1478" s="300"/>
    </x:row>
    <x:row r="1479">
      <x:c r="F1479" s="300"/>
      <x:c r="O1479" s="300"/>
    </x:row>
    <x:row r="1480">
      <x:c r="F1480" s="300"/>
      <x:c r="O1480" s="300"/>
    </x:row>
    <x:row r="1481">
      <x:c r="F1481" s="300"/>
      <x:c r="O1481" s="300"/>
    </x:row>
    <x:row r="1482">
      <x:c r="F1482" s="300"/>
      <x:c r="O1482" s="300"/>
    </x:row>
    <x:row r="1483">
      <x:c r="F1483" s="300"/>
      <x:c r="O1483" s="300"/>
    </x:row>
    <x:row r="1484">
      <x:c r="F1484" s="300"/>
      <x:c r="O1484" s="300"/>
    </x:row>
    <x:row r="1485">
      <x:c r="F1485" s="300"/>
      <x:c r="O1485" s="300"/>
    </x:row>
    <x:row r="1486">
      <x:c r="F1486" s="300"/>
      <x:c r="O1486" s="300"/>
    </x:row>
    <x:row r="1487">
      <x:c r="F1487" s="300"/>
      <x:c r="O1487" s="300"/>
    </x:row>
    <x:row r="1488">
      <x:c r="F1488" s="300"/>
      <x:c r="O1488" s="300"/>
    </x:row>
    <x:row r="1489">
      <x:c r="F1489" s="300"/>
      <x:c r="O1489" s="300"/>
    </x:row>
    <x:row r="1490">
      <x:c r="F1490" s="300"/>
      <x:c r="O1490" s="300"/>
    </x:row>
    <x:row r="1491">
      <x:c r="F1491" s="300"/>
      <x:c r="O1491" s="300"/>
    </x:row>
    <x:row r="1492">
      <x:c r="F1492" s="300"/>
      <x:c r="O1492" s="300"/>
    </x:row>
    <x:row r="1493">
      <x:c r="F1493" s="300"/>
      <x:c r="O1493" s="300"/>
    </x:row>
    <x:row r="1494">
      <x:c r="F1494" s="300"/>
      <x:c r="O1494" s="300"/>
    </x:row>
    <x:row r="1495">
      <x:c r="F1495" s="300"/>
      <x:c r="O1495" s="300"/>
    </x:row>
    <x:row r="1496">
      <x:c r="F1496" s="300"/>
      <x:c r="O1496" s="300"/>
    </x:row>
    <x:row r="1497">
      <x:c r="F1497" s="300"/>
      <x:c r="O1497" s="300"/>
    </x:row>
    <x:row r="1498">
      <x:c r="F1498" s="300"/>
      <x:c r="O1498" s="300"/>
    </x:row>
    <x:row r="1499">
      <x:c r="F1499" s="300"/>
      <x:c r="O1499" s="300"/>
    </x:row>
    <x:row r="1500">
      <x:c r="F1500" s="300"/>
      <x:c r="O1500" s="300"/>
    </x:row>
    <x:row r="1501">
      <x:c r="F1501" s="300"/>
      <x:c r="O1501" s="300"/>
    </x:row>
    <x:row r="1502">
      <x:c r="F1502" s="300"/>
      <x:c r="O1502" s="300"/>
    </x:row>
    <x:row r="1503">
      <x:c r="F1503" s="300"/>
      <x:c r="O1503" s="300"/>
    </x:row>
    <x:row r="1504">
      <x:c r="F1504" s="300"/>
      <x:c r="O1504" s="300"/>
    </x:row>
    <x:row r="1505">
      <x:c r="F1505" s="300"/>
      <x:c r="O1505" s="300"/>
    </x:row>
    <x:row r="1506">
      <x:c r="F1506" s="300"/>
      <x:c r="O1506" s="300"/>
    </x:row>
    <x:row r="1507">
      <x:c r="F1507" s="300"/>
      <x:c r="O1507" s="300"/>
    </x:row>
    <x:row r="1508">
      <x:c r="F1508" s="300"/>
      <x:c r="O1508" s="300"/>
    </x:row>
    <x:row r="1509">
      <x:c r="F1509" s="300"/>
      <x:c r="O1509" s="300"/>
    </x:row>
    <x:row r="1510">
      <x:c r="F1510" s="300"/>
      <x:c r="O1510" s="300"/>
    </x:row>
    <x:row r="1511">
      <x:c r="F1511" s="300"/>
      <x:c r="O1511" s="300"/>
    </x:row>
    <x:row r="1512">
      <x:c r="F1512" s="300"/>
      <x:c r="O1512" s="300"/>
    </x:row>
    <x:row r="1513">
      <x:c r="F1513" s="300"/>
      <x:c r="O1513" s="300"/>
    </x:row>
    <x:row r="1514">
      <x:c r="F1514" s="300"/>
      <x:c r="O1514" s="300"/>
    </x:row>
    <x:row r="1515">
      <x:c r="F1515" s="300"/>
      <x:c r="O1515" s="300"/>
    </x:row>
    <x:row r="1516">
      <x:c r="F1516" s="300"/>
      <x:c r="O1516" s="300"/>
    </x:row>
    <x:row r="1517">
      <x:c r="F1517" s="300"/>
      <x:c r="O1517" s="300"/>
    </x:row>
    <x:row r="1518">
      <x:c r="F1518" s="300"/>
      <x:c r="O1518" s="300"/>
    </x:row>
    <x:row r="1519">
      <x:c r="F1519" s="300"/>
      <x:c r="O1519" s="300"/>
    </x:row>
    <x:row r="1520">
      <x:c r="F1520" s="300"/>
      <x:c r="O1520" s="300"/>
    </x:row>
    <x:row r="1521">
      <x:c r="F1521" s="300"/>
      <x:c r="O1521" s="300"/>
    </x:row>
    <x:row r="1522">
      <x:c r="F1522" s="300"/>
      <x:c r="O1522" s="300"/>
    </x:row>
    <x:row r="1523">
      <x:c r="F1523" s="300"/>
      <x:c r="O1523" s="300"/>
    </x:row>
    <x:row r="1524">
      <x:c r="F1524" s="300"/>
      <x:c r="O1524" s="300"/>
    </x:row>
    <x:row r="1525">
      <x:c r="F1525" s="300"/>
      <x:c r="O1525" s="300"/>
    </x:row>
    <x:row r="1526">
      <x:c r="F1526" s="300"/>
      <x:c r="O1526" s="300"/>
    </x:row>
    <x:row r="1527">
      <x:c r="F1527" s="300"/>
      <x:c r="O1527" s="300"/>
    </x:row>
    <x:row r="1528">
      <x:c r="F1528" s="300"/>
      <x:c r="O1528" s="300"/>
    </x:row>
    <x:row r="1529">
      <x:c r="F1529" s="300"/>
      <x:c r="O1529" s="300"/>
    </x:row>
    <x:row r="1530">
      <x:c r="F1530" s="300"/>
      <x:c r="O1530" s="300"/>
    </x:row>
    <x:row r="1531">
      <x:c r="F1531" s="300"/>
      <x:c r="O1531" s="300"/>
    </x:row>
    <x:row r="1532">
      <x:c r="F1532" s="300"/>
      <x:c r="O1532" s="300"/>
    </x:row>
    <x:row r="1533">
      <x:c r="F1533" s="300"/>
      <x:c r="O1533" s="300"/>
    </x:row>
    <x:row r="1534">
      <x:c r="F1534" s="300"/>
      <x:c r="O1534" s="300"/>
    </x:row>
    <x:row r="1535">
      <x:c r="F1535" s="300"/>
      <x:c r="O1535" s="300"/>
    </x:row>
    <x:row r="1536">
      <x:c r="F1536" s="300"/>
      <x:c r="O1536" s="300"/>
    </x:row>
    <x:row r="1537">
      <x:c r="F1537" s="300"/>
      <x:c r="O1537" s="300"/>
    </x:row>
    <x:row r="1538">
      <x:c r="F1538" s="300"/>
      <x:c r="O1538" s="300"/>
    </x:row>
    <x:row r="1539">
      <x:c r="F1539" s="300"/>
      <x:c r="O1539" s="300"/>
    </x:row>
    <x:row r="1540">
      <x:c r="F1540" s="300"/>
      <x:c r="O1540" s="300"/>
    </x:row>
    <x:row r="1541">
      <x:c r="F1541" s="300"/>
      <x:c r="O1541" s="300"/>
    </x:row>
    <x:row r="1542">
      <x:c r="F1542" s="300"/>
      <x:c r="O1542" s="300"/>
    </x:row>
    <x:row r="1543">
      <x:c r="F1543" s="300"/>
      <x:c r="O1543" s="300"/>
    </x:row>
    <x:row r="1544">
      <x:c r="F1544" s="300"/>
      <x:c r="O1544" s="300"/>
    </x:row>
    <x:row r="1545">
      <x:c r="F1545" s="300"/>
      <x:c r="O1545" s="300"/>
    </x:row>
    <x:row r="1546">
      <x:c r="F1546" s="300"/>
      <x:c r="O1546" s="300"/>
    </x:row>
    <x:row r="1547">
      <x:c r="F1547" s="300"/>
      <x:c r="O1547" s="300"/>
    </x:row>
    <x:row r="1548">
      <x:c r="F1548" s="300"/>
      <x:c r="O1548" s="300"/>
    </x:row>
    <x:row r="1549">
      <x:c r="F1549" s="300"/>
      <x:c r="O1549" s="300"/>
    </x:row>
    <x:row r="1550">
      <x:c r="F1550" s="300"/>
      <x:c r="O1550" s="300"/>
    </x:row>
    <x:row r="1551">
      <x:c r="F1551" s="300"/>
      <x:c r="O1551" s="300"/>
    </x:row>
    <x:row r="1552">
      <x:c r="F1552" s="300"/>
      <x:c r="O1552" s="300"/>
    </x:row>
    <x:row r="1553">
      <x:c r="F1553" s="300"/>
      <x:c r="O1553" s="300"/>
    </x:row>
    <x:row r="1554">
      <x:c r="F1554" s="300"/>
      <x:c r="O1554" s="300"/>
    </x:row>
    <x:row r="1555">
      <x:c r="F1555" s="300"/>
      <x:c r="O1555" s="300"/>
    </x:row>
    <x:row r="1556">
      <x:c r="F1556" s="300"/>
      <x:c r="O1556" s="300"/>
    </x:row>
    <x:row r="1557">
      <x:c r="F1557" s="300"/>
      <x:c r="O1557" s="300"/>
    </x:row>
    <x:row r="1558">
      <x:c r="F1558" s="300"/>
      <x:c r="O1558" s="300"/>
    </x:row>
    <x:row r="1559">
      <x:c r="F1559" s="300"/>
      <x:c r="O1559" s="300"/>
    </x:row>
    <x:row r="1560">
      <x:c r="F1560" s="300"/>
      <x:c r="O1560" s="300"/>
    </x:row>
    <x:row r="1561">
      <x:c r="F1561" s="300"/>
      <x:c r="O1561" s="300"/>
    </x:row>
    <x:row r="1562">
      <x:c r="F1562" s="300"/>
      <x:c r="O1562" s="300"/>
    </x:row>
    <x:row r="1563">
      <x:c r="F1563" s="300"/>
      <x:c r="O1563" s="300"/>
    </x:row>
    <x:row r="1564">
      <x:c r="F1564" s="300"/>
      <x:c r="O1564" s="300"/>
    </x:row>
    <x:row r="1565">
      <x:c r="F1565" s="300"/>
      <x:c r="O1565" s="300"/>
    </x:row>
    <x:row r="1566">
      <x:c r="F1566" s="300"/>
      <x:c r="O1566" s="300"/>
    </x:row>
    <x:row r="1567">
      <x:c r="F1567" s="300"/>
      <x:c r="O1567" s="300"/>
    </x:row>
    <x:row r="1568">
      <x:c r="F1568" s="300"/>
      <x:c r="O1568" s="300"/>
    </x:row>
    <x:row r="1569">
      <x:c r="F1569" s="300"/>
      <x:c r="O1569" s="300"/>
    </x:row>
    <x:row r="1570">
      <x:c r="F1570" s="300"/>
      <x:c r="O1570" s="300"/>
    </x:row>
    <x:row r="1571">
      <x:c r="F1571" s="300"/>
      <x:c r="O1571" s="300"/>
    </x:row>
    <x:row r="1572">
      <x:c r="F1572" s="300"/>
      <x:c r="O1572" s="300"/>
    </x:row>
    <x:row r="1573">
      <x:c r="F1573" s="300"/>
      <x:c r="O1573" s="300"/>
    </x:row>
    <x:row r="1574">
      <x:c r="F1574" s="300"/>
      <x:c r="O1574" s="300"/>
    </x:row>
    <x:row r="1575">
      <x:c r="F1575" s="300"/>
      <x:c r="O1575" s="300"/>
    </x:row>
    <x:row r="1576">
      <x:c r="F1576" s="300"/>
      <x:c r="O1576" s="300"/>
    </x:row>
    <x:row r="1577">
      <x:c r="F1577" s="300"/>
      <x:c r="O1577" s="300"/>
    </x:row>
    <x:row r="1578">
      <x:c r="F1578" s="300"/>
      <x:c r="O1578" s="300"/>
    </x:row>
    <x:row r="1579">
      <x:c r="F1579" s="300"/>
      <x:c r="O1579" s="300"/>
    </x:row>
    <x:row r="1580">
      <x:c r="F1580" s="300"/>
      <x:c r="O1580" s="300"/>
    </x:row>
    <x:row r="1581">
      <x:c r="F1581" s="300"/>
      <x:c r="O1581" s="300"/>
    </x:row>
    <x:row r="1582">
      <x:c r="F1582" s="300"/>
      <x:c r="O1582" s="300"/>
    </x:row>
    <x:row r="1583">
      <x:c r="F1583" s="300"/>
      <x:c r="O1583" s="300"/>
    </x:row>
    <x:row r="1584">
      <x:c r="F1584" s="300"/>
      <x:c r="O1584" s="300"/>
    </x:row>
    <x:row r="1585">
      <x:c r="F1585" s="300"/>
      <x:c r="O1585" s="300"/>
    </x:row>
    <x:row r="1586">
      <x:c r="F1586" s="300"/>
      <x:c r="O1586" s="300"/>
    </x:row>
    <x:row r="1587">
      <x:c r="F1587" s="300"/>
      <x:c r="O1587" s="300"/>
    </x:row>
    <x:row r="1588">
      <x:c r="F1588" s="300"/>
      <x:c r="O1588" s="300"/>
    </x:row>
    <x:row r="1589">
      <x:c r="F1589" s="300"/>
      <x:c r="O1589" s="300"/>
    </x:row>
    <x:row r="1590">
      <x:c r="F1590" s="300"/>
      <x:c r="O1590" s="300"/>
    </x:row>
    <x:row r="1591">
      <x:c r="F1591" s="300"/>
      <x:c r="O1591" s="300"/>
    </x:row>
    <x:row r="1592">
      <x:c r="F1592" s="300"/>
      <x:c r="O1592" s="300"/>
    </x:row>
    <x:row r="1593">
      <x:c r="F1593" s="300"/>
      <x:c r="O1593" s="300"/>
    </x:row>
    <x:row r="1594">
      <x:c r="F1594" s="300"/>
      <x:c r="O1594" s="300"/>
    </x:row>
    <x:row r="1595">
      <x:c r="F1595" s="300"/>
      <x:c r="O1595" s="300"/>
    </x:row>
    <x:row r="1596">
      <x:c r="F1596" s="300"/>
      <x:c r="O1596" s="300"/>
    </x:row>
    <x:row r="1597">
      <x:c r="F1597" s="300"/>
      <x:c r="O1597" s="300"/>
    </x:row>
    <x:row r="1598">
      <x:c r="F1598" s="300"/>
      <x:c r="O1598" s="300"/>
    </x:row>
    <x:row r="1599">
      <x:c r="F1599" s="300"/>
      <x:c r="O1599" s="300"/>
    </x:row>
    <x:row r="1600">
      <x:c r="F1600" s="300"/>
      <x:c r="O1600" s="300"/>
    </x:row>
    <x:row r="1601">
      <x:c r="F1601" s="300"/>
      <x:c r="O1601" s="300"/>
    </x:row>
    <x:row r="1602">
      <x:c r="F1602" s="300"/>
      <x:c r="O1602" s="300"/>
    </x:row>
    <x:row r="1603">
      <x:c r="F1603" s="300"/>
      <x:c r="O1603" s="300"/>
    </x:row>
    <x:row r="1604">
      <x:c r="F1604" s="300"/>
      <x:c r="O1604" s="300"/>
    </x:row>
    <x:row r="1605">
      <x:c r="F1605" s="300"/>
      <x:c r="O1605" s="300"/>
    </x:row>
    <x:row r="1606">
      <x:c r="F1606" s="300"/>
      <x:c r="O1606" s="300"/>
    </x:row>
    <x:row r="1607">
      <x:c r="F1607" s="300"/>
      <x:c r="O1607" s="300"/>
    </x:row>
    <x:row r="1608">
      <x:c r="F1608" s="300"/>
      <x:c r="O1608" s="300"/>
    </x:row>
    <x:row r="1609">
      <x:c r="F1609" s="300"/>
      <x:c r="O1609" s="300"/>
    </x:row>
    <x:row r="1610">
      <x:c r="F1610" s="300"/>
      <x:c r="O1610" s="300"/>
    </x:row>
    <x:row r="1611">
      <x:c r="F1611" s="300"/>
      <x:c r="O1611" s="300"/>
    </x:row>
    <x:row r="1612">
      <x:c r="F1612" s="300"/>
      <x:c r="O1612" s="300"/>
    </x:row>
    <x:row r="1613">
      <x:c r="F1613" s="300"/>
      <x:c r="O1613" s="300"/>
    </x:row>
    <x:row r="1614">
      <x:c r="F1614" s="300"/>
      <x:c r="O1614" s="300"/>
    </x:row>
    <x:row r="1615">
      <x:c r="F1615" s="300"/>
      <x:c r="O1615" s="300"/>
    </x:row>
    <x:row r="1616">
      <x:c r="F1616" s="300"/>
      <x:c r="O1616" s="300"/>
    </x:row>
    <x:row r="1617">
      <x:c r="F1617" s="300"/>
      <x:c r="O1617" s="300"/>
    </x:row>
    <x:row r="1618">
      <x:c r="F1618" s="300"/>
      <x:c r="O1618" s="300"/>
    </x:row>
    <x:row r="1619">
      <x:c r="F1619" s="300"/>
      <x:c r="O1619" s="300"/>
    </x:row>
    <x:row r="1620">
      <x:c r="F1620" s="300"/>
      <x:c r="O1620" s="300"/>
    </x:row>
    <x:row r="1621">
      <x:c r="F1621" s="300"/>
      <x:c r="O1621" s="300"/>
    </x:row>
    <x:row r="1622">
      <x:c r="F1622" s="300"/>
      <x:c r="O1622" s="300"/>
    </x:row>
    <x:row r="1623">
      <x:c r="F1623" s="300"/>
      <x:c r="O1623" s="300"/>
    </x:row>
    <x:row r="1624">
      <x:c r="F1624" s="300"/>
      <x:c r="O1624" s="300"/>
    </x:row>
    <x:row r="1625">
      <x:c r="F1625" s="300"/>
      <x:c r="O1625" s="300"/>
    </x:row>
    <x:row r="1626">
      <x:c r="F1626" s="300"/>
      <x:c r="O1626" s="300"/>
    </x:row>
    <x:row r="1627">
      <x:c r="F1627" s="300"/>
      <x:c r="O1627" s="300"/>
    </x:row>
    <x:row r="1628">
      <x:c r="F1628" s="300"/>
      <x:c r="O1628" s="300"/>
    </x:row>
    <x:row r="1629">
      <x:c r="F1629" s="300"/>
      <x:c r="O1629" s="300"/>
    </x:row>
    <x:row r="1630">
      <x:c r="F1630" s="300"/>
      <x:c r="O1630" s="300"/>
    </x:row>
    <x:row r="1631">
      <x:c r="F1631" s="300"/>
      <x:c r="O1631" s="300"/>
    </x:row>
    <x:row r="1632">
      <x:c r="F1632" s="300"/>
      <x:c r="O1632" s="300"/>
    </x:row>
    <x:row r="1633">
      <x:c r="F1633" s="300"/>
      <x:c r="O1633" s="300"/>
    </x:row>
    <x:row r="1634">
      <x:c r="F1634" s="300"/>
      <x:c r="O1634" s="300"/>
    </x:row>
    <x:row r="1635">
      <x:c r="F1635" s="300"/>
      <x:c r="O1635" s="300"/>
    </x:row>
    <x:row r="1636">
      <x:c r="F1636" s="300"/>
      <x:c r="O1636" s="300"/>
    </x:row>
    <x:row r="1637">
      <x:c r="F1637" s="300"/>
      <x:c r="O1637" s="300"/>
    </x:row>
    <x:row r="1638">
      <x:c r="F1638" s="300"/>
      <x:c r="O1638" s="300"/>
    </x:row>
    <x:row r="1639">
      <x:c r="F1639" s="300"/>
      <x:c r="O1639" s="300"/>
    </x:row>
    <x:row r="1640">
      <x:c r="F1640" s="300"/>
      <x:c r="O1640" s="300"/>
    </x:row>
    <x:row r="1641">
      <x:c r="F1641" s="300"/>
      <x:c r="O1641" s="300"/>
    </x:row>
    <x:row r="1642">
      <x:c r="F1642" s="300"/>
      <x:c r="O1642" s="300"/>
    </x:row>
    <x:row r="1643">
      <x:c r="F1643" s="300"/>
      <x:c r="O1643" s="300"/>
    </x:row>
    <x:row r="1644">
      <x:c r="F1644" s="300"/>
      <x:c r="O1644" s="300"/>
    </x:row>
    <x:row r="1645">
      <x:c r="F1645" s="300"/>
      <x:c r="O1645" s="300"/>
    </x:row>
    <x:row r="1646">
      <x:c r="F1646" s="300"/>
      <x:c r="O1646" s="300"/>
    </x:row>
    <x:row r="1647">
      <x:c r="F1647" s="300"/>
      <x:c r="O1647" s="300"/>
    </x:row>
    <x:row r="1648">
      <x:c r="F1648" s="300"/>
      <x:c r="O1648" s="300"/>
    </x:row>
    <x:row r="1649">
      <x:c r="F1649" s="300"/>
      <x:c r="O1649" s="300"/>
    </x:row>
    <x:row r="1650">
      <x:c r="F1650" s="300"/>
      <x:c r="O1650" s="300"/>
    </x:row>
    <x:row r="1651">
      <x:c r="F1651" s="300"/>
      <x:c r="O1651" s="300"/>
    </x:row>
    <x:row r="1652">
      <x:c r="F1652" s="300"/>
      <x:c r="O1652" s="300"/>
    </x:row>
    <x:row r="1653">
      <x:c r="F1653" s="300"/>
      <x:c r="O1653" s="300"/>
    </x:row>
    <x:row r="1654">
      <x:c r="F1654" s="300"/>
      <x:c r="O1654" s="300"/>
    </x:row>
    <x:row r="1655">
      <x:c r="F1655" s="300"/>
      <x:c r="O1655" s="300"/>
    </x:row>
    <x:row r="1656">
      <x:c r="F1656" s="300"/>
      <x:c r="O1656" s="300"/>
    </x:row>
    <x:row r="1657">
      <x:c r="F1657" s="300"/>
      <x:c r="O1657" s="300"/>
    </x:row>
    <x:row r="1658">
      <x:c r="F1658" s="300"/>
      <x:c r="O1658" s="300"/>
    </x:row>
    <x:row r="1659">
      <x:c r="F1659" s="300"/>
      <x:c r="O1659" s="300"/>
    </x:row>
    <x:row r="1660">
      <x:c r="F1660" s="300"/>
      <x:c r="O1660" s="300"/>
    </x:row>
    <x:row r="1661">
      <x:c r="F1661" s="300"/>
      <x:c r="O1661" s="300"/>
    </x:row>
    <x:row r="1662">
      <x:c r="F1662" s="300"/>
      <x:c r="O1662" s="300"/>
    </x:row>
    <x:row r="1663">
      <x:c r="F1663" s="300"/>
      <x:c r="O1663" s="300"/>
    </x:row>
    <x:row r="1664">
      <x:c r="F1664" s="300"/>
      <x:c r="O1664" s="300"/>
    </x:row>
    <x:row r="1665">
      <x:c r="F1665" s="300"/>
      <x:c r="O1665" s="300"/>
    </x:row>
    <x:row r="1666">
      <x:c r="F1666" s="300"/>
      <x:c r="O1666" s="300"/>
    </x:row>
    <x:row r="1667">
      <x:c r="F1667" s="300"/>
      <x:c r="O1667" s="300"/>
    </x:row>
    <x:row r="1668">
      <x:c r="F1668" s="300"/>
      <x:c r="O1668" s="300"/>
    </x:row>
    <x:row r="1669">
      <x:c r="F1669" s="300"/>
      <x:c r="O1669" s="300"/>
    </x:row>
    <x:row r="1670">
      <x:c r="F1670" s="300"/>
      <x:c r="O1670" s="300"/>
    </x:row>
    <x:row r="1671">
      <x:c r="F1671" s="300"/>
      <x:c r="O1671" s="300"/>
    </x:row>
    <x:row r="1672">
      <x:c r="F1672" s="300"/>
      <x:c r="O1672" s="300"/>
    </x:row>
    <x:row r="1673">
      <x:c r="F1673" s="300"/>
      <x:c r="O1673" s="300"/>
    </x:row>
    <x:row r="1674">
      <x:c r="F1674" s="300"/>
      <x:c r="O1674" s="300"/>
    </x:row>
    <x:row r="1675">
      <x:c r="F1675" s="300"/>
      <x:c r="O1675" s="300"/>
    </x:row>
    <x:row r="1676">
      <x:c r="F1676" s="300"/>
      <x:c r="O1676" s="300"/>
    </x:row>
    <x:row r="1677">
      <x:c r="F1677" s="300"/>
      <x:c r="O1677" s="300"/>
    </x:row>
    <x:row r="1678">
      <x:c r="F1678" s="300"/>
      <x:c r="O1678" s="300"/>
    </x:row>
    <x:row r="1679">
      <x:c r="F1679" s="300"/>
      <x:c r="O1679" s="300"/>
    </x:row>
    <x:row r="1680">
      <x:c r="F1680" s="300"/>
      <x:c r="O1680" s="300"/>
    </x:row>
    <x:row r="1681">
      <x:c r="F1681" s="300"/>
      <x:c r="O1681" s="300"/>
    </x:row>
    <x:row r="1682">
      <x:c r="F1682" s="300"/>
      <x:c r="O1682" s="300"/>
    </x:row>
    <x:row r="1683">
      <x:c r="F1683" s="300"/>
      <x:c r="O1683" s="300"/>
    </x:row>
    <x:row r="1684">
      <x:c r="F1684" s="300"/>
      <x:c r="O1684" s="300"/>
    </x:row>
    <x:row r="1685">
      <x:c r="F1685" s="300"/>
      <x:c r="O1685" s="300"/>
    </x:row>
    <x:row r="1686">
      <x:c r="F1686" s="300"/>
      <x:c r="O1686" s="300"/>
    </x:row>
    <x:row r="1687">
      <x:c r="F1687" s="300"/>
      <x:c r="O1687" s="300"/>
    </x:row>
    <x:row r="1688">
      <x:c r="F1688" s="300"/>
      <x:c r="O1688" s="300"/>
    </x:row>
    <x:row r="1689">
      <x:c r="F1689" s="300"/>
      <x:c r="O1689" s="300"/>
    </x:row>
    <x:row r="1690">
      <x:c r="F1690" s="300"/>
      <x:c r="O1690" s="300"/>
    </x:row>
    <x:row r="1691">
      <x:c r="F1691" s="300"/>
      <x:c r="O1691" s="300"/>
    </x:row>
    <x:row r="1692">
      <x:c r="F1692" s="300"/>
      <x:c r="O1692" s="300"/>
    </x:row>
    <x:row r="1693">
      <x:c r="F1693" s="300"/>
      <x:c r="O1693" s="300"/>
    </x:row>
    <x:row r="1694">
      <x:c r="F1694" s="300"/>
      <x:c r="O1694" s="300"/>
    </x:row>
    <x:row r="1695">
      <x:c r="F1695" s="300"/>
      <x:c r="O1695" s="300"/>
    </x:row>
    <x:row r="1696">
      <x:c r="F1696" s="300"/>
      <x:c r="O1696" s="300"/>
    </x:row>
    <x:row r="1697">
      <x:c r="F1697" s="300"/>
      <x:c r="O1697" s="300"/>
    </x:row>
    <x:row r="1698">
      <x:c r="F1698" s="300"/>
      <x:c r="O1698" s="300"/>
    </x:row>
    <x:row r="1699">
      <x:c r="F1699" s="300"/>
      <x:c r="O1699" s="300"/>
    </x:row>
    <x:row r="1700">
      <x:c r="F1700" s="300"/>
      <x:c r="O1700" s="300"/>
    </x:row>
    <x:row r="1701">
      <x:c r="F1701" s="300"/>
      <x:c r="O1701" s="300"/>
    </x:row>
    <x:row r="1702">
      <x:c r="F1702" s="300"/>
      <x:c r="O1702" s="300"/>
    </x:row>
    <x:row r="1703">
      <x:c r="F1703" s="300"/>
      <x:c r="O1703" s="300"/>
    </x:row>
    <x:row r="1704">
      <x:c r="F1704" s="300"/>
      <x:c r="O1704" s="300"/>
    </x:row>
    <x:row r="1705">
      <x:c r="F1705" s="300"/>
      <x:c r="O1705" s="300"/>
    </x:row>
    <x:row r="1706">
      <x:c r="F1706" s="300"/>
      <x:c r="O1706" s="300"/>
    </x:row>
    <x:row r="1707">
      <x:c r="F1707" s="300"/>
      <x:c r="O1707" s="300"/>
    </x:row>
    <x:row r="1708">
      <x:c r="F1708" s="300"/>
      <x:c r="O1708" s="300"/>
    </x:row>
    <x:row r="1709">
      <x:c r="F1709" s="300"/>
      <x:c r="O1709" s="300"/>
    </x:row>
    <x:row r="1710">
      <x:c r="F1710" s="300"/>
      <x:c r="O1710" s="300"/>
    </x:row>
    <x:row r="1711">
      <x:c r="F1711" s="300"/>
      <x:c r="O1711" s="300"/>
    </x:row>
    <x:row r="1712">
      <x:c r="F1712" s="300"/>
      <x:c r="O1712" s="300"/>
    </x:row>
    <x:row r="1713">
      <x:c r="F1713" s="300"/>
      <x:c r="O1713" s="300"/>
    </x:row>
    <x:row r="1714">
      <x:c r="F1714" s="300"/>
      <x:c r="O1714" s="300"/>
    </x:row>
    <x:row r="1715">
      <x:c r="F1715" s="300"/>
      <x:c r="O1715" s="300"/>
    </x:row>
    <x:row r="1716">
      <x:c r="F1716" s="300"/>
      <x:c r="O1716" s="300"/>
    </x:row>
    <x:row r="1717">
      <x:c r="F1717" s="300"/>
      <x:c r="O1717" s="300"/>
    </x:row>
    <x:row r="1718">
      <x:c r="F1718" s="300"/>
      <x:c r="O1718" s="300"/>
    </x:row>
    <x:row r="1719">
      <x:c r="F1719" s="300"/>
      <x:c r="O1719" s="300"/>
    </x:row>
    <x:row r="1720">
      <x:c r="F1720" s="300"/>
      <x:c r="O1720" s="300"/>
    </x:row>
    <x:row r="1721">
      <x:c r="F1721" s="300"/>
      <x:c r="O1721" s="300"/>
    </x:row>
    <x:row r="1722">
      <x:c r="F1722" s="300"/>
      <x:c r="O1722" s="300"/>
    </x:row>
    <x:row r="1723">
      <x:c r="F1723" s="300"/>
      <x:c r="O1723" s="300"/>
    </x:row>
    <x:row r="1724">
      <x:c r="F1724" s="300"/>
      <x:c r="O1724" s="300"/>
    </x:row>
    <x:row r="1725">
      <x:c r="F1725" s="300"/>
      <x:c r="O1725" s="300"/>
    </x:row>
    <x:row r="1726">
      <x:c r="F1726" s="300"/>
      <x:c r="O1726" s="300"/>
    </x:row>
    <x:row r="1727">
      <x:c r="F1727" s="300"/>
      <x:c r="O1727" s="300"/>
    </x:row>
    <x:row r="1728">
      <x:c r="F1728" s="300"/>
      <x:c r="O1728" s="300"/>
    </x:row>
    <x:row r="1729">
      <x:c r="F1729" s="300"/>
      <x:c r="O1729" s="300"/>
    </x:row>
    <x:row r="1730">
      <x:c r="F1730" s="300"/>
      <x:c r="O1730" s="300"/>
    </x:row>
    <x:row r="1731">
      <x:c r="F1731" s="300"/>
      <x:c r="O1731" s="300"/>
    </x:row>
    <x:row r="1732">
      <x:c r="F1732" s="300"/>
      <x:c r="O1732" s="300"/>
    </x:row>
    <x:row r="1733">
      <x:c r="F1733" s="300"/>
      <x:c r="O1733" s="300"/>
    </x:row>
    <x:row r="1734">
      <x:c r="F1734" s="300"/>
      <x:c r="O1734" s="300"/>
    </x:row>
    <x:row r="1735">
      <x:c r="F1735" s="300"/>
      <x:c r="O1735" s="300"/>
    </x:row>
    <x:row r="1736">
      <x:c r="F1736" s="300"/>
      <x:c r="O1736" s="300"/>
    </x:row>
    <x:row r="1737">
      <x:c r="F1737" s="300"/>
      <x:c r="O1737" s="300"/>
    </x:row>
    <x:row r="1738">
      <x:c r="F1738" s="300"/>
      <x:c r="O1738" s="300"/>
    </x:row>
    <x:row r="1739">
      <x:c r="F1739" s="300"/>
      <x:c r="O1739" s="300"/>
    </x:row>
    <x:row r="1740">
      <x:c r="F1740" s="300"/>
      <x:c r="O1740" s="300"/>
    </x:row>
    <x:row r="1741">
      <x:c r="F1741" s="300"/>
      <x:c r="O1741" s="300"/>
    </x:row>
    <x:row r="1742">
      <x:c r="F1742" s="300"/>
      <x:c r="O1742" s="300"/>
    </x:row>
    <x:row r="1743">
      <x:c r="F1743" s="300"/>
      <x:c r="O1743" s="300"/>
    </x:row>
    <x:row r="1744">
      <x:c r="F1744" s="300"/>
      <x:c r="O1744" s="300"/>
    </x:row>
    <x:row r="1745">
      <x:c r="F1745" s="300"/>
      <x:c r="O1745" s="300"/>
    </x:row>
    <x:row r="1746">
      <x:c r="F1746" s="300"/>
      <x:c r="O1746" s="300"/>
    </x:row>
    <x:row r="1747">
      <x:c r="F1747" s="300"/>
      <x:c r="O1747" s="300"/>
    </x:row>
    <x:row r="1748">
      <x:c r="F1748" s="300"/>
      <x:c r="O1748" s="300"/>
    </x:row>
    <x:row r="1749">
      <x:c r="F1749" s="300"/>
      <x:c r="O1749" s="300"/>
    </x:row>
    <x:row r="1750">
      <x:c r="F1750" s="300"/>
      <x:c r="O1750" s="300"/>
    </x:row>
    <x:row r="1751">
      <x:c r="F1751" s="300"/>
      <x:c r="O1751" s="300"/>
    </x:row>
    <x:row r="1752">
      <x:c r="F1752" s="300"/>
      <x:c r="O1752" s="300"/>
    </x:row>
    <x:row r="1753">
      <x:c r="F1753" s="300"/>
      <x:c r="O1753" s="300"/>
    </x:row>
    <x:row r="1754">
      <x:c r="F1754" s="300"/>
      <x:c r="O1754" s="300"/>
    </x:row>
    <x:row r="1755">
      <x:c r="F1755" s="300"/>
      <x:c r="O1755" s="300"/>
    </x:row>
    <x:row r="1756">
      <x:c r="F1756" s="300"/>
      <x:c r="O1756" s="300"/>
    </x:row>
    <x:row r="1757">
      <x:c r="F1757" s="300"/>
      <x:c r="O1757" s="300"/>
    </x:row>
    <x:row r="1758">
      <x:c r="F1758" s="300"/>
      <x:c r="O1758" s="300"/>
    </x:row>
    <x:row r="1759">
      <x:c r="F1759" s="300"/>
      <x:c r="O1759" s="300"/>
    </x:row>
    <x:row r="1760">
      <x:c r="F1760" s="300"/>
      <x:c r="O1760" s="300"/>
    </x:row>
    <x:row r="1761">
      <x:c r="F1761" s="300"/>
      <x:c r="O1761" s="300"/>
    </x:row>
    <x:row r="1762">
      <x:c r="F1762" s="300"/>
      <x:c r="O1762" s="300"/>
    </x:row>
    <x:row r="1763">
      <x:c r="F1763" s="300"/>
      <x:c r="O1763" s="300"/>
    </x:row>
    <x:row r="1764">
      <x:c r="F1764" s="300"/>
      <x:c r="O1764" s="300"/>
    </x:row>
    <x:row r="1765">
      <x:c r="F1765" s="300"/>
      <x:c r="O1765" s="300"/>
    </x:row>
    <x:row r="1766">
      <x:c r="F1766" s="300"/>
      <x:c r="O1766" s="300"/>
    </x:row>
    <x:row r="1767">
      <x:c r="F1767" s="300"/>
      <x:c r="O1767" s="300"/>
    </x:row>
    <x:row r="1768">
      <x:c r="F1768" s="300"/>
      <x:c r="O1768" s="300"/>
    </x:row>
    <x:row r="1769">
      <x:c r="F1769" s="300"/>
      <x:c r="O1769" s="300"/>
    </x:row>
    <x:row r="1770">
      <x:c r="F1770" s="300"/>
      <x:c r="O1770" s="300"/>
    </x:row>
    <x:row r="1771">
      <x:c r="F1771" s="300"/>
      <x:c r="O1771" s="300"/>
    </x:row>
    <x:row r="1772">
      <x:c r="F1772" s="300"/>
      <x:c r="O1772" s="300"/>
    </x:row>
    <x:row r="1773">
      <x:c r="F1773" s="300"/>
      <x:c r="O1773" s="300"/>
    </x:row>
    <x:row r="1774">
      <x:c r="F1774" s="300"/>
      <x:c r="O1774" s="300"/>
    </x:row>
    <x:row r="1775">
      <x:c r="F1775" s="300"/>
      <x:c r="O1775" s="300"/>
    </x:row>
    <x:row r="1776">
      <x:c r="F1776" s="300"/>
      <x:c r="O1776" s="300"/>
    </x:row>
    <x:row r="1777">
      <x:c r="F1777" s="300"/>
      <x:c r="O1777" s="300"/>
    </x:row>
    <x:row r="1778">
      <x:c r="F1778" s="300"/>
      <x:c r="O1778" s="300"/>
    </x:row>
    <x:row r="1779">
      <x:c r="F1779" s="300"/>
      <x:c r="O1779" s="300"/>
    </x:row>
    <x:row r="1780">
      <x:c r="F1780" s="300"/>
      <x:c r="O1780" s="300"/>
    </x:row>
    <x:row r="1781">
      <x:c r="F1781" s="300"/>
      <x:c r="O1781" s="300"/>
    </x:row>
    <x:row r="1782">
      <x:c r="F1782" s="300"/>
      <x:c r="O1782" s="300"/>
    </x:row>
    <x:row r="1783">
      <x:c r="F1783" s="300"/>
      <x:c r="O1783" s="300"/>
    </x:row>
    <x:row r="1784">
      <x:c r="F1784" s="300"/>
      <x:c r="O1784" s="300"/>
    </x:row>
    <x:row r="1785">
      <x:c r="F1785" s="300"/>
      <x:c r="O1785" s="300"/>
    </x:row>
    <x:row r="1786">
      <x:c r="F1786" s="300"/>
      <x:c r="O1786" s="300"/>
    </x:row>
    <x:row r="1787">
      <x:c r="F1787" s="300"/>
      <x:c r="O1787" s="300"/>
    </x:row>
    <x:row r="1788">
      <x:c r="F1788" s="300"/>
      <x:c r="O1788" s="300"/>
    </x:row>
    <x:row r="1789">
      <x:c r="F1789" s="300"/>
      <x:c r="O1789" s="300"/>
    </x:row>
    <x:row r="1790">
      <x:c r="F1790" s="300"/>
      <x:c r="O1790" s="300"/>
    </x:row>
    <x:row r="1791">
      <x:c r="F1791" s="300"/>
      <x:c r="O1791" s="300"/>
    </x:row>
    <x:row r="1792">
      <x:c r="F1792" s="300"/>
      <x:c r="O1792" s="300"/>
    </x:row>
    <x:row r="1793">
      <x:c r="F1793" s="300"/>
      <x:c r="O1793" s="300"/>
    </x:row>
    <x:row r="1794">
      <x:c r="F1794" s="300"/>
      <x:c r="O1794" s="300"/>
    </x:row>
    <x:row r="1795">
      <x:c r="F1795" s="300"/>
      <x:c r="O1795" s="300"/>
    </x:row>
    <x:row r="1796">
      <x:c r="F1796" s="300"/>
      <x:c r="O1796" s="300"/>
    </x:row>
    <x:row r="1797">
      <x:c r="F1797" s="300"/>
      <x:c r="O1797" s="300"/>
    </x:row>
    <x:row r="1798">
      <x:c r="F1798" s="300"/>
      <x:c r="O1798" s="300"/>
    </x:row>
    <x:row r="1799">
      <x:c r="F1799" s="300"/>
      <x:c r="O1799" s="300"/>
    </x:row>
    <x:row r="1800">
      <x:c r="F1800" s="300"/>
      <x:c r="O1800" s="300"/>
    </x:row>
    <x:row r="1801">
      <x:c r="F1801" s="300"/>
      <x:c r="O1801" s="300"/>
    </x:row>
    <x:row r="1802">
      <x:c r="F1802" s="300"/>
      <x:c r="O1802" s="300"/>
    </x:row>
    <x:row r="1803">
      <x:c r="F1803" s="300"/>
      <x:c r="O1803" s="300"/>
    </x:row>
    <x:row r="1804">
      <x:c r="F1804" s="300"/>
      <x:c r="O1804" s="300"/>
    </x:row>
    <x:row r="1805">
      <x:c r="F1805" s="300"/>
      <x:c r="O1805" s="300"/>
    </x:row>
    <x:row r="1806">
      <x:c r="F1806" s="300"/>
      <x:c r="O1806" s="300"/>
    </x:row>
    <x:row r="1807">
      <x:c r="F1807" s="300"/>
      <x:c r="O1807" s="300"/>
    </x:row>
    <x:row r="1808">
      <x:c r="F1808" s="300"/>
      <x:c r="O1808" s="300"/>
    </x:row>
    <x:row r="1809">
      <x:c r="F1809" s="300"/>
      <x:c r="O1809" s="300"/>
    </x:row>
    <x:row r="1810">
      <x:c r="F1810" s="300"/>
      <x:c r="O1810" s="300"/>
    </x:row>
    <x:row r="1811">
      <x:c r="F1811" s="300"/>
      <x:c r="O1811" s="300"/>
    </x:row>
    <x:row r="1812">
      <x:c r="F1812" s="300"/>
      <x:c r="O1812" s="300"/>
    </x:row>
    <x:row r="1813">
      <x:c r="F1813" s="300"/>
      <x:c r="O1813" s="300"/>
    </x:row>
    <x:row r="1814">
      <x:c r="F1814" s="300"/>
      <x:c r="O1814" s="300"/>
    </x:row>
    <x:row r="1815">
      <x:c r="F1815" s="300"/>
      <x:c r="O1815" s="300"/>
    </x:row>
    <x:row r="1816">
      <x:c r="F1816" s="300"/>
      <x:c r="O1816" s="300"/>
    </x:row>
    <x:row r="1817">
      <x:c r="F1817" s="300"/>
      <x:c r="O1817" s="300"/>
    </x:row>
    <x:row r="1818">
      <x:c r="F1818" s="300"/>
      <x:c r="O1818" s="300"/>
    </x:row>
    <x:row r="1819">
      <x:c r="F1819" s="300"/>
      <x:c r="O1819" s="300"/>
    </x:row>
    <x:row r="1820">
      <x:c r="F1820" s="300"/>
      <x:c r="O1820" s="300"/>
    </x:row>
    <x:row r="1821">
      <x:c r="F1821" s="300"/>
      <x:c r="O1821" s="300"/>
    </x:row>
    <x:row r="1822">
      <x:c r="F1822" s="300"/>
      <x:c r="O1822" s="300"/>
    </x:row>
    <x:row r="1823">
      <x:c r="F1823" s="300"/>
      <x:c r="O1823" s="300"/>
    </x:row>
    <x:row r="1824">
      <x:c r="F1824" s="300"/>
      <x:c r="O1824" s="300"/>
    </x:row>
    <x:row r="1825">
      <x:c r="F1825" s="300"/>
      <x:c r="O1825" s="300"/>
    </x:row>
    <x:row r="1826">
      <x:c r="F1826" s="300"/>
      <x:c r="O1826" s="300"/>
    </x:row>
    <x:row r="1827">
      <x:c r="F1827" s="300"/>
      <x:c r="O1827" s="300"/>
    </x:row>
    <x:row r="1828">
      <x:c r="F1828" s="300"/>
      <x:c r="O1828" s="300"/>
    </x:row>
    <x:row r="1829">
      <x:c r="F1829" s="300"/>
      <x:c r="O1829" s="300"/>
    </x:row>
    <x:row r="1830">
      <x:c r="F1830" s="300"/>
      <x:c r="O1830" s="300"/>
    </x:row>
    <x:row r="1831">
      <x:c r="F1831" s="300"/>
      <x:c r="O1831" s="300"/>
    </x:row>
    <x:row r="1832">
      <x:c r="F1832" s="300"/>
      <x:c r="O1832" s="300"/>
    </x:row>
    <x:row r="1833">
      <x:c r="F1833" s="300"/>
      <x:c r="O1833" s="300"/>
    </x:row>
    <x:row r="1834">
      <x:c r="F1834" s="300"/>
      <x:c r="O1834" s="300"/>
    </x:row>
    <x:row r="1835">
      <x:c r="F1835" s="300"/>
      <x:c r="O1835" s="300"/>
    </x:row>
    <x:row r="1836">
      <x:c r="F1836" s="300"/>
      <x:c r="O1836" s="300"/>
    </x:row>
    <x:row r="1837">
      <x:c r="F1837" s="300"/>
      <x:c r="O1837" s="300"/>
    </x:row>
    <x:row r="1838">
      <x:c r="F1838" s="300"/>
      <x:c r="O1838" s="300"/>
    </x:row>
    <x:row r="1839">
      <x:c r="F1839" s="300"/>
      <x:c r="O1839" s="300"/>
    </x:row>
    <x:row r="1840">
      <x:c r="F1840" s="300"/>
      <x:c r="O1840" s="300"/>
    </x:row>
    <x:row r="1841">
      <x:c r="F1841" s="300"/>
      <x:c r="O1841" s="300"/>
    </x:row>
    <x:row r="1842">
      <x:c r="F1842" s="300"/>
      <x:c r="O1842" s="300"/>
    </x:row>
    <x:row r="1843">
      <x:c r="F1843" s="300"/>
      <x:c r="O1843" s="300"/>
    </x:row>
    <x:row r="1844">
      <x:c r="F1844" s="300"/>
      <x:c r="O1844" s="300"/>
    </x:row>
    <x:row r="1845">
      <x:c r="F1845" s="300"/>
      <x:c r="O1845" s="300"/>
    </x:row>
    <x:row r="1846">
      <x:c r="F1846" s="300"/>
      <x:c r="O1846" s="300"/>
    </x:row>
    <x:row r="1847">
      <x:c r="F1847" s="300"/>
      <x:c r="O1847" s="300"/>
    </x:row>
    <x:row r="1848">
      <x:c r="F1848" s="300"/>
      <x:c r="O1848" s="300"/>
    </x:row>
    <x:row r="1849">
      <x:c r="F1849" s="300"/>
      <x:c r="O1849" s="300"/>
    </x:row>
    <x:row r="1850">
      <x:c r="F1850" s="300"/>
      <x:c r="O1850" s="300"/>
    </x:row>
    <x:row r="1851">
      <x:c r="F1851" s="300"/>
      <x:c r="O1851" s="300"/>
    </x:row>
    <x:row r="1852">
      <x:c r="F1852" s="300"/>
      <x:c r="O1852" s="300"/>
    </x:row>
    <x:row r="1853">
      <x:c r="F1853" s="300"/>
      <x:c r="O1853" s="300"/>
    </x:row>
    <x:row r="1854">
      <x:c r="F1854" s="300"/>
      <x:c r="O1854" s="300"/>
    </x:row>
    <x:row r="1855">
      <x:c r="F1855" s="300"/>
      <x:c r="O1855" s="300"/>
    </x:row>
    <x:row r="1856">
      <x:c r="F1856" s="300"/>
      <x:c r="O1856" s="300"/>
    </x:row>
    <x:row r="1857">
      <x:c r="F1857" s="300"/>
      <x:c r="O1857" s="300"/>
    </x:row>
    <x:row r="1858">
      <x:c r="F1858" s="300"/>
      <x:c r="O1858" s="300"/>
    </x:row>
    <x:row r="1859">
      <x:c r="F1859" s="300"/>
      <x:c r="O1859" s="300"/>
    </x:row>
    <x:row r="1860">
      <x:c r="F1860" s="300"/>
      <x:c r="O1860" s="300"/>
    </x:row>
    <x:row r="1861">
      <x:c r="F1861" s="300"/>
      <x:c r="O1861" s="300"/>
    </x:row>
    <x:row r="1862">
      <x:c r="F1862" s="300"/>
      <x:c r="O1862" s="300"/>
    </x:row>
    <x:row r="1863">
      <x:c r="F1863" s="300"/>
      <x:c r="O1863" s="300"/>
    </x:row>
    <x:row r="1864">
      <x:c r="F1864" s="300"/>
      <x:c r="O1864" s="300"/>
    </x:row>
    <x:row r="1865">
      <x:c r="F1865" s="300"/>
      <x:c r="O1865" s="300"/>
    </x:row>
    <x:row r="1866">
      <x:c r="F1866" s="300"/>
      <x:c r="O1866" s="300"/>
    </x:row>
    <x:row r="1867">
      <x:c r="F1867" s="300"/>
      <x:c r="O1867" s="300"/>
    </x:row>
    <x:row r="1868">
      <x:c r="F1868" s="300"/>
      <x:c r="O1868" s="300"/>
    </x:row>
    <x:row r="1869">
      <x:c r="F1869" s="300"/>
      <x:c r="O1869" s="300"/>
    </x:row>
    <x:row r="1870">
      <x:c r="F1870" s="300"/>
      <x:c r="O1870" s="300"/>
    </x:row>
    <x:row r="1871">
      <x:c r="F1871" s="300"/>
      <x:c r="O1871" s="300"/>
    </x:row>
    <x:row r="1872">
      <x:c r="F1872" s="300"/>
      <x:c r="O1872" s="300"/>
    </x:row>
    <x:row r="1873">
      <x:c r="F1873" s="300"/>
      <x:c r="O1873" s="300"/>
    </x:row>
    <x:row r="1874">
      <x:c r="F1874" s="300"/>
      <x:c r="O1874" s="300"/>
    </x:row>
    <x:row r="1875">
      <x:c r="F1875" s="300"/>
      <x:c r="O1875" s="300"/>
    </x:row>
    <x:row r="1876">
      <x:c r="F1876" s="300"/>
      <x:c r="O1876" s="300"/>
    </x:row>
    <x:row r="1877">
      <x:c r="F1877" s="300"/>
      <x:c r="O1877" s="300"/>
    </x:row>
    <x:row r="1878">
      <x:c r="F1878" s="300"/>
      <x:c r="O1878" s="300"/>
    </x:row>
    <x:row r="1879">
      <x:c r="F1879" s="300"/>
      <x:c r="O1879" s="300"/>
    </x:row>
    <x:row r="1880">
      <x:c r="F1880" s="300"/>
      <x:c r="O1880" s="300"/>
    </x:row>
    <x:row r="1881">
      <x:c r="F1881" s="300"/>
      <x:c r="O1881" s="300"/>
    </x:row>
    <x:row r="1882">
      <x:c r="F1882" s="300"/>
      <x:c r="O1882" s="300"/>
    </x:row>
    <x:row r="1883">
      <x:c r="F1883" s="300"/>
      <x:c r="O1883" s="300"/>
    </x:row>
    <x:row r="1884">
      <x:c r="F1884" s="300"/>
      <x:c r="O1884" s="300"/>
    </x:row>
    <x:row r="1885">
      <x:c r="F1885" s="300"/>
      <x:c r="O1885" s="300"/>
    </x:row>
    <x:row r="1886">
      <x:c r="F1886" s="300"/>
      <x:c r="O1886" s="300"/>
    </x:row>
    <x:row r="1887">
      <x:c r="F1887" s="300"/>
      <x:c r="O1887" s="300"/>
    </x:row>
    <x:row r="1888">
      <x:c r="F1888" s="300"/>
      <x:c r="O1888" s="300"/>
    </x:row>
    <x:row r="1889">
      <x:c r="F1889" s="300"/>
      <x:c r="O1889" s="300"/>
    </x:row>
    <x:row r="1890">
      <x:c r="F1890" s="300"/>
      <x:c r="O1890" s="300"/>
    </x:row>
    <x:row r="1891">
      <x:c r="F1891" s="300"/>
      <x:c r="O1891" s="300"/>
    </x:row>
    <x:row r="1892">
      <x:c r="F1892" s="300"/>
      <x:c r="O1892" s="300"/>
    </x:row>
    <x:row r="1893">
      <x:c r="F1893" s="300"/>
      <x:c r="O1893" s="300"/>
    </x:row>
    <x:row r="1894">
      <x:c r="F1894" s="300"/>
      <x:c r="O1894" s="300"/>
    </x:row>
    <x:row r="1895">
      <x:c r="F1895" s="300"/>
      <x:c r="O1895" s="300"/>
    </x:row>
    <x:row r="1896">
      <x:c r="F1896" s="300"/>
      <x:c r="O1896" s="300"/>
    </x:row>
    <x:row r="1897">
      <x:c r="F1897" s="300"/>
      <x:c r="O1897" s="300"/>
    </x:row>
    <x:row r="1898">
      <x:c r="F1898" s="300"/>
      <x:c r="O1898" s="300"/>
    </x:row>
    <x:row r="1899">
      <x:c r="F1899" s="300"/>
      <x:c r="O1899" s="300"/>
    </x:row>
    <x:row r="1900">
      <x:c r="F1900" s="300"/>
      <x:c r="O1900" s="300"/>
    </x:row>
    <x:row r="1901">
      <x:c r="F1901" s="300"/>
      <x:c r="O1901" s="300"/>
    </x:row>
    <x:row r="1902">
      <x:c r="F1902" s="300"/>
      <x:c r="O1902" s="300"/>
    </x:row>
    <x:row r="1903">
      <x:c r="F1903" s="300"/>
      <x:c r="O1903" s="300"/>
    </x:row>
    <x:row r="1904">
      <x:c r="F1904" s="300"/>
      <x:c r="O1904" s="300"/>
    </x:row>
    <x:row r="1905">
      <x:c r="F1905" s="300"/>
      <x:c r="O1905" s="300"/>
    </x:row>
    <x:row r="1906">
      <x:c r="F1906" s="300"/>
      <x:c r="O1906" s="300"/>
    </x:row>
    <x:row r="1907">
      <x:c r="F1907" s="300"/>
      <x:c r="O1907" s="300"/>
    </x:row>
    <x:row r="1908">
      <x:c r="F1908" s="300"/>
      <x:c r="O1908" s="300"/>
    </x:row>
    <x:row r="1909">
      <x:c r="F1909" s="300"/>
      <x:c r="O1909" s="300"/>
    </x:row>
    <x:row r="1910">
      <x:c r="F1910" s="300"/>
      <x:c r="O1910" s="300"/>
    </x:row>
    <x:row r="1911">
      <x:c r="F1911" s="300"/>
      <x:c r="O1911" s="300"/>
    </x:row>
    <x:row r="1912">
      <x:c r="F1912" s="300"/>
      <x:c r="O1912" s="300"/>
    </x:row>
    <x:row r="1913">
      <x:c r="F1913" s="300"/>
      <x:c r="O1913" s="300"/>
    </x:row>
    <x:row r="1914">
      <x:c r="F1914" s="300"/>
      <x:c r="O1914" s="300"/>
    </x:row>
    <x:row r="1915">
      <x:c r="F1915" s="300"/>
      <x:c r="O1915" s="300"/>
    </x:row>
    <x:row r="1916">
      <x:c r="F1916" s="300"/>
      <x:c r="O1916" s="300"/>
    </x:row>
    <x:row r="1917">
      <x:c r="F1917" s="300"/>
      <x:c r="O1917" s="300"/>
    </x:row>
    <x:row r="1918">
      <x:c r="F1918" s="300"/>
      <x:c r="O1918" s="300"/>
    </x:row>
    <x:row r="1919">
      <x:c r="F1919" s="300"/>
      <x:c r="O1919" s="300"/>
    </x:row>
    <x:row r="1920">
      <x:c r="F1920" s="300"/>
      <x:c r="O1920" s="300"/>
    </x:row>
    <x:row r="1921">
      <x:c r="F1921" s="300"/>
      <x:c r="O1921" s="300"/>
    </x:row>
    <x:row r="1922">
      <x:c r="F1922" s="300"/>
      <x:c r="O1922" s="300"/>
    </x:row>
    <x:row r="1923">
      <x:c r="F1923" s="300"/>
      <x:c r="O1923" s="300"/>
    </x:row>
    <x:row r="1924">
      <x:c r="F1924" s="300"/>
      <x:c r="O1924" s="300"/>
    </x:row>
    <x:row r="1925">
      <x:c r="F1925" s="300"/>
      <x:c r="O1925" s="300"/>
    </x:row>
    <x:row r="1926">
      <x:c r="F1926" s="300"/>
      <x:c r="O1926" s="300"/>
    </x:row>
    <x:row r="1927">
      <x:c r="F1927" s="300"/>
      <x:c r="O1927" s="300"/>
    </x:row>
    <x:row r="1928">
      <x:c r="F1928" s="300"/>
      <x:c r="O1928" s="300"/>
    </x:row>
    <x:row r="1929">
      <x:c r="F1929" s="300"/>
      <x:c r="O1929" s="300"/>
    </x:row>
    <x:row r="1930">
      <x:c r="F1930" s="300"/>
      <x:c r="O1930" s="300"/>
    </x:row>
    <x:row r="1931">
      <x:c r="F1931" s="300"/>
      <x:c r="O1931" s="300"/>
    </x:row>
    <x:row r="1932">
      <x:c r="F1932" s="300"/>
      <x:c r="O1932" s="300"/>
    </x:row>
    <x:row r="1933">
      <x:c r="F1933" s="300"/>
      <x:c r="O1933" s="300"/>
    </x:row>
    <x:row r="1934">
      <x:c r="F1934" s="300"/>
      <x:c r="O1934" s="300"/>
    </x:row>
    <x:row r="1935">
      <x:c r="F1935" s="300"/>
      <x:c r="O1935" s="300"/>
    </x:row>
    <x:row r="1936">
      <x:c r="F1936" s="300"/>
      <x:c r="O1936" s="300"/>
    </x:row>
    <x:row r="1937">
      <x:c r="F1937" s="300"/>
      <x:c r="O1937" s="300"/>
    </x:row>
    <x:row r="1938">
      <x:c r="F1938" s="300"/>
      <x:c r="O1938" s="300"/>
    </x:row>
    <x:row r="1939">
      <x:c r="F1939" s="300"/>
      <x:c r="O1939" s="300"/>
    </x:row>
    <x:row r="1940">
      <x:c r="F1940" s="300"/>
      <x:c r="O1940" s="300"/>
    </x:row>
    <x:row r="1941">
      <x:c r="F1941" s="300"/>
      <x:c r="O1941" s="300"/>
    </x:row>
    <x:row r="1942">
      <x:c r="F1942" s="300"/>
      <x:c r="O1942" s="300"/>
    </x:row>
    <x:row r="1943">
      <x:c r="F1943" s="300"/>
      <x:c r="O1943" s="300"/>
    </x:row>
    <x:row r="1944">
      <x:c r="F1944" s="300"/>
      <x:c r="O1944" s="300"/>
    </x:row>
    <x:row r="1945">
      <x:c r="F1945" s="300"/>
      <x:c r="O1945" s="300"/>
    </x:row>
    <x:row r="1946">
      <x:c r="F1946" s="300"/>
      <x:c r="O1946" s="300"/>
    </x:row>
    <x:row r="1947">
      <x:c r="F1947" s="300"/>
      <x:c r="O1947" s="300"/>
    </x:row>
    <x:row r="1948">
      <x:c r="F1948" s="300"/>
      <x:c r="O1948" s="300"/>
    </x:row>
    <x:row r="1949">
      <x:c r="F1949" s="300"/>
      <x:c r="O1949" s="300"/>
    </x:row>
    <x:row r="1950">
      <x:c r="F1950" s="300"/>
      <x:c r="O1950" s="300"/>
    </x:row>
    <x:row r="1951">
      <x:c r="F1951" s="300"/>
      <x:c r="O1951" s="300"/>
    </x:row>
    <x:row r="1952">
      <x:c r="F1952" s="300"/>
      <x:c r="O1952" s="300"/>
    </x:row>
    <x:row r="1953">
      <x:c r="F1953" s="300"/>
      <x:c r="O1953" s="300"/>
    </x:row>
    <x:row r="1954">
      <x:c r="F1954" s="300"/>
      <x:c r="O1954" s="300"/>
    </x:row>
    <x:row r="1955">
      <x:c r="F1955" s="300"/>
      <x:c r="O1955" s="300"/>
    </x:row>
    <x:row r="1956">
      <x:c r="F1956" s="300"/>
      <x:c r="O1956" s="300"/>
    </x:row>
    <x:row r="1957">
      <x:c r="F1957" s="300"/>
      <x:c r="O1957" s="300"/>
    </x:row>
    <x:row r="1958">
      <x:c r="F1958" s="300"/>
      <x:c r="O1958" s="300"/>
    </x:row>
    <x:row r="1959">
      <x:c r="F1959" s="300"/>
      <x:c r="O1959" s="300"/>
    </x:row>
    <x:row r="1960">
      <x:c r="F1960" s="300"/>
      <x:c r="O1960" s="300"/>
    </x:row>
    <x:row r="1961">
      <x:c r="F1961" s="300"/>
      <x:c r="O1961" s="300"/>
    </x:row>
    <x:row r="1962">
      <x:c r="F1962" s="300"/>
      <x:c r="O1962" s="300"/>
    </x:row>
    <x:row r="1963">
      <x:c r="F1963" s="300"/>
      <x:c r="O1963" s="300"/>
    </x:row>
    <x:row r="1964">
      <x:c r="F1964" s="300"/>
      <x:c r="O1964" s="300"/>
    </x:row>
    <x:row r="1965">
      <x:c r="F1965" s="300"/>
      <x:c r="O1965" s="300"/>
    </x:row>
    <x:row r="1966">
      <x:c r="F1966" s="300"/>
      <x:c r="O1966" s="300"/>
    </x:row>
    <x:row r="1967">
      <x:c r="F1967" s="300"/>
      <x:c r="O1967" s="300"/>
    </x:row>
    <x:row r="1968">
      <x:c r="F1968" s="300"/>
      <x:c r="O1968" s="300"/>
    </x:row>
    <x:row r="1969">
      <x:c r="F1969" s="300"/>
      <x:c r="O1969" s="300"/>
    </x:row>
    <x:row r="1970">
      <x:c r="F1970" s="300"/>
      <x:c r="O1970" s="300"/>
    </x:row>
    <x:row r="1971">
      <x:c r="F1971" s="300"/>
      <x:c r="O1971" s="300"/>
    </x:row>
    <x:row r="1972">
      <x:c r="F1972" s="300"/>
      <x:c r="O1972" s="300"/>
    </x:row>
    <x:row r="1973">
      <x:c r="F1973" s="300"/>
      <x:c r="O1973" s="300"/>
    </x:row>
    <x:row r="1974">
      <x:c r="F1974" s="300"/>
      <x:c r="O1974" s="300"/>
    </x:row>
    <x:row r="1975">
      <x:c r="F1975" s="300"/>
      <x:c r="O1975" s="300"/>
    </x:row>
    <x:row r="1976">
      <x:c r="F1976" s="300"/>
      <x:c r="O1976" s="300"/>
    </x:row>
    <x:row r="1977">
      <x:c r="F1977" s="300"/>
      <x:c r="O1977" s="300"/>
    </x:row>
    <x:row r="1978">
      <x:c r="F1978" s="300"/>
      <x:c r="O1978" s="300"/>
    </x:row>
    <x:row r="1979">
      <x:c r="F1979" s="300"/>
      <x:c r="O1979" s="300"/>
    </x:row>
    <x:row r="1980">
      <x:c r="F1980" s="300"/>
      <x:c r="O1980" s="300"/>
    </x:row>
    <x:row r="1981">
      <x:c r="F1981" s="300"/>
      <x:c r="O1981" s="300"/>
    </x:row>
    <x:row r="1982">
      <x:c r="F1982" s="300"/>
      <x:c r="O1982" s="300"/>
    </x:row>
    <x:row r="1983">
      <x:c r="F1983" s="300"/>
      <x:c r="O1983" s="300"/>
    </x:row>
    <x:row r="1984">
      <x:c r="F1984" s="300"/>
      <x:c r="O1984" s="300"/>
    </x:row>
    <x:row r="1985">
      <x:c r="F1985" s="300"/>
      <x:c r="O1985" s="300"/>
    </x:row>
    <x:row r="1986">
      <x:c r="F1986" s="300"/>
      <x:c r="O1986" s="300"/>
    </x:row>
    <x:row r="1987">
      <x:c r="F1987" s="300"/>
      <x:c r="O1987" s="300"/>
    </x:row>
    <x:row r="1988">
      <x:c r="F1988" s="300"/>
      <x:c r="O1988" s="300"/>
    </x:row>
    <x:row r="1989">
      <x:c r="F1989" s="300"/>
      <x:c r="O1989" s="300"/>
    </x:row>
    <x:row r="1990">
      <x:c r="F1990" s="300"/>
      <x:c r="O1990" s="300"/>
    </x:row>
    <x:row r="1991">
      <x:c r="F1991" s="300"/>
      <x:c r="O1991" s="300"/>
    </x:row>
    <x:row r="1992">
      <x:c r="F1992" s="300"/>
      <x:c r="O1992" s="300"/>
    </x:row>
    <x:row r="1993">
      <x:c r="F1993" s="300"/>
      <x:c r="O1993" s="300"/>
    </x:row>
    <x:row r="1994">
      <x:c r="F1994" s="300"/>
      <x:c r="O1994" s="300"/>
    </x:row>
    <x:row r="1995">
      <x:c r="F1995" s="300"/>
      <x:c r="O1995" s="300"/>
    </x:row>
    <x:row r="1996">
      <x:c r="F1996" s="300"/>
      <x:c r="O1996" s="300"/>
    </x:row>
    <x:row r="1997">
      <x:c r="F1997" s="300"/>
      <x:c r="O1997" s="300"/>
    </x:row>
    <x:row r="1998">
      <x:c r="F1998" s="300"/>
      <x:c r="O1998" s="300"/>
    </x:row>
    <x:row r="1999">
      <x:c r="F1999" s="300"/>
      <x:c r="O1999" s="300"/>
    </x:row>
    <x:row r="2000">
      <x:c r="F2000" s="300"/>
      <x:c r="O2000" s="300"/>
    </x:row>
  </x:sheetData>
  <x:pageMargins left="0.7" right="0.7" top="0.75" bottom="0.75" header="0.3" footer="0.3"/>
  <x:tableParts count="1">
    <x:tablePart xmlns:r="http://schemas.openxmlformats.org/officeDocument/2006/relationships" r:id="R7977d8e1bc94432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1" hidden="0" customWidth="1"/>
    <x:col min="4" max="4" width="40" hidden="0" customWidth="1"/>
    <x:col min="5" max="5" width="16" hidden="0" customWidth="1"/>
    <x:col min="6" max="6" width="24" hidden="0" customWidth="1"/>
    <x:col min="7" max="7" width="12" hidden="0" customWidth="1"/>
    <x:col min="8" max="8" width="24" hidden="0" customWidth="1"/>
    <x:col min="9" max="9" width="14" hidden="0" customWidth="1"/>
    <x:col min="10" max="10" width="18" hidden="0" customWidth="1"/>
    <x:col min="11" max="11" width="12" hidden="0" customWidth="1"/>
    <x:col min="12" max="12" width="12" hidden="0" customWidth="1"/>
    <x:col min="13" max="13" width="16" hidden="0" customWidth="1"/>
    <x:col min="14" max="14" width="30" hidden="0" customWidth="1"/>
    <x:col min="15" max="15" width="24" hidden="0" customWidth="1"/>
    <x:col min="16" max="16" width="34" hidden="0" customWidth="1"/>
    <x:col min="17" max="17" width="18" hidden="0" customWidth="1"/>
    <x:col min="18" max="18" width="48" hidden="0" customWidth="1"/>
    <x:col min="19" max="19" width="26" hidden="0" customWidth="1"/>
    <x:col min="20" max="20" width="58" hidden="0" customWidth="1"/>
  </x:cols>
  <x:sheetData>
    <x:row r="1">
      <x:c r="A1" s="38" t="str">
        <x:v>ID проблемы</x:v>
      </x:c>
      <x:c r="B1" s="38" t="str">
        <x:v>Период</x:v>
      </x:c>
      <x:c r="C1" s="38" t="str">
        <x:v>Код строки</x:v>
      </x:c>
      <x:c r="D1" s="38" t="str">
        <x:v>Строка ОПИУ Инталев</x:v>
      </x:c>
      <x:c r="E1" s="38" t="str">
        <x:v>Инталев эталон</x:v>
      </x:c>
      <x:c r="F1" s="38" t="str">
        <x:v>Файл-источник</x:v>
      </x:c>
      <x:c r="G1" s="38" t="str">
        <x:v>Строка файла</x:v>
      </x:c>
      <x:c r="H1" s="38" t="str">
        <x:v>Документ Инталев</x:v>
      </x:c>
      <x:c r="I1" s="38" t="str">
        <x:v>Дата документа</x:v>
      </x:c>
      <x:c r="J1" s="38" t="str">
        <x:v>Номер проводки</x:v>
      </x:c>
      <x:c r="K1" s="38" t="str">
        <x:v>Дт Инталев</x:v>
      </x:c>
      <x:c r="L1" s="38" t="str">
        <x:v>Кт Инталев</x:v>
      </x:c>
      <x:c r="M1" s="38" t="str">
        <x:v>Сумма</x:v>
      </x:c>
      <x:c r="N1" s="38" t="str">
        <x:v>Статья/показатель</x:v>
      </x:c>
      <x:c r="O1" s="38" t="str">
        <x:v>ЦФО/организация</x:v>
      </x:c>
      <x:c r="P1" s="38" t="str">
        <x:v>Кандидат ERP</x:v>
      </x:c>
      <x:c r="Q1" s="38" t="str">
        <x:v>Оценка кандидата</x:v>
      </x:c>
      <x:c r="R1" s="38" t="str">
        <x:v>Основание</x:v>
      </x:c>
      <x:c r="S1" s="38" t="str">
        <x:v>Статус кандидата</x:v>
      </x:c>
      <x:c r="T1" s="38" t="str">
        <x:v>Что проверить</x:v>
      </x:c>
    </x:row>
    <x:row r="2">
      <x:c r="A2" s="154" t="str"/>
      <x:c r="B2" s="154" t="str"/>
      <x:c r="C2" s="154" t="str"/>
      <x:c r="D2" s="154" t="str"/>
      <x:c r="E2" s="302" t="str"/>
      <x:c r="F2" s="154" t="str"/>
      <x:c r="G2" s="154" t="str"/>
      <x:c r="H2" s="154" t="str"/>
      <x:c r="I2" s="154" t="str"/>
      <x:c r="J2" s="154" t="str"/>
      <x:c r="K2" s="154" t="str"/>
      <x:c r="L2" s="154" t="str"/>
      <x:c r="M2" s="302" t="str"/>
      <x:c r="N2" s="154" t="str"/>
      <x:c r="O2" s="154" t="str"/>
      <x:c r="P2" s="154" t="str"/>
      <x:c r="Q2" s="154" t="str"/>
      <x:c r="R2" s="154" t="str"/>
      <x:c r="S2" s="154" t="str"/>
      <x:c r="T2" s="154" t="str"/>
    </x:row>
    <x:row r="3">
      <x:c r="A3" s="154"/>
      <x:c r="B3" s="154"/>
      <x:c r="C3" s="154"/>
      <x:c r="D3" s="154"/>
      <x:c r="E3" s="302"/>
      <x:c r="F3" s="154"/>
      <x:c r="G3" s="154"/>
      <x:c r="H3" s="154"/>
      <x:c r="I3" s="154"/>
      <x:c r="J3" s="154"/>
      <x:c r="K3" s="154"/>
      <x:c r="L3" s="154"/>
      <x:c r="M3" s="302"/>
      <x:c r="N3" s="154"/>
      <x:c r="O3" s="154"/>
      <x:c r="P3" s="154"/>
      <x:c r="Q3" s="154"/>
      <x:c r="R3" s="154"/>
      <x:c r="S3" s="154"/>
      <x:c r="T3" s="154"/>
    </x:row>
    <x:row r="4">
      <x:c r="A4" s="154"/>
      <x:c r="B4" s="154"/>
      <x:c r="C4" s="154"/>
      <x:c r="D4" s="154"/>
      <x:c r="E4" s="302"/>
      <x:c r="F4" s="154"/>
      <x:c r="G4" s="154"/>
      <x:c r="H4" s="154"/>
      <x:c r="I4" s="154"/>
      <x:c r="J4" s="154"/>
      <x:c r="K4" s="154"/>
      <x:c r="L4" s="154"/>
      <x:c r="M4" s="302"/>
      <x:c r="N4" s="154"/>
      <x:c r="O4" s="154"/>
      <x:c r="P4" s="154"/>
      <x:c r="Q4" s="154"/>
      <x:c r="R4" s="154"/>
      <x:c r="S4" s="154"/>
      <x:c r="T4" s="154"/>
    </x:row>
    <x:row r="5">
      <x:c r="A5" s="154"/>
      <x:c r="B5" s="154"/>
      <x:c r="C5" s="154"/>
      <x:c r="D5" s="154"/>
      <x:c r="E5" s="302"/>
      <x:c r="F5" s="154"/>
      <x:c r="G5" s="154"/>
      <x:c r="H5" s="154"/>
      <x:c r="I5" s="154"/>
      <x:c r="J5" s="154"/>
      <x:c r="K5" s="154"/>
      <x:c r="L5" s="154"/>
      <x:c r="M5" s="302"/>
      <x:c r="N5" s="154"/>
      <x:c r="O5" s="154"/>
      <x:c r="P5" s="154"/>
      <x:c r="Q5" s="154"/>
      <x:c r="R5" s="154"/>
      <x:c r="S5" s="154"/>
      <x:c r="T5" s="154"/>
    </x:row>
    <x:row r="6">
      <x:c r="A6" s="154"/>
      <x:c r="B6" s="154"/>
      <x:c r="C6" s="154"/>
      <x:c r="D6" s="154"/>
      <x:c r="E6" s="302"/>
      <x:c r="F6" s="154"/>
      <x:c r="G6" s="154"/>
      <x:c r="H6" s="154"/>
      <x:c r="I6" s="154"/>
      <x:c r="J6" s="154"/>
      <x:c r="K6" s="154"/>
      <x:c r="L6" s="154"/>
      <x:c r="M6" s="302"/>
      <x:c r="N6" s="154"/>
      <x:c r="O6" s="154"/>
      <x:c r="P6" s="154"/>
      <x:c r="Q6" s="154"/>
      <x:c r="R6" s="154"/>
      <x:c r="S6" s="154"/>
      <x:c r="T6" s="154"/>
    </x:row>
    <x:row r="7">
      <x:c r="A7" s="154"/>
      <x:c r="B7" s="154"/>
      <x:c r="C7" s="154"/>
      <x:c r="D7" s="154"/>
      <x:c r="E7" s="302"/>
      <x:c r="F7" s="154"/>
      <x:c r="G7" s="154"/>
      <x:c r="H7" s="154"/>
      <x:c r="I7" s="154"/>
      <x:c r="J7" s="154"/>
      <x:c r="K7" s="154"/>
      <x:c r="L7" s="154"/>
      <x:c r="M7" s="302"/>
      <x:c r="N7" s="154"/>
      <x:c r="O7" s="154"/>
      <x:c r="P7" s="154"/>
      <x:c r="Q7" s="154"/>
      <x:c r="R7" s="154"/>
      <x:c r="S7" s="154"/>
      <x:c r="T7" s="154"/>
    </x:row>
    <x:row r="8">
      <x:c r="A8" s="154"/>
      <x:c r="B8" s="154"/>
      <x:c r="C8" s="154"/>
      <x:c r="D8" s="154"/>
      <x:c r="E8" s="302"/>
      <x:c r="F8" s="154"/>
      <x:c r="G8" s="154"/>
      <x:c r="H8" s="154"/>
      <x:c r="I8" s="154"/>
      <x:c r="J8" s="154"/>
      <x:c r="K8" s="154"/>
      <x:c r="L8" s="154"/>
      <x:c r="M8" s="302"/>
      <x:c r="N8" s="154"/>
      <x:c r="O8" s="154"/>
      <x:c r="P8" s="154"/>
      <x:c r="Q8" s="154"/>
      <x:c r="R8" s="154"/>
      <x:c r="S8" s="154"/>
      <x:c r="T8" s="154"/>
    </x:row>
    <x:row r="9">
      <x:c r="A9" s="154"/>
      <x:c r="B9" s="154"/>
      <x:c r="C9" s="154"/>
      <x:c r="D9" s="154"/>
      <x:c r="E9" s="302"/>
      <x:c r="F9" s="154"/>
      <x:c r="G9" s="154"/>
      <x:c r="H9" s="154"/>
      <x:c r="I9" s="154"/>
      <x:c r="J9" s="154"/>
      <x:c r="K9" s="154"/>
      <x:c r="L9" s="154"/>
      <x:c r="M9" s="302"/>
      <x:c r="N9" s="154"/>
      <x:c r="O9" s="154"/>
      <x:c r="P9" s="154"/>
      <x:c r="Q9" s="154"/>
      <x:c r="R9" s="154"/>
      <x:c r="S9" s="154"/>
      <x:c r="T9" s="154"/>
    </x:row>
    <x:row r="10">
      <x:c r="A10" s="154"/>
      <x:c r="B10" s="154"/>
      <x:c r="C10" s="154"/>
      <x:c r="D10" s="154"/>
      <x:c r="E10" s="302"/>
      <x:c r="F10" s="154"/>
      <x:c r="G10" s="154"/>
      <x:c r="H10" s="154"/>
      <x:c r="I10" s="154"/>
      <x:c r="J10" s="154"/>
      <x:c r="K10" s="154"/>
      <x:c r="L10" s="154"/>
      <x:c r="M10" s="302"/>
      <x:c r="N10" s="154"/>
      <x:c r="O10" s="154"/>
      <x:c r="P10" s="154"/>
      <x:c r="Q10" s="154"/>
      <x:c r="R10" s="154"/>
      <x:c r="S10" s="154"/>
      <x:c r="T10" s="154"/>
    </x:row>
    <x:row r="11">
      <x:c r="A11" s="154"/>
      <x:c r="B11" s="154"/>
      <x:c r="C11" s="154"/>
      <x:c r="D11" s="154"/>
      <x:c r="E11" s="302"/>
      <x:c r="F11" s="154"/>
      <x:c r="G11" s="154"/>
      <x:c r="H11" s="154"/>
      <x:c r="I11" s="154"/>
      <x:c r="J11" s="154"/>
      <x:c r="K11" s="154"/>
      <x:c r="L11" s="154"/>
      <x:c r="M11" s="302"/>
      <x:c r="N11" s="154"/>
      <x:c r="O11" s="154"/>
      <x:c r="P11" s="154"/>
      <x:c r="Q11" s="154"/>
      <x:c r="R11" s="154"/>
      <x:c r="S11" s="154"/>
      <x:c r="T11" s="154"/>
    </x:row>
    <x:row r="12">
      <x:c r="A12" s="154"/>
      <x:c r="B12" s="154"/>
      <x:c r="C12" s="154"/>
      <x:c r="D12" s="154"/>
      <x:c r="E12" s="302"/>
      <x:c r="F12" s="154"/>
      <x:c r="G12" s="154"/>
      <x:c r="H12" s="154"/>
      <x:c r="I12" s="154"/>
      <x:c r="J12" s="154"/>
      <x:c r="K12" s="154"/>
      <x:c r="L12" s="154"/>
      <x:c r="M12" s="302"/>
      <x:c r="N12" s="154"/>
      <x:c r="O12" s="154"/>
      <x:c r="P12" s="154"/>
      <x:c r="Q12" s="154"/>
      <x:c r="R12" s="154"/>
      <x:c r="S12" s="154"/>
      <x:c r="T12" s="154"/>
    </x:row>
    <x:row r="13">
      <x:c r="A13" s="154"/>
      <x:c r="B13" s="154"/>
      <x:c r="C13" s="154"/>
      <x:c r="D13" s="154"/>
      <x:c r="E13" s="302"/>
      <x:c r="F13" s="154"/>
      <x:c r="G13" s="154"/>
      <x:c r="H13" s="154"/>
      <x:c r="I13" s="154"/>
      <x:c r="J13" s="154"/>
      <x:c r="K13" s="154"/>
      <x:c r="L13" s="154"/>
      <x:c r="M13" s="302"/>
      <x:c r="N13" s="154"/>
      <x:c r="O13" s="154"/>
      <x:c r="P13" s="154"/>
      <x:c r="Q13" s="154"/>
      <x:c r="R13" s="154"/>
      <x:c r="S13" s="154"/>
      <x:c r="T13" s="154"/>
    </x:row>
    <x:row r="14">
      <x:c r="A14" s="154"/>
      <x:c r="B14" s="154"/>
      <x:c r="C14" s="154"/>
      <x:c r="D14" s="154"/>
      <x:c r="E14" s="302"/>
      <x:c r="F14" s="154"/>
      <x:c r="G14" s="154"/>
      <x:c r="H14" s="154"/>
      <x:c r="I14" s="154"/>
      <x:c r="J14" s="154"/>
      <x:c r="K14" s="154"/>
      <x:c r="L14" s="154"/>
      <x:c r="M14" s="302"/>
      <x:c r="N14" s="154"/>
      <x:c r="O14" s="154"/>
      <x:c r="P14" s="154"/>
      <x:c r="Q14" s="154"/>
      <x:c r="R14" s="154"/>
      <x:c r="S14" s="154"/>
      <x:c r="T14" s="154"/>
    </x:row>
    <x:row r="15">
      <x:c r="A15" s="154"/>
      <x:c r="B15" s="154"/>
      <x:c r="C15" s="154"/>
      <x:c r="D15" s="154"/>
      <x:c r="E15" s="302"/>
      <x:c r="F15" s="154"/>
      <x:c r="G15" s="154"/>
      <x:c r="H15" s="154"/>
      <x:c r="I15" s="154"/>
      <x:c r="J15" s="154"/>
      <x:c r="K15" s="154"/>
      <x:c r="L15" s="154"/>
      <x:c r="M15" s="302"/>
      <x:c r="N15" s="154"/>
      <x:c r="O15" s="154"/>
      <x:c r="P15" s="154"/>
      <x:c r="Q15" s="154"/>
      <x:c r="R15" s="154"/>
      <x:c r="S15" s="154"/>
      <x:c r="T15" s="154"/>
    </x:row>
    <x:row r="16">
      <x:c r="A16" s="154"/>
      <x:c r="B16" s="154"/>
      <x:c r="C16" s="154"/>
      <x:c r="D16" s="154"/>
      <x:c r="E16" s="302"/>
      <x:c r="F16" s="154"/>
      <x:c r="G16" s="154"/>
      <x:c r="H16" s="154"/>
      <x:c r="I16" s="154"/>
      <x:c r="J16" s="154"/>
      <x:c r="K16" s="154"/>
      <x:c r="L16" s="154"/>
      <x:c r="M16" s="302"/>
      <x:c r="N16" s="154"/>
      <x:c r="O16" s="154"/>
      <x:c r="P16" s="154"/>
      <x:c r="Q16" s="154"/>
      <x:c r="R16" s="154"/>
      <x:c r="S16" s="154"/>
      <x:c r="T16" s="154"/>
    </x:row>
    <x:row r="17">
      <x:c r="A17" s="154"/>
      <x:c r="B17" s="154"/>
      <x:c r="C17" s="154"/>
      <x:c r="D17" s="154"/>
      <x:c r="E17" s="302"/>
      <x:c r="F17" s="154"/>
      <x:c r="G17" s="154"/>
      <x:c r="H17" s="154"/>
      <x:c r="I17" s="154"/>
      <x:c r="J17" s="154"/>
      <x:c r="K17" s="154"/>
      <x:c r="L17" s="154"/>
      <x:c r="M17" s="302"/>
      <x:c r="N17" s="154"/>
      <x:c r="O17" s="154"/>
      <x:c r="P17" s="154"/>
      <x:c r="Q17" s="154"/>
      <x:c r="R17" s="154"/>
      <x:c r="S17" s="154"/>
      <x:c r="T17" s="154"/>
    </x:row>
    <x:row r="18">
      <x:c r="A18" s="154"/>
      <x:c r="B18" s="154"/>
      <x:c r="C18" s="154"/>
      <x:c r="D18" s="154"/>
      <x:c r="E18" s="302"/>
      <x:c r="F18" s="154"/>
      <x:c r="G18" s="154"/>
      <x:c r="H18" s="154"/>
      <x:c r="I18" s="154"/>
      <x:c r="J18" s="154"/>
      <x:c r="K18" s="154"/>
      <x:c r="L18" s="154"/>
      <x:c r="M18" s="302"/>
      <x:c r="N18" s="154"/>
      <x:c r="O18" s="154"/>
      <x:c r="P18" s="154"/>
      <x:c r="Q18" s="154"/>
      <x:c r="R18" s="154"/>
      <x:c r="S18" s="154"/>
      <x:c r="T18" s="154"/>
    </x:row>
    <x:row r="19">
      <x:c r="A19" s="154"/>
      <x:c r="B19" s="154"/>
      <x:c r="C19" s="154"/>
      <x:c r="D19" s="154"/>
      <x:c r="E19" s="302"/>
      <x:c r="F19" s="154"/>
      <x:c r="G19" s="154"/>
      <x:c r="H19" s="154"/>
      <x:c r="I19" s="154"/>
      <x:c r="J19" s="154"/>
      <x:c r="K19" s="154"/>
      <x:c r="L19" s="154"/>
      <x:c r="M19" s="302"/>
      <x:c r="N19" s="154"/>
      <x:c r="O19" s="154"/>
      <x:c r="P19" s="154"/>
      <x:c r="Q19" s="154"/>
      <x:c r="R19" s="154"/>
      <x:c r="S19" s="154"/>
      <x:c r="T19" s="154"/>
    </x:row>
    <x:row r="20">
      <x:c r="A20" s="154"/>
      <x:c r="B20" s="154"/>
      <x:c r="C20" s="154"/>
      <x:c r="D20" s="154"/>
      <x:c r="E20" s="302"/>
      <x:c r="F20" s="154"/>
      <x:c r="G20" s="154"/>
      <x:c r="H20" s="154"/>
      <x:c r="I20" s="154"/>
      <x:c r="J20" s="154"/>
      <x:c r="K20" s="154"/>
      <x:c r="L20" s="154"/>
      <x:c r="M20" s="302"/>
      <x:c r="N20" s="154"/>
      <x:c r="O20" s="154"/>
      <x:c r="P20" s="154"/>
      <x:c r="Q20" s="154"/>
      <x:c r="R20" s="154"/>
      <x:c r="S20" s="154"/>
      <x:c r="T20" s="154"/>
    </x:row>
    <x:row r="21">
      <x:c r="A21" s="154"/>
      <x:c r="B21" s="154"/>
      <x:c r="C21" s="154"/>
      <x:c r="D21" s="154"/>
      <x:c r="E21" s="302"/>
      <x:c r="F21" s="154"/>
      <x:c r="G21" s="154"/>
      <x:c r="H21" s="154"/>
      <x:c r="I21" s="154"/>
      <x:c r="J21" s="154"/>
      <x:c r="K21" s="154"/>
      <x:c r="L21" s="154"/>
      <x:c r="M21" s="302"/>
      <x:c r="N21" s="154"/>
      <x:c r="O21" s="154"/>
      <x:c r="P21" s="154"/>
      <x:c r="Q21" s="154"/>
      <x:c r="R21" s="154"/>
      <x:c r="S21" s="154"/>
      <x:c r="T21" s="154"/>
    </x:row>
    <x:row r="22">
      <x:c r="A22" s="154"/>
      <x:c r="B22" s="154"/>
      <x:c r="C22" s="154"/>
      <x:c r="D22" s="154"/>
      <x:c r="E22" s="302"/>
      <x:c r="F22" s="154"/>
      <x:c r="G22" s="154"/>
      <x:c r="H22" s="154"/>
      <x:c r="I22" s="154"/>
      <x:c r="J22" s="154"/>
      <x:c r="K22" s="154"/>
      <x:c r="L22" s="154"/>
      <x:c r="M22" s="302"/>
      <x:c r="N22" s="154"/>
      <x:c r="O22" s="154"/>
      <x:c r="P22" s="154"/>
      <x:c r="Q22" s="154"/>
      <x:c r="R22" s="154"/>
      <x:c r="S22" s="154"/>
      <x:c r="T22" s="154"/>
    </x:row>
    <x:row r="23">
      <x:c r="A23" s="154"/>
      <x:c r="B23" s="154"/>
      <x:c r="C23" s="154"/>
      <x:c r="D23" s="154"/>
      <x:c r="E23" s="302"/>
      <x:c r="F23" s="154"/>
      <x:c r="G23" s="154"/>
      <x:c r="H23" s="154"/>
      <x:c r="I23" s="154"/>
      <x:c r="J23" s="154"/>
      <x:c r="K23" s="154"/>
      <x:c r="L23" s="154"/>
      <x:c r="M23" s="302"/>
      <x:c r="N23" s="154"/>
      <x:c r="O23" s="154"/>
      <x:c r="P23" s="154"/>
      <x:c r="Q23" s="154"/>
      <x:c r="R23" s="154"/>
      <x:c r="S23" s="154"/>
      <x:c r="T23" s="154"/>
    </x:row>
    <x:row r="24">
      <x:c r="A24" s="154"/>
      <x:c r="B24" s="154"/>
      <x:c r="C24" s="154"/>
      <x:c r="D24" s="154"/>
      <x:c r="E24" s="302"/>
      <x:c r="F24" s="154"/>
      <x:c r="G24" s="154"/>
      <x:c r="H24" s="154"/>
      <x:c r="I24" s="154"/>
      <x:c r="J24" s="154"/>
      <x:c r="K24" s="154"/>
      <x:c r="L24" s="154"/>
      <x:c r="M24" s="302"/>
      <x:c r="N24" s="154"/>
      <x:c r="O24" s="154"/>
      <x:c r="P24" s="154"/>
      <x:c r="Q24" s="154"/>
      <x:c r="R24" s="154"/>
      <x:c r="S24" s="154"/>
      <x:c r="T24" s="154"/>
    </x:row>
    <x:row r="25">
      <x:c r="A25" s="154"/>
      <x:c r="B25" s="154"/>
      <x:c r="C25" s="154"/>
      <x:c r="D25" s="154"/>
      <x:c r="E25" s="302"/>
      <x:c r="F25" s="154"/>
      <x:c r="G25" s="154"/>
      <x:c r="H25" s="154"/>
      <x:c r="I25" s="154"/>
      <x:c r="J25" s="154"/>
      <x:c r="K25" s="154"/>
      <x:c r="L25" s="154"/>
      <x:c r="M25" s="302"/>
      <x:c r="N25" s="154"/>
      <x:c r="O25" s="154"/>
      <x:c r="P25" s="154"/>
      <x:c r="Q25" s="154"/>
      <x:c r="R25" s="154"/>
      <x:c r="S25" s="154"/>
      <x:c r="T25" s="154"/>
    </x:row>
    <x:row r="26">
      <x:c r="A26" s="154"/>
      <x:c r="B26" s="154"/>
      <x:c r="C26" s="154"/>
      <x:c r="D26" s="154"/>
      <x:c r="E26" s="302"/>
      <x:c r="F26" s="154"/>
      <x:c r="G26" s="154"/>
      <x:c r="H26" s="154"/>
      <x:c r="I26" s="154"/>
      <x:c r="J26" s="154"/>
      <x:c r="K26" s="154"/>
      <x:c r="L26" s="154"/>
      <x:c r="M26" s="302"/>
      <x:c r="N26" s="154"/>
      <x:c r="O26" s="154"/>
      <x:c r="P26" s="154"/>
      <x:c r="Q26" s="154"/>
      <x:c r="R26" s="154"/>
      <x:c r="S26" s="154"/>
      <x:c r="T26" s="154"/>
    </x:row>
    <x:row r="27">
      <x:c r="A27" s="154"/>
      <x:c r="B27" s="154"/>
      <x:c r="C27" s="154"/>
      <x:c r="D27" s="154"/>
      <x:c r="E27" s="302"/>
      <x:c r="F27" s="154"/>
      <x:c r="G27" s="154"/>
      <x:c r="H27" s="154"/>
      <x:c r="I27" s="154"/>
      <x:c r="J27" s="154"/>
      <x:c r="K27" s="154"/>
      <x:c r="L27" s="154"/>
      <x:c r="M27" s="302"/>
      <x:c r="N27" s="154"/>
      <x:c r="O27" s="154"/>
      <x:c r="P27" s="154"/>
      <x:c r="Q27" s="154"/>
      <x:c r="R27" s="154"/>
      <x:c r="S27" s="154"/>
      <x:c r="T27" s="154"/>
    </x:row>
    <x:row r="28">
      <x:c r="A28" s="154"/>
      <x:c r="B28" s="154"/>
      <x:c r="C28" s="154"/>
      <x:c r="D28" s="154"/>
      <x:c r="E28" s="302"/>
      <x:c r="F28" s="154"/>
      <x:c r="G28" s="154"/>
      <x:c r="H28" s="154"/>
      <x:c r="I28" s="154"/>
      <x:c r="J28" s="154"/>
      <x:c r="K28" s="154"/>
      <x:c r="L28" s="154"/>
      <x:c r="M28" s="302"/>
      <x:c r="N28" s="154"/>
      <x:c r="O28" s="154"/>
      <x:c r="P28" s="154"/>
      <x:c r="Q28" s="154"/>
      <x:c r="R28" s="154"/>
      <x:c r="S28" s="154"/>
      <x:c r="T28" s="154"/>
    </x:row>
    <x:row r="29">
      <x:c r="A29" s="154"/>
      <x:c r="B29" s="154"/>
      <x:c r="C29" s="154"/>
      <x:c r="D29" s="154"/>
      <x:c r="E29" s="302"/>
      <x:c r="F29" s="154"/>
      <x:c r="G29" s="154"/>
      <x:c r="H29" s="154"/>
      <x:c r="I29" s="154"/>
      <x:c r="J29" s="154"/>
      <x:c r="K29" s="154"/>
      <x:c r="L29" s="154"/>
      <x:c r="M29" s="302"/>
      <x:c r="N29" s="154"/>
      <x:c r="O29" s="154"/>
      <x:c r="P29" s="154"/>
      <x:c r="Q29" s="154"/>
      <x:c r="R29" s="154"/>
      <x:c r="S29" s="154"/>
      <x:c r="T29" s="154"/>
    </x:row>
    <x:row r="30">
      <x:c r="A30" s="154"/>
      <x:c r="B30" s="154"/>
      <x:c r="C30" s="154"/>
      <x:c r="D30" s="154"/>
      <x:c r="E30" s="302"/>
      <x:c r="F30" s="154"/>
      <x:c r="G30" s="154"/>
      <x:c r="H30" s="154"/>
      <x:c r="I30" s="154"/>
      <x:c r="J30" s="154"/>
      <x:c r="K30" s="154"/>
      <x:c r="L30" s="154"/>
      <x:c r="M30" s="302"/>
      <x:c r="N30" s="154"/>
      <x:c r="O30" s="154"/>
      <x:c r="P30" s="154"/>
      <x:c r="Q30" s="154"/>
      <x:c r="R30" s="154"/>
      <x:c r="S30" s="154"/>
      <x:c r="T30" s="154"/>
    </x:row>
    <x:row r="31">
      <x:c r="A31" s="154"/>
      <x:c r="B31" s="154"/>
      <x:c r="C31" s="154"/>
      <x:c r="D31" s="154"/>
      <x:c r="E31" s="302"/>
      <x:c r="F31" s="154"/>
      <x:c r="G31" s="154"/>
      <x:c r="H31" s="154"/>
      <x:c r="I31" s="154"/>
      <x:c r="J31" s="154"/>
      <x:c r="K31" s="154"/>
      <x:c r="L31" s="154"/>
      <x:c r="M31" s="302"/>
      <x:c r="N31" s="154"/>
      <x:c r="O31" s="154"/>
      <x:c r="P31" s="154"/>
      <x:c r="Q31" s="154"/>
      <x:c r="R31" s="154"/>
      <x:c r="S31" s="154"/>
      <x:c r="T31" s="154"/>
    </x:row>
    <x:row r="32">
      <x:c r="A32" s="154"/>
      <x:c r="B32" s="154"/>
      <x:c r="C32" s="154"/>
      <x:c r="D32" s="154"/>
      <x:c r="E32" s="302"/>
      <x:c r="F32" s="154"/>
      <x:c r="G32" s="154"/>
      <x:c r="H32" s="154"/>
      <x:c r="I32" s="154"/>
      <x:c r="J32" s="154"/>
      <x:c r="K32" s="154"/>
      <x:c r="L32" s="154"/>
      <x:c r="M32" s="302"/>
      <x:c r="N32" s="154"/>
      <x:c r="O32" s="154"/>
      <x:c r="P32" s="154"/>
      <x:c r="Q32" s="154"/>
      <x:c r="R32" s="154"/>
      <x:c r="S32" s="154"/>
      <x:c r="T32" s="154"/>
    </x:row>
    <x:row r="33">
      <x:c r="A33" s="154"/>
      <x:c r="B33" s="154"/>
      <x:c r="C33" s="154"/>
      <x:c r="D33" s="154"/>
      <x:c r="E33" s="302"/>
      <x:c r="F33" s="154"/>
      <x:c r="G33" s="154"/>
      <x:c r="H33" s="154"/>
      <x:c r="I33" s="154"/>
      <x:c r="J33" s="154"/>
      <x:c r="K33" s="154"/>
      <x:c r="L33" s="154"/>
      <x:c r="M33" s="302"/>
      <x:c r="N33" s="154"/>
      <x:c r="O33" s="154"/>
      <x:c r="P33" s="154"/>
      <x:c r="Q33" s="154"/>
      <x:c r="R33" s="154"/>
      <x:c r="S33" s="154"/>
      <x:c r="T33" s="154"/>
    </x:row>
    <x:row r="34">
      <x:c r="A34" s="154"/>
      <x:c r="B34" s="154"/>
      <x:c r="C34" s="154"/>
      <x:c r="D34" s="154"/>
      <x:c r="E34" s="302"/>
      <x:c r="F34" s="154"/>
      <x:c r="G34" s="154"/>
      <x:c r="H34" s="154"/>
      <x:c r="I34" s="154"/>
      <x:c r="J34" s="154"/>
      <x:c r="K34" s="154"/>
      <x:c r="L34" s="154"/>
      <x:c r="M34" s="302"/>
      <x:c r="N34" s="154"/>
      <x:c r="O34" s="154"/>
      <x:c r="P34" s="154"/>
      <x:c r="Q34" s="154"/>
      <x:c r="R34" s="154"/>
      <x:c r="S34" s="154"/>
      <x:c r="T34" s="154"/>
    </x:row>
    <x:row r="35">
      <x:c r="A35" s="154"/>
      <x:c r="B35" s="154"/>
      <x:c r="C35" s="154"/>
      <x:c r="D35" s="154"/>
      <x:c r="E35" s="302"/>
      <x:c r="F35" s="154"/>
      <x:c r="G35" s="154"/>
      <x:c r="H35" s="154"/>
      <x:c r="I35" s="154"/>
      <x:c r="J35" s="154"/>
      <x:c r="K35" s="154"/>
      <x:c r="L35" s="154"/>
      <x:c r="M35" s="302"/>
      <x:c r="N35" s="154"/>
      <x:c r="O35" s="154"/>
      <x:c r="P35" s="154"/>
      <x:c r="Q35" s="154"/>
      <x:c r="R35" s="154"/>
      <x:c r="S35" s="154"/>
      <x:c r="T35" s="154"/>
    </x:row>
    <x:row r="36">
      <x:c r="A36" s="154"/>
      <x:c r="B36" s="154"/>
      <x:c r="C36" s="154"/>
      <x:c r="D36" s="154"/>
      <x:c r="E36" s="302"/>
      <x:c r="F36" s="154"/>
      <x:c r="G36" s="154"/>
      <x:c r="H36" s="154"/>
      <x:c r="I36" s="154"/>
      <x:c r="J36" s="154"/>
      <x:c r="K36" s="154"/>
      <x:c r="L36" s="154"/>
      <x:c r="M36" s="302"/>
      <x:c r="N36" s="154"/>
      <x:c r="O36" s="154"/>
      <x:c r="P36" s="154"/>
      <x:c r="Q36" s="154"/>
      <x:c r="R36" s="154"/>
      <x:c r="S36" s="154"/>
      <x:c r="T36" s="154"/>
    </x:row>
    <x:row r="37">
      <x:c r="A37" s="154"/>
      <x:c r="B37" s="154"/>
      <x:c r="C37" s="154"/>
      <x:c r="D37" s="154"/>
      <x:c r="E37" s="302"/>
      <x:c r="F37" s="154"/>
      <x:c r="G37" s="154"/>
      <x:c r="H37" s="154"/>
      <x:c r="I37" s="154"/>
      <x:c r="J37" s="154"/>
      <x:c r="K37" s="154"/>
      <x:c r="L37" s="154"/>
      <x:c r="M37" s="302"/>
      <x:c r="N37" s="154"/>
      <x:c r="O37" s="154"/>
      <x:c r="P37" s="154"/>
      <x:c r="Q37" s="154"/>
      <x:c r="R37" s="154"/>
      <x:c r="S37" s="154"/>
      <x:c r="T37" s="154"/>
    </x:row>
    <x:row r="38">
      <x:c r="A38" s="154"/>
      <x:c r="B38" s="154"/>
      <x:c r="C38" s="154"/>
      <x:c r="D38" s="154"/>
      <x:c r="E38" s="302"/>
      <x:c r="F38" s="154"/>
      <x:c r="G38" s="154"/>
      <x:c r="H38" s="154"/>
      <x:c r="I38" s="154"/>
      <x:c r="J38" s="154"/>
      <x:c r="K38" s="154"/>
      <x:c r="L38" s="154"/>
      <x:c r="M38" s="302"/>
      <x:c r="N38" s="154"/>
      <x:c r="O38" s="154"/>
      <x:c r="P38" s="154"/>
      <x:c r="Q38" s="154"/>
      <x:c r="R38" s="154"/>
      <x:c r="S38" s="154"/>
      <x:c r="T38" s="154"/>
    </x:row>
    <x:row r="39">
      <x:c r="A39" s="154"/>
      <x:c r="B39" s="154"/>
      <x:c r="C39" s="154"/>
      <x:c r="D39" s="154"/>
      <x:c r="E39" s="302"/>
      <x:c r="F39" s="154"/>
      <x:c r="G39" s="154"/>
      <x:c r="H39" s="154"/>
      <x:c r="I39" s="154"/>
      <x:c r="J39" s="154"/>
      <x:c r="K39" s="154"/>
      <x:c r="L39" s="154"/>
      <x:c r="M39" s="302"/>
      <x:c r="N39" s="154"/>
      <x:c r="O39" s="154"/>
      <x:c r="P39" s="154"/>
      <x:c r="Q39" s="154"/>
      <x:c r="R39" s="154"/>
      <x:c r="S39" s="154"/>
      <x:c r="T39" s="154"/>
    </x:row>
    <x:row r="40">
      <x:c r="A40" s="154"/>
      <x:c r="B40" s="154"/>
      <x:c r="C40" s="154"/>
      <x:c r="D40" s="154"/>
      <x:c r="E40" s="302"/>
      <x:c r="F40" s="154"/>
      <x:c r="G40" s="154"/>
      <x:c r="H40" s="154"/>
      <x:c r="I40" s="154"/>
      <x:c r="J40" s="154"/>
      <x:c r="K40" s="154"/>
      <x:c r="L40" s="154"/>
      <x:c r="M40" s="302"/>
      <x:c r="N40" s="154"/>
      <x:c r="O40" s="154"/>
      <x:c r="P40" s="154"/>
      <x:c r="Q40" s="154"/>
      <x:c r="R40" s="154"/>
      <x:c r="S40" s="154"/>
      <x:c r="T40" s="154"/>
    </x:row>
    <x:row r="41">
      <x:c r="A41" s="154"/>
      <x:c r="B41" s="154"/>
      <x:c r="C41" s="154"/>
      <x:c r="D41" s="154"/>
      <x:c r="E41" s="302"/>
      <x:c r="F41" s="154"/>
      <x:c r="G41" s="154"/>
      <x:c r="H41" s="154"/>
      <x:c r="I41" s="154"/>
      <x:c r="J41" s="154"/>
      <x:c r="K41" s="154"/>
      <x:c r="L41" s="154"/>
      <x:c r="M41" s="302"/>
      <x:c r="N41" s="154"/>
      <x:c r="O41" s="154"/>
      <x:c r="P41" s="154"/>
      <x:c r="Q41" s="154"/>
      <x:c r="R41" s="154"/>
      <x:c r="S41" s="154"/>
      <x:c r="T41" s="154"/>
    </x:row>
    <x:row r="42">
      <x:c r="A42" s="154"/>
      <x:c r="B42" s="154"/>
      <x:c r="C42" s="154"/>
      <x:c r="D42" s="154"/>
      <x:c r="E42" s="302"/>
      <x:c r="F42" s="154"/>
      <x:c r="G42" s="154"/>
      <x:c r="H42" s="154"/>
      <x:c r="I42" s="154"/>
      <x:c r="J42" s="154"/>
      <x:c r="K42" s="154"/>
      <x:c r="L42" s="154"/>
      <x:c r="M42" s="302"/>
      <x:c r="N42" s="154"/>
      <x:c r="O42" s="154"/>
      <x:c r="P42" s="154"/>
      <x:c r="Q42" s="154"/>
      <x:c r="R42" s="154"/>
      <x:c r="S42" s="154"/>
      <x:c r="T42" s="154"/>
    </x:row>
    <x:row r="43">
      <x:c r="A43" s="154"/>
      <x:c r="B43" s="154"/>
      <x:c r="C43" s="154"/>
      <x:c r="D43" s="154"/>
      <x:c r="E43" s="302"/>
      <x:c r="F43" s="154"/>
      <x:c r="G43" s="154"/>
      <x:c r="H43" s="154"/>
      <x:c r="I43" s="154"/>
      <x:c r="J43" s="154"/>
      <x:c r="K43" s="154"/>
      <x:c r="L43" s="154"/>
      <x:c r="M43" s="302"/>
      <x:c r="N43" s="154"/>
      <x:c r="O43" s="154"/>
      <x:c r="P43" s="154"/>
      <x:c r="Q43" s="154"/>
      <x:c r="R43" s="154"/>
      <x:c r="S43" s="154"/>
      <x:c r="T43" s="154"/>
    </x:row>
    <x:row r="44">
      <x:c r="A44" s="154"/>
      <x:c r="B44" s="154"/>
      <x:c r="C44" s="154"/>
      <x:c r="D44" s="154"/>
      <x:c r="E44" s="302"/>
      <x:c r="F44" s="154"/>
      <x:c r="G44" s="154"/>
      <x:c r="H44" s="154"/>
      <x:c r="I44" s="154"/>
      <x:c r="J44" s="154"/>
      <x:c r="K44" s="154"/>
      <x:c r="L44" s="154"/>
      <x:c r="M44" s="302"/>
      <x:c r="N44" s="154"/>
      <x:c r="O44" s="154"/>
      <x:c r="P44" s="154"/>
      <x:c r="Q44" s="154"/>
      <x:c r="R44" s="154"/>
      <x:c r="S44" s="154"/>
      <x:c r="T44" s="154"/>
    </x:row>
    <x:row r="45">
      <x:c r="A45" s="154"/>
      <x:c r="B45" s="154"/>
      <x:c r="C45" s="154"/>
      <x:c r="D45" s="154"/>
      <x:c r="E45" s="302"/>
      <x:c r="F45" s="154"/>
      <x:c r="G45" s="154"/>
      <x:c r="H45" s="154"/>
      <x:c r="I45" s="154"/>
      <x:c r="J45" s="154"/>
      <x:c r="K45" s="154"/>
      <x:c r="L45" s="154"/>
      <x:c r="M45" s="302"/>
      <x:c r="N45" s="154"/>
      <x:c r="O45" s="154"/>
      <x:c r="P45" s="154"/>
      <x:c r="Q45" s="154"/>
      <x:c r="R45" s="154"/>
      <x:c r="S45" s="154"/>
      <x:c r="T45" s="154"/>
    </x:row>
    <x:row r="46">
      <x:c r="A46" s="154"/>
      <x:c r="B46" s="154"/>
      <x:c r="C46" s="154"/>
      <x:c r="D46" s="154"/>
      <x:c r="E46" s="302"/>
      <x:c r="F46" s="154"/>
      <x:c r="G46" s="154"/>
      <x:c r="H46" s="154"/>
      <x:c r="I46" s="154"/>
      <x:c r="J46" s="154"/>
      <x:c r="K46" s="154"/>
      <x:c r="L46" s="154"/>
      <x:c r="M46" s="302"/>
      <x:c r="N46" s="154"/>
      <x:c r="O46" s="154"/>
      <x:c r="P46" s="154"/>
      <x:c r="Q46" s="154"/>
      <x:c r="R46" s="154"/>
      <x:c r="S46" s="154"/>
      <x:c r="T46" s="154"/>
    </x:row>
    <x:row r="47">
      <x:c r="A47" s="154"/>
      <x:c r="B47" s="154"/>
      <x:c r="C47" s="154"/>
      <x:c r="D47" s="154"/>
      <x:c r="E47" s="302"/>
      <x:c r="F47" s="154"/>
      <x:c r="G47" s="154"/>
      <x:c r="H47" s="154"/>
      <x:c r="I47" s="154"/>
      <x:c r="J47" s="154"/>
      <x:c r="K47" s="154"/>
      <x:c r="L47" s="154"/>
      <x:c r="M47" s="302"/>
      <x:c r="N47" s="154"/>
      <x:c r="O47" s="154"/>
      <x:c r="P47" s="154"/>
      <x:c r="Q47" s="154"/>
      <x:c r="R47" s="154"/>
      <x:c r="S47" s="154"/>
      <x:c r="T47" s="154"/>
    </x:row>
    <x:row r="48">
      <x:c r="A48" s="154"/>
      <x:c r="B48" s="154"/>
      <x:c r="C48" s="154"/>
      <x:c r="D48" s="154"/>
      <x:c r="E48" s="302"/>
      <x:c r="F48" s="154"/>
      <x:c r="G48" s="154"/>
      <x:c r="H48" s="154"/>
      <x:c r="I48" s="154"/>
      <x:c r="J48" s="154"/>
      <x:c r="K48" s="154"/>
      <x:c r="L48" s="154"/>
      <x:c r="M48" s="302"/>
      <x:c r="N48" s="154"/>
      <x:c r="O48" s="154"/>
      <x:c r="P48" s="154"/>
      <x:c r="Q48" s="154"/>
      <x:c r="R48" s="154"/>
      <x:c r="S48" s="154"/>
      <x:c r="T48" s="154"/>
    </x:row>
    <x:row r="49">
      <x:c r="A49" s="154"/>
      <x:c r="B49" s="154"/>
      <x:c r="C49" s="154"/>
      <x:c r="D49" s="154"/>
      <x:c r="E49" s="302"/>
      <x:c r="F49" s="154"/>
      <x:c r="G49" s="154"/>
      <x:c r="H49" s="154"/>
      <x:c r="I49" s="154"/>
      <x:c r="J49" s="154"/>
      <x:c r="K49" s="154"/>
      <x:c r="L49" s="154"/>
      <x:c r="M49" s="302"/>
      <x:c r="N49" s="154"/>
      <x:c r="O49" s="154"/>
      <x:c r="P49" s="154"/>
      <x:c r="Q49" s="154"/>
      <x:c r="R49" s="154"/>
      <x:c r="S49" s="154"/>
      <x:c r="T49" s="154"/>
    </x:row>
    <x:row r="50">
      <x:c r="A50" s="154"/>
      <x:c r="B50" s="154"/>
      <x:c r="C50" s="154"/>
      <x:c r="D50" s="154"/>
      <x:c r="E50" s="302"/>
      <x:c r="F50" s="154"/>
      <x:c r="G50" s="154"/>
      <x:c r="H50" s="154"/>
      <x:c r="I50" s="154"/>
      <x:c r="J50" s="154"/>
      <x:c r="K50" s="154"/>
      <x:c r="L50" s="154"/>
      <x:c r="M50" s="302"/>
      <x:c r="N50" s="154"/>
      <x:c r="O50" s="154"/>
      <x:c r="P50" s="154"/>
      <x:c r="Q50" s="154"/>
      <x:c r="R50" s="154"/>
      <x:c r="S50" s="154"/>
      <x:c r="T50" s="154"/>
    </x:row>
    <x:row r="51">
      <x:c r="E51" s="300"/>
      <x:c r="M51" s="300"/>
    </x:row>
    <x:row r="52">
      <x:c r="E52" s="300"/>
      <x:c r="M52" s="300"/>
    </x:row>
    <x:row r="53">
      <x:c r="E53" s="300"/>
      <x:c r="M53" s="300"/>
    </x:row>
    <x:row r="54">
      <x:c r="E54" s="300"/>
      <x:c r="M54" s="300"/>
    </x:row>
    <x:row r="55">
      <x:c r="E55" s="300"/>
      <x:c r="M55" s="300"/>
    </x:row>
    <x:row r="56">
      <x:c r="E56" s="300"/>
      <x:c r="M56" s="300"/>
    </x:row>
    <x:row r="57">
      <x:c r="E57" s="300"/>
      <x:c r="M57" s="300"/>
    </x:row>
    <x:row r="58">
      <x:c r="E58" s="300"/>
      <x:c r="M58" s="300"/>
    </x:row>
    <x:row r="59">
      <x:c r="E59" s="300"/>
      <x:c r="M59" s="300"/>
    </x:row>
    <x:row r="60">
      <x:c r="E60" s="300"/>
      <x:c r="M60" s="300"/>
    </x:row>
    <x:row r="61">
      <x:c r="E61" s="300"/>
      <x:c r="M61" s="300"/>
    </x:row>
    <x:row r="62">
      <x:c r="E62" s="300"/>
      <x:c r="M62" s="300"/>
    </x:row>
    <x:row r="63">
      <x:c r="E63" s="300"/>
      <x:c r="M63" s="300"/>
    </x:row>
    <x:row r="64">
      <x:c r="E64" s="300"/>
      <x:c r="M64" s="300"/>
    </x:row>
    <x:row r="65">
      <x:c r="E65" s="300"/>
      <x:c r="M65" s="300"/>
    </x:row>
    <x:row r="66">
      <x:c r="E66" s="300"/>
      <x:c r="M66" s="300"/>
    </x:row>
    <x:row r="67">
      <x:c r="E67" s="300"/>
      <x:c r="M67" s="300"/>
    </x:row>
    <x:row r="68">
      <x:c r="E68" s="300"/>
      <x:c r="M68" s="300"/>
    </x:row>
    <x:row r="69">
      <x:c r="E69" s="300"/>
      <x:c r="M69" s="300"/>
    </x:row>
    <x:row r="70">
      <x:c r="E70" s="300"/>
      <x:c r="M70" s="300"/>
    </x:row>
    <x:row r="71">
      <x:c r="E71" s="300"/>
      <x:c r="M71" s="300"/>
    </x:row>
    <x:row r="72">
      <x:c r="E72" s="300"/>
      <x:c r="M72" s="300"/>
    </x:row>
    <x:row r="73">
      <x:c r="E73" s="300"/>
      <x:c r="M73" s="300"/>
    </x:row>
    <x:row r="74">
      <x:c r="E74" s="300"/>
      <x:c r="M74" s="300"/>
    </x:row>
    <x:row r="75">
      <x:c r="E75" s="300"/>
      <x:c r="M75" s="300"/>
    </x:row>
    <x:row r="76">
      <x:c r="E76" s="300"/>
      <x:c r="M76" s="300"/>
    </x:row>
    <x:row r="77">
      <x:c r="E77" s="300"/>
      <x:c r="M77" s="300"/>
    </x:row>
    <x:row r="78">
      <x:c r="E78" s="300"/>
      <x:c r="M78" s="300"/>
    </x:row>
    <x:row r="79">
      <x:c r="E79" s="300"/>
      <x:c r="M79" s="300"/>
    </x:row>
    <x:row r="80">
      <x:c r="E80" s="300"/>
      <x:c r="M80" s="300"/>
    </x:row>
    <x:row r="81">
      <x:c r="E81" s="300"/>
      <x:c r="M81" s="300"/>
    </x:row>
    <x:row r="82">
      <x:c r="E82" s="300"/>
      <x:c r="M82" s="300"/>
    </x:row>
    <x:row r="83">
      <x:c r="E83" s="300"/>
      <x:c r="M83" s="300"/>
    </x:row>
    <x:row r="84">
      <x:c r="E84" s="300"/>
      <x:c r="M84" s="300"/>
    </x:row>
    <x:row r="85">
      <x:c r="E85" s="300"/>
      <x:c r="M85" s="300"/>
    </x:row>
    <x:row r="86">
      <x:c r="E86" s="300"/>
      <x:c r="M86" s="300"/>
    </x:row>
    <x:row r="87">
      <x:c r="E87" s="300"/>
      <x:c r="M87" s="300"/>
    </x:row>
    <x:row r="88">
      <x:c r="E88" s="300"/>
      <x:c r="M88" s="300"/>
    </x:row>
    <x:row r="89">
      <x:c r="E89" s="300"/>
      <x:c r="M89" s="300"/>
    </x:row>
    <x:row r="90">
      <x:c r="E90" s="300"/>
      <x:c r="M90" s="300"/>
    </x:row>
    <x:row r="91">
      <x:c r="E91" s="300"/>
      <x:c r="M91" s="300"/>
    </x:row>
    <x:row r="92">
      <x:c r="E92" s="300"/>
      <x:c r="M92" s="300"/>
    </x:row>
    <x:row r="93">
      <x:c r="E93" s="300"/>
      <x:c r="M93" s="300"/>
    </x:row>
    <x:row r="94">
      <x:c r="E94" s="300"/>
      <x:c r="M94" s="300"/>
    </x:row>
    <x:row r="95">
      <x:c r="E95" s="300"/>
      <x:c r="M95" s="300"/>
    </x:row>
    <x:row r="96">
      <x:c r="E96" s="300"/>
      <x:c r="M96" s="300"/>
    </x:row>
    <x:row r="97">
      <x:c r="E97" s="300"/>
      <x:c r="M97" s="300"/>
    </x:row>
    <x:row r="98">
      <x:c r="E98" s="300"/>
      <x:c r="M98" s="300"/>
    </x:row>
    <x:row r="99">
      <x:c r="E99" s="300"/>
      <x:c r="M99" s="300"/>
    </x:row>
    <x:row r="100">
      <x:c r="E100" s="300"/>
      <x:c r="M100" s="300"/>
    </x:row>
    <x:row r="101">
      <x:c r="E101" s="300"/>
      <x:c r="M101" s="300"/>
    </x:row>
    <x:row r="102">
      <x:c r="E102" s="300"/>
      <x:c r="M102" s="300"/>
    </x:row>
    <x:row r="103">
      <x:c r="E103" s="300"/>
      <x:c r="M103" s="300"/>
    </x:row>
    <x:row r="104">
      <x:c r="E104" s="300"/>
      <x:c r="M104" s="300"/>
    </x:row>
    <x:row r="105">
      <x:c r="E105" s="300"/>
      <x:c r="M105" s="300"/>
    </x:row>
    <x:row r="106">
      <x:c r="E106" s="300"/>
      <x:c r="M106" s="300"/>
    </x:row>
    <x:row r="107">
      <x:c r="E107" s="300"/>
      <x:c r="M107" s="300"/>
    </x:row>
    <x:row r="108">
      <x:c r="E108" s="300"/>
      <x:c r="M108" s="300"/>
    </x:row>
    <x:row r="109">
      <x:c r="E109" s="300"/>
      <x:c r="M109" s="300"/>
    </x:row>
    <x:row r="110">
      <x:c r="E110" s="300"/>
      <x:c r="M110" s="300"/>
    </x:row>
    <x:row r="111">
      <x:c r="E111" s="300"/>
      <x:c r="M111" s="300"/>
    </x:row>
    <x:row r="112">
      <x:c r="E112" s="300"/>
      <x:c r="M112" s="300"/>
    </x:row>
    <x:row r="113">
      <x:c r="E113" s="300"/>
      <x:c r="M113" s="300"/>
    </x:row>
    <x:row r="114">
      <x:c r="E114" s="300"/>
      <x:c r="M114" s="300"/>
    </x:row>
    <x:row r="115">
      <x:c r="E115" s="300"/>
      <x:c r="M115" s="300"/>
    </x:row>
    <x:row r="116">
      <x:c r="E116" s="300"/>
      <x:c r="M116" s="300"/>
    </x:row>
    <x:row r="117">
      <x:c r="E117" s="300"/>
      <x:c r="M117" s="300"/>
    </x:row>
    <x:row r="118">
      <x:c r="E118" s="300"/>
      <x:c r="M118" s="300"/>
    </x:row>
    <x:row r="119">
      <x:c r="E119" s="300"/>
      <x:c r="M119" s="300"/>
    </x:row>
    <x:row r="120">
      <x:c r="E120" s="300"/>
      <x:c r="M120" s="300"/>
    </x:row>
    <x:row r="121">
      <x:c r="E121" s="300"/>
      <x:c r="M121" s="300"/>
    </x:row>
    <x:row r="122">
      <x:c r="E122" s="300"/>
      <x:c r="M122" s="300"/>
    </x:row>
    <x:row r="123">
      <x:c r="E123" s="300"/>
      <x:c r="M123" s="300"/>
    </x:row>
    <x:row r="124">
      <x:c r="E124" s="300"/>
      <x:c r="M124" s="300"/>
    </x:row>
    <x:row r="125">
      <x:c r="E125" s="300"/>
      <x:c r="M125" s="300"/>
    </x:row>
    <x:row r="126">
      <x:c r="E126" s="300"/>
      <x:c r="M126" s="300"/>
    </x:row>
    <x:row r="127">
      <x:c r="E127" s="300"/>
      <x:c r="M127" s="300"/>
    </x:row>
    <x:row r="128">
      <x:c r="E128" s="300"/>
      <x:c r="M128" s="300"/>
    </x:row>
    <x:row r="129">
      <x:c r="E129" s="300"/>
      <x:c r="M129" s="300"/>
    </x:row>
    <x:row r="130">
      <x:c r="E130" s="300"/>
      <x:c r="M130" s="300"/>
    </x:row>
    <x:row r="131">
      <x:c r="E131" s="300"/>
      <x:c r="M131" s="300"/>
    </x:row>
    <x:row r="132">
      <x:c r="E132" s="300"/>
      <x:c r="M132" s="300"/>
    </x:row>
    <x:row r="133">
      <x:c r="E133" s="300"/>
      <x:c r="M133" s="300"/>
    </x:row>
    <x:row r="134">
      <x:c r="E134" s="300"/>
      <x:c r="M134" s="300"/>
    </x:row>
    <x:row r="135">
      <x:c r="E135" s="300"/>
      <x:c r="M135" s="300"/>
    </x:row>
    <x:row r="136">
      <x:c r="E136" s="300"/>
      <x:c r="M136" s="300"/>
    </x:row>
    <x:row r="137">
      <x:c r="E137" s="300"/>
      <x:c r="M137" s="300"/>
    </x:row>
    <x:row r="138">
      <x:c r="E138" s="300"/>
      <x:c r="M138" s="300"/>
    </x:row>
    <x:row r="139">
      <x:c r="E139" s="300"/>
      <x:c r="M139" s="300"/>
    </x:row>
    <x:row r="140">
      <x:c r="E140" s="300"/>
      <x:c r="M140" s="300"/>
    </x:row>
    <x:row r="141">
      <x:c r="E141" s="300"/>
      <x:c r="M141" s="300"/>
    </x:row>
    <x:row r="142">
      <x:c r="E142" s="300"/>
      <x:c r="M142" s="300"/>
    </x:row>
    <x:row r="143">
      <x:c r="E143" s="300"/>
      <x:c r="M143" s="300"/>
    </x:row>
    <x:row r="144">
      <x:c r="E144" s="300"/>
      <x:c r="M144" s="300"/>
    </x:row>
    <x:row r="145">
      <x:c r="E145" s="300"/>
      <x:c r="M145" s="300"/>
    </x:row>
    <x:row r="146">
      <x:c r="E146" s="300"/>
      <x:c r="M146" s="300"/>
    </x:row>
    <x:row r="147">
      <x:c r="E147" s="300"/>
      <x:c r="M147" s="300"/>
    </x:row>
    <x:row r="148">
      <x:c r="E148" s="300"/>
      <x:c r="M148" s="300"/>
    </x:row>
    <x:row r="149">
      <x:c r="E149" s="300"/>
      <x:c r="M149" s="300"/>
    </x:row>
    <x:row r="150">
      <x:c r="E150" s="300"/>
      <x:c r="M150" s="300"/>
    </x:row>
    <x:row r="151">
      <x:c r="E151" s="300"/>
      <x:c r="M151" s="300"/>
    </x:row>
    <x:row r="152">
      <x:c r="E152" s="300"/>
      <x:c r="M152" s="300"/>
    </x:row>
    <x:row r="153">
      <x:c r="E153" s="300"/>
      <x:c r="M153" s="300"/>
    </x:row>
    <x:row r="154">
      <x:c r="E154" s="300"/>
      <x:c r="M154" s="300"/>
    </x:row>
    <x:row r="155">
      <x:c r="E155" s="300"/>
      <x:c r="M155" s="300"/>
    </x:row>
    <x:row r="156">
      <x:c r="E156" s="300"/>
      <x:c r="M156" s="300"/>
    </x:row>
    <x:row r="157">
      <x:c r="E157" s="300"/>
      <x:c r="M157" s="300"/>
    </x:row>
    <x:row r="158">
      <x:c r="E158" s="300"/>
      <x:c r="M158" s="300"/>
    </x:row>
    <x:row r="159">
      <x:c r="E159" s="300"/>
      <x:c r="M159" s="300"/>
    </x:row>
    <x:row r="160">
      <x:c r="E160" s="300"/>
      <x:c r="M160" s="300"/>
    </x:row>
    <x:row r="161">
      <x:c r="E161" s="300"/>
      <x:c r="M161" s="300"/>
    </x:row>
    <x:row r="162">
      <x:c r="E162" s="300"/>
      <x:c r="M162" s="300"/>
    </x:row>
    <x:row r="163">
      <x:c r="E163" s="300"/>
      <x:c r="M163" s="300"/>
    </x:row>
    <x:row r="164">
      <x:c r="E164" s="300"/>
      <x:c r="M164" s="300"/>
    </x:row>
    <x:row r="165">
      <x:c r="E165" s="300"/>
      <x:c r="M165" s="300"/>
    </x:row>
    <x:row r="166">
      <x:c r="E166" s="300"/>
      <x:c r="M166" s="300"/>
    </x:row>
    <x:row r="167">
      <x:c r="E167" s="300"/>
      <x:c r="M167" s="300"/>
    </x:row>
    <x:row r="168">
      <x:c r="E168" s="300"/>
      <x:c r="M168" s="300"/>
    </x:row>
    <x:row r="169">
      <x:c r="E169" s="300"/>
      <x:c r="M169" s="300"/>
    </x:row>
    <x:row r="170">
      <x:c r="E170" s="300"/>
      <x:c r="M170" s="300"/>
    </x:row>
    <x:row r="171">
      <x:c r="E171" s="300"/>
      <x:c r="M171" s="300"/>
    </x:row>
    <x:row r="172">
      <x:c r="E172" s="300"/>
      <x:c r="M172" s="300"/>
    </x:row>
    <x:row r="173">
      <x:c r="E173" s="300"/>
      <x:c r="M173" s="300"/>
    </x:row>
    <x:row r="174">
      <x:c r="E174" s="300"/>
      <x:c r="M174" s="300"/>
    </x:row>
    <x:row r="175">
      <x:c r="E175" s="300"/>
      <x:c r="M175" s="300"/>
    </x:row>
    <x:row r="176">
      <x:c r="E176" s="300"/>
      <x:c r="M176" s="300"/>
    </x:row>
    <x:row r="177">
      <x:c r="E177" s="300"/>
      <x:c r="M177" s="300"/>
    </x:row>
    <x:row r="178">
      <x:c r="E178" s="300"/>
      <x:c r="M178" s="300"/>
    </x:row>
    <x:row r="179">
      <x:c r="E179" s="300"/>
      <x:c r="M179" s="300"/>
    </x:row>
    <x:row r="180">
      <x:c r="E180" s="300"/>
      <x:c r="M180" s="300"/>
    </x:row>
    <x:row r="181">
      <x:c r="E181" s="300"/>
      <x:c r="M181" s="300"/>
    </x:row>
    <x:row r="182">
      <x:c r="E182" s="300"/>
      <x:c r="M182" s="300"/>
    </x:row>
    <x:row r="183">
      <x:c r="E183" s="300"/>
      <x:c r="M183" s="300"/>
    </x:row>
    <x:row r="184">
      <x:c r="E184" s="300"/>
      <x:c r="M184" s="300"/>
    </x:row>
    <x:row r="185">
      <x:c r="E185" s="300"/>
      <x:c r="M185" s="300"/>
    </x:row>
    <x:row r="186">
      <x:c r="E186" s="300"/>
      <x:c r="M186" s="300"/>
    </x:row>
    <x:row r="187">
      <x:c r="E187" s="300"/>
      <x:c r="M187" s="300"/>
    </x:row>
    <x:row r="188">
      <x:c r="E188" s="300"/>
      <x:c r="M188" s="300"/>
    </x:row>
    <x:row r="189">
      <x:c r="E189" s="300"/>
      <x:c r="M189" s="300"/>
    </x:row>
    <x:row r="190">
      <x:c r="E190" s="300"/>
      <x:c r="M190" s="300"/>
    </x:row>
    <x:row r="191">
      <x:c r="E191" s="300"/>
      <x:c r="M191" s="300"/>
    </x:row>
    <x:row r="192">
      <x:c r="E192" s="300"/>
      <x:c r="M192" s="300"/>
    </x:row>
    <x:row r="193">
      <x:c r="E193" s="300"/>
      <x:c r="M193" s="300"/>
    </x:row>
    <x:row r="194">
      <x:c r="E194" s="300"/>
      <x:c r="M194" s="300"/>
    </x:row>
    <x:row r="195">
      <x:c r="E195" s="300"/>
      <x:c r="M195" s="300"/>
    </x:row>
    <x:row r="196">
      <x:c r="E196" s="300"/>
      <x:c r="M196" s="300"/>
    </x:row>
    <x:row r="197">
      <x:c r="E197" s="300"/>
      <x:c r="M197" s="300"/>
    </x:row>
    <x:row r="198">
      <x:c r="E198" s="300"/>
      <x:c r="M198" s="300"/>
    </x:row>
    <x:row r="199">
      <x:c r="E199" s="300"/>
      <x:c r="M199" s="300"/>
    </x:row>
    <x:row r="200">
      <x:c r="E200" s="300"/>
      <x:c r="M200" s="300"/>
    </x:row>
    <x:row r="201">
      <x:c r="E201" s="300"/>
      <x:c r="M201" s="300"/>
    </x:row>
    <x:row r="202">
      <x:c r="E202" s="300"/>
      <x:c r="M202" s="300"/>
    </x:row>
    <x:row r="203">
      <x:c r="E203" s="300"/>
      <x:c r="M203" s="300"/>
    </x:row>
    <x:row r="204">
      <x:c r="E204" s="300"/>
      <x:c r="M204" s="300"/>
    </x:row>
    <x:row r="205">
      <x:c r="E205" s="300"/>
      <x:c r="M205" s="300"/>
    </x:row>
    <x:row r="206">
      <x:c r="E206" s="300"/>
      <x:c r="M206" s="300"/>
    </x:row>
    <x:row r="207">
      <x:c r="E207" s="300"/>
      <x:c r="M207" s="300"/>
    </x:row>
    <x:row r="208">
      <x:c r="E208" s="300"/>
      <x:c r="M208" s="300"/>
    </x:row>
    <x:row r="209">
      <x:c r="E209" s="300"/>
      <x:c r="M209" s="300"/>
    </x:row>
    <x:row r="210">
      <x:c r="E210" s="300"/>
      <x:c r="M210" s="300"/>
    </x:row>
    <x:row r="211">
      <x:c r="E211" s="300"/>
      <x:c r="M211" s="300"/>
    </x:row>
    <x:row r="212">
      <x:c r="E212" s="300"/>
      <x:c r="M212" s="300"/>
    </x:row>
    <x:row r="213">
      <x:c r="E213" s="300"/>
      <x:c r="M213" s="300"/>
    </x:row>
    <x:row r="214">
      <x:c r="E214" s="300"/>
      <x:c r="M214" s="300"/>
    </x:row>
    <x:row r="215">
      <x:c r="E215" s="300"/>
      <x:c r="M215" s="300"/>
    </x:row>
    <x:row r="216">
      <x:c r="E216" s="300"/>
      <x:c r="M216" s="300"/>
    </x:row>
    <x:row r="217">
      <x:c r="E217" s="300"/>
      <x:c r="M217" s="300"/>
    </x:row>
    <x:row r="218">
      <x:c r="E218" s="300"/>
      <x:c r="M218" s="300"/>
    </x:row>
    <x:row r="219">
      <x:c r="E219" s="300"/>
      <x:c r="M219" s="300"/>
    </x:row>
    <x:row r="220">
      <x:c r="E220" s="300"/>
      <x:c r="M220" s="300"/>
    </x:row>
    <x:row r="221">
      <x:c r="E221" s="300"/>
      <x:c r="M221" s="300"/>
    </x:row>
    <x:row r="222">
      <x:c r="E222" s="300"/>
      <x:c r="M222" s="300"/>
    </x:row>
    <x:row r="223">
      <x:c r="E223" s="300"/>
      <x:c r="M223" s="300"/>
    </x:row>
    <x:row r="224">
      <x:c r="E224" s="300"/>
      <x:c r="M224" s="300"/>
    </x:row>
    <x:row r="225">
      <x:c r="E225" s="300"/>
      <x:c r="M225" s="300"/>
    </x:row>
    <x:row r="226">
      <x:c r="E226" s="300"/>
      <x:c r="M226" s="300"/>
    </x:row>
    <x:row r="227">
      <x:c r="E227" s="300"/>
      <x:c r="M227" s="300"/>
    </x:row>
    <x:row r="228">
      <x:c r="E228" s="300"/>
      <x:c r="M228" s="300"/>
    </x:row>
    <x:row r="229">
      <x:c r="E229" s="300"/>
      <x:c r="M229" s="300"/>
    </x:row>
    <x:row r="230">
      <x:c r="E230" s="300"/>
      <x:c r="M230" s="300"/>
    </x:row>
    <x:row r="231">
      <x:c r="E231" s="300"/>
      <x:c r="M231" s="300"/>
    </x:row>
    <x:row r="232">
      <x:c r="E232" s="300"/>
      <x:c r="M232" s="300"/>
    </x:row>
    <x:row r="233">
      <x:c r="E233" s="300"/>
      <x:c r="M233" s="300"/>
    </x:row>
    <x:row r="234">
      <x:c r="E234" s="300"/>
      <x:c r="M234" s="300"/>
    </x:row>
    <x:row r="235">
      <x:c r="E235" s="300"/>
      <x:c r="M235" s="300"/>
    </x:row>
    <x:row r="236">
      <x:c r="E236" s="300"/>
      <x:c r="M236" s="300"/>
    </x:row>
    <x:row r="237">
      <x:c r="E237" s="300"/>
      <x:c r="M237" s="300"/>
    </x:row>
    <x:row r="238">
      <x:c r="E238" s="300"/>
      <x:c r="M238" s="300"/>
    </x:row>
    <x:row r="239">
      <x:c r="E239" s="300"/>
      <x:c r="M239" s="300"/>
    </x:row>
    <x:row r="240">
      <x:c r="E240" s="300"/>
      <x:c r="M240" s="300"/>
    </x:row>
    <x:row r="241">
      <x:c r="E241" s="300"/>
      <x:c r="M241" s="300"/>
    </x:row>
    <x:row r="242">
      <x:c r="E242" s="300"/>
      <x:c r="M242" s="300"/>
    </x:row>
    <x:row r="243">
      <x:c r="E243" s="300"/>
      <x:c r="M243" s="300"/>
    </x:row>
    <x:row r="244">
      <x:c r="E244" s="300"/>
      <x:c r="M244" s="300"/>
    </x:row>
    <x:row r="245">
      <x:c r="E245" s="300"/>
      <x:c r="M245" s="300"/>
    </x:row>
    <x:row r="246">
      <x:c r="E246" s="300"/>
      <x:c r="M246" s="300"/>
    </x:row>
    <x:row r="247">
      <x:c r="E247" s="300"/>
      <x:c r="M247" s="300"/>
    </x:row>
    <x:row r="248">
      <x:c r="E248" s="300"/>
      <x:c r="M248" s="300"/>
    </x:row>
    <x:row r="249">
      <x:c r="E249" s="300"/>
      <x:c r="M249" s="300"/>
    </x:row>
    <x:row r="250">
      <x:c r="E250" s="300"/>
      <x:c r="M250" s="300"/>
    </x:row>
    <x:row r="251">
      <x:c r="E251" s="300"/>
      <x:c r="M251" s="300"/>
    </x:row>
    <x:row r="252">
      <x:c r="E252" s="300"/>
      <x:c r="M252" s="300"/>
    </x:row>
    <x:row r="253">
      <x:c r="E253" s="300"/>
      <x:c r="M253" s="300"/>
    </x:row>
    <x:row r="254">
      <x:c r="E254" s="300"/>
      <x:c r="M254" s="300"/>
    </x:row>
    <x:row r="255">
      <x:c r="E255" s="300"/>
      <x:c r="M255" s="300"/>
    </x:row>
    <x:row r="256">
      <x:c r="E256" s="300"/>
      <x:c r="M256" s="300"/>
    </x:row>
    <x:row r="257">
      <x:c r="E257" s="300"/>
      <x:c r="M257" s="300"/>
    </x:row>
    <x:row r="258">
      <x:c r="E258" s="300"/>
      <x:c r="M258" s="300"/>
    </x:row>
    <x:row r="259">
      <x:c r="E259" s="300"/>
      <x:c r="M259" s="300"/>
    </x:row>
    <x:row r="260">
      <x:c r="E260" s="300"/>
      <x:c r="M260" s="300"/>
    </x:row>
    <x:row r="261">
      <x:c r="E261" s="300"/>
      <x:c r="M261" s="300"/>
    </x:row>
    <x:row r="262">
      <x:c r="E262" s="300"/>
      <x:c r="M262" s="300"/>
    </x:row>
    <x:row r="263">
      <x:c r="E263" s="300"/>
      <x:c r="M263" s="300"/>
    </x:row>
    <x:row r="264">
      <x:c r="E264" s="300"/>
      <x:c r="M264" s="300"/>
    </x:row>
    <x:row r="265">
      <x:c r="E265" s="300"/>
      <x:c r="M265" s="300"/>
    </x:row>
    <x:row r="266">
      <x:c r="E266" s="300"/>
      <x:c r="M266" s="300"/>
    </x:row>
    <x:row r="267">
      <x:c r="E267" s="300"/>
      <x:c r="M267" s="300"/>
    </x:row>
    <x:row r="268">
      <x:c r="E268" s="300"/>
      <x:c r="M268" s="300"/>
    </x:row>
    <x:row r="269">
      <x:c r="E269" s="300"/>
      <x:c r="M269" s="300"/>
    </x:row>
    <x:row r="270">
      <x:c r="E270" s="300"/>
      <x:c r="M270" s="300"/>
    </x:row>
    <x:row r="271">
      <x:c r="E271" s="300"/>
      <x:c r="M271" s="300"/>
    </x:row>
    <x:row r="272">
      <x:c r="E272" s="300"/>
      <x:c r="M272" s="300"/>
    </x:row>
    <x:row r="273">
      <x:c r="E273" s="300"/>
      <x:c r="M273" s="300"/>
    </x:row>
    <x:row r="274">
      <x:c r="E274" s="300"/>
      <x:c r="M274" s="300"/>
    </x:row>
    <x:row r="275">
      <x:c r="E275" s="300"/>
      <x:c r="M275" s="300"/>
    </x:row>
    <x:row r="276">
      <x:c r="E276" s="300"/>
      <x:c r="M276" s="300"/>
    </x:row>
    <x:row r="277">
      <x:c r="E277" s="300"/>
      <x:c r="M277" s="300"/>
    </x:row>
    <x:row r="278">
      <x:c r="E278" s="300"/>
      <x:c r="M278" s="300"/>
    </x:row>
    <x:row r="279">
      <x:c r="E279" s="300"/>
      <x:c r="M279" s="300"/>
    </x:row>
    <x:row r="280">
      <x:c r="E280" s="300"/>
      <x:c r="M280" s="300"/>
    </x:row>
    <x:row r="281">
      <x:c r="E281" s="300"/>
      <x:c r="M281" s="300"/>
    </x:row>
    <x:row r="282">
      <x:c r="E282" s="300"/>
      <x:c r="M282" s="300"/>
    </x:row>
    <x:row r="283">
      <x:c r="E283" s="300"/>
      <x:c r="M283" s="300"/>
    </x:row>
    <x:row r="284">
      <x:c r="E284" s="300"/>
      <x:c r="M284" s="300"/>
    </x:row>
    <x:row r="285">
      <x:c r="E285" s="300"/>
      <x:c r="M285" s="300"/>
    </x:row>
    <x:row r="286">
      <x:c r="E286" s="300"/>
      <x:c r="M286" s="300"/>
    </x:row>
    <x:row r="287">
      <x:c r="E287" s="300"/>
      <x:c r="M287" s="300"/>
    </x:row>
    <x:row r="288">
      <x:c r="E288" s="300"/>
      <x:c r="M288" s="300"/>
    </x:row>
    <x:row r="289">
      <x:c r="E289" s="300"/>
      <x:c r="M289" s="300"/>
    </x:row>
    <x:row r="290">
      <x:c r="E290" s="300"/>
      <x:c r="M290" s="300"/>
    </x:row>
    <x:row r="291">
      <x:c r="E291" s="300"/>
      <x:c r="M291" s="300"/>
    </x:row>
    <x:row r="292">
      <x:c r="E292" s="300"/>
      <x:c r="M292" s="300"/>
    </x:row>
    <x:row r="293">
      <x:c r="E293" s="300"/>
      <x:c r="M293" s="300"/>
    </x:row>
    <x:row r="294">
      <x:c r="E294" s="300"/>
      <x:c r="M294" s="300"/>
    </x:row>
    <x:row r="295">
      <x:c r="E295" s="300"/>
      <x:c r="M295" s="300"/>
    </x:row>
    <x:row r="296">
      <x:c r="E296" s="300"/>
      <x:c r="M296" s="300"/>
    </x:row>
    <x:row r="297">
      <x:c r="E297" s="300"/>
      <x:c r="M297" s="300"/>
    </x:row>
    <x:row r="298">
      <x:c r="E298" s="300"/>
      <x:c r="M298" s="300"/>
    </x:row>
    <x:row r="299">
      <x:c r="E299" s="300"/>
      <x:c r="M299" s="300"/>
    </x:row>
    <x:row r="300">
      <x:c r="E300" s="300"/>
      <x:c r="M300" s="300"/>
    </x:row>
    <x:row r="301">
      <x:c r="E301" s="300"/>
      <x:c r="M301" s="300"/>
    </x:row>
    <x:row r="302">
      <x:c r="E302" s="300"/>
      <x:c r="M302" s="300"/>
    </x:row>
    <x:row r="303">
      <x:c r="E303" s="300"/>
      <x:c r="M303" s="300"/>
    </x:row>
    <x:row r="304">
      <x:c r="E304" s="300"/>
      <x:c r="M304" s="300"/>
    </x:row>
    <x:row r="305">
      <x:c r="E305" s="300"/>
      <x:c r="M305" s="300"/>
    </x:row>
    <x:row r="306">
      <x:c r="E306" s="300"/>
      <x:c r="M306" s="300"/>
    </x:row>
    <x:row r="307">
      <x:c r="E307" s="300"/>
      <x:c r="M307" s="300"/>
    </x:row>
    <x:row r="308">
      <x:c r="E308" s="300"/>
      <x:c r="M308" s="300"/>
    </x:row>
    <x:row r="309">
      <x:c r="E309" s="300"/>
      <x:c r="M309" s="300"/>
    </x:row>
    <x:row r="310">
      <x:c r="E310" s="300"/>
      <x:c r="M310" s="300"/>
    </x:row>
    <x:row r="311">
      <x:c r="E311" s="300"/>
      <x:c r="M311" s="300"/>
    </x:row>
    <x:row r="312">
      <x:c r="E312" s="300"/>
      <x:c r="M312" s="300"/>
    </x:row>
    <x:row r="313">
      <x:c r="E313" s="300"/>
      <x:c r="M313" s="300"/>
    </x:row>
    <x:row r="314">
      <x:c r="E314" s="300"/>
      <x:c r="M314" s="300"/>
    </x:row>
    <x:row r="315">
      <x:c r="E315" s="300"/>
      <x:c r="M315" s="300"/>
    </x:row>
    <x:row r="316">
      <x:c r="E316" s="300"/>
      <x:c r="M316" s="300"/>
    </x:row>
    <x:row r="317">
      <x:c r="E317" s="300"/>
      <x:c r="M317" s="300"/>
    </x:row>
    <x:row r="318">
      <x:c r="E318" s="300"/>
      <x:c r="M318" s="300"/>
    </x:row>
    <x:row r="319">
      <x:c r="E319" s="300"/>
      <x:c r="M319" s="300"/>
    </x:row>
    <x:row r="320">
      <x:c r="E320" s="300"/>
      <x:c r="M320" s="300"/>
    </x:row>
    <x:row r="321">
      <x:c r="E321" s="300"/>
      <x:c r="M321" s="300"/>
    </x:row>
    <x:row r="322">
      <x:c r="E322" s="300"/>
      <x:c r="M322" s="300"/>
    </x:row>
    <x:row r="323">
      <x:c r="E323" s="300"/>
      <x:c r="M323" s="300"/>
    </x:row>
    <x:row r="324">
      <x:c r="E324" s="300"/>
      <x:c r="M324" s="300"/>
    </x:row>
    <x:row r="325">
      <x:c r="E325" s="300"/>
      <x:c r="M325" s="300"/>
    </x:row>
    <x:row r="326">
      <x:c r="E326" s="300"/>
      <x:c r="M326" s="300"/>
    </x:row>
    <x:row r="327">
      <x:c r="E327" s="300"/>
      <x:c r="M327" s="300"/>
    </x:row>
    <x:row r="328">
      <x:c r="E328" s="300"/>
      <x:c r="M328" s="300"/>
    </x:row>
    <x:row r="329">
      <x:c r="E329" s="300"/>
      <x:c r="M329" s="300"/>
    </x:row>
    <x:row r="330">
      <x:c r="E330" s="300"/>
      <x:c r="M330" s="300"/>
    </x:row>
    <x:row r="331">
      <x:c r="E331" s="300"/>
      <x:c r="M331" s="300"/>
    </x:row>
    <x:row r="332">
      <x:c r="E332" s="300"/>
      <x:c r="M332" s="300"/>
    </x:row>
    <x:row r="333">
      <x:c r="E333" s="300"/>
      <x:c r="M333" s="300"/>
    </x:row>
    <x:row r="334">
      <x:c r="E334" s="300"/>
      <x:c r="M334" s="300"/>
    </x:row>
    <x:row r="335">
      <x:c r="E335" s="300"/>
      <x:c r="M335" s="300"/>
    </x:row>
    <x:row r="336">
      <x:c r="E336" s="300"/>
      <x:c r="M336" s="300"/>
    </x:row>
    <x:row r="337">
      <x:c r="E337" s="300"/>
      <x:c r="M337" s="300"/>
    </x:row>
    <x:row r="338">
      <x:c r="E338" s="300"/>
      <x:c r="M338" s="300"/>
    </x:row>
    <x:row r="339">
      <x:c r="E339" s="300"/>
      <x:c r="M339" s="300"/>
    </x:row>
    <x:row r="340">
      <x:c r="E340" s="300"/>
      <x:c r="M340" s="300"/>
    </x:row>
    <x:row r="341">
      <x:c r="E341" s="300"/>
      <x:c r="M341" s="300"/>
    </x:row>
    <x:row r="342">
      <x:c r="E342" s="300"/>
      <x:c r="M342" s="300"/>
    </x:row>
    <x:row r="343">
      <x:c r="E343" s="300"/>
      <x:c r="M343" s="300"/>
    </x:row>
    <x:row r="344">
      <x:c r="E344" s="300"/>
      <x:c r="M344" s="300"/>
    </x:row>
    <x:row r="345">
      <x:c r="E345" s="300"/>
      <x:c r="M345" s="300"/>
    </x:row>
    <x:row r="346">
      <x:c r="E346" s="300"/>
      <x:c r="M346" s="300"/>
    </x:row>
    <x:row r="347">
      <x:c r="E347" s="300"/>
      <x:c r="M347" s="300"/>
    </x:row>
    <x:row r="348">
      <x:c r="E348" s="300"/>
      <x:c r="M348" s="300"/>
    </x:row>
    <x:row r="349">
      <x:c r="E349" s="300"/>
      <x:c r="M349" s="300"/>
    </x:row>
    <x:row r="350">
      <x:c r="E350" s="300"/>
      <x:c r="M350" s="300"/>
    </x:row>
    <x:row r="351">
      <x:c r="E351" s="300"/>
      <x:c r="M351" s="300"/>
    </x:row>
    <x:row r="352">
      <x:c r="E352" s="300"/>
      <x:c r="M352" s="300"/>
    </x:row>
    <x:row r="353">
      <x:c r="E353" s="300"/>
      <x:c r="M353" s="300"/>
    </x:row>
    <x:row r="354">
      <x:c r="E354" s="300"/>
      <x:c r="M354" s="300"/>
    </x:row>
    <x:row r="355">
      <x:c r="E355" s="300"/>
      <x:c r="M355" s="300"/>
    </x:row>
    <x:row r="356">
      <x:c r="E356" s="300"/>
      <x:c r="M356" s="300"/>
    </x:row>
    <x:row r="357">
      <x:c r="E357" s="300"/>
      <x:c r="M357" s="300"/>
    </x:row>
    <x:row r="358">
      <x:c r="E358" s="300"/>
      <x:c r="M358" s="300"/>
    </x:row>
    <x:row r="359">
      <x:c r="E359" s="300"/>
      <x:c r="M359" s="300"/>
    </x:row>
    <x:row r="360">
      <x:c r="E360" s="300"/>
      <x:c r="M360" s="300"/>
    </x:row>
    <x:row r="361">
      <x:c r="E361" s="300"/>
      <x:c r="M361" s="300"/>
    </x:row>
    <x:row r="362">
      <x:c r="E362" s="300"/>
      <x:c r="M362" s="300"/>
    </x:row>
    <x:row r="363">
      <x:c r="E363" s="300"/>
      <x:c r="M363" s="300"/>
    </x:row>
    <x:row r="364">
      <x:c r="E364" s="300"/>
      <x:c r="M364" s="300"/>
    </x:row>
    <x:row r="365">
      <x:c r="E365" s="300"/>
      <x:c r="M365" s="300"/>
    </x:row>
    <x:row r="366">
      <x:c r="E366" s="300"/>
      <x:c r="M366" s="300"/>
    </x:row>
    <x:row r="367">
      <x:c r="E367" s="300"/>
      <x:c r="M367" s="300"/>
    </x:row>
    <x:row r="368">
      <x:c r="E368" s="300"/>
      <x:c r="M368" s="300"/>
    </x:row>
    <x:row r="369">
      <x:c r="E369" s="300"/>
      <x:c r="M369" s="300"/>
    </x:row>
    <x:row r="370">
      <x:c r="E370" s="300"/>
      <x:c r="M370" s="300"/>
    </x:row>
    <x:row r="371">
      <x:c r="E371" s="300"/>
      <x:c r="M371" s="300"/>
    </x:row>
    <x:row r="372">
      <x:c r="E372" s="300"/>
      <x:c r="M372" s="300"/>
    </x:row>
    <x:row r="373">
      <x:c r="E373" s="300"/>
      <x:c r="M373" s="300"/>
    </x:row>
    <x:row r="374">
      <x:c r="E374" s="300"/>
      <x:c r="M374" s="300"/>
    </x:row>
    <x:row r="375">
      <x:c r="E375" s="300"/>
      <x:c r="M375" s="300"/>
    </x:row>
    <x:row r="376">
      <x:c r="E376" s="300"/>
      <x:c r="M376" s="300"/>
    </x:row>
    <x:row r="377">
      <x:c r="E377" s="300"/>
      <x:c r="M377" s="300"/>
    </x:row>
    <x:row r="378">
      <x:c r="E378" s="300"/>
      <x:c r="M378" s="300"/>
    </x:row>
    <x:row r="379">
      <x:c r="E379" s="300"/>
      <x:c r="M379" s="300"/>
    </x:row>
    <x:row r="380">
      <x:c r="E380" s="300"/>
      <x:c r="M380" s="300"/>
    </x:row>
    <x:row r="381">
      <x:c r="E381" s="300"/>
      <x:c r="M381" s="300"/>
    </x:row>
    <x:row r="382">
      <x:c r="E382" s="300"/>
      <x:c r="M382" s="300"/>
    </x:row>
    <x:row r="383">
      <x:c r="E383" s="300"/>
      <x:c r="M383" s="300"/>
    </x:row>
    <x:row r="384">
      <x:c r="E384" s="300"/>
      <x:c r="M384" s="300"/>
    </x:row>
    <x:row r="385">
      <x:c r="E385" s="300"/>
      <x:c r="M385" s="300"/>
    </x:row>
    <x:row r="386">
      <x:c r="E386" s="300"/>
      <x:c r="M386" s="300"/>
    </x:row>
    <x:row r="387">
      <x:c r="E387" s="300"/>
      <x:c r="M387" s="300"/>
    </x:row>
    <x:row r="388">
      <x:c r="E388" s="300"/>
      <x:c r="M388" s="300"/>
    </x:row>
    <x:row r="389">
      <x:c r="E389" s="300"/>
      <x:c r="M389" s="300"/>
    </x:row>
    <x:row r="390">
      <x:c r="E390" s="300"/>
      <x:c r="M390" s="300"/>
    </x:row>
    <x:row r="391">
      <x:c r="E391" s="300"/>
      <x:c r="M391" s="300"/>
    </x:row>
    <x:row r="392">
      <x:c r="E392" s="300"/>
      <x:c r="M392" s="300"/>
    </x:row>
    <x:row r="393">
      <x:c r="E393" s="300"/>
      <x:c r="M393" s="300"/>
    </x:row>
    <x:row r="394">
      <x:c r="E394" s="300"/>
      <x:c r="M394" s="300"/>
    </x:row>
    <x:row r="395">
      <x:c r="E395" s="300"/>
      <x:c r="M395" s="300"/>
    </x:row>
    <x:row r="396">
      <x:c r="E396" s="300"/>
      <x:c r="M396" s="300"/>
    </x:row>
    <x:row r="397">
      <x:c r="E397" s="300"/>
      <x:c r="M397" s="300"/>
    </x:row>
    <x:row r="398">
      <x:c r="E398" s="300"/>
      <x:c r="M398" s="300"/>
    </x:row>
    <x:row r="399">
      <x:c r="E399" s="300"/>
      <x:c r="M399" s="300"/>
    </x:row>
    <x:row r="400">
      <x:c r="E400" s="300"/>
      <x:c r="M400" s="300"/>
    </x:row>
    <x:row r="401">
      <x:c r="E401" s="300"/>
      <x:c r="M401" s="300"/>
    </x:row>
    <x:row r="402">
      <x:c r="E402" s="300"/>
      <x:c r="M402" s="300"/>
    </x:row>
    <x:row r="403">
      <x:c r="E403" s="300"/>
      <x:c r="M403" s="300"/>
    </x:row>
    <x:row r="404">
      <x:c r="E404" s="300"/>
      <x:c r="M404" s="300"/>
    </x:row>
    <x:row r="405">
      <x:c r="E405" s="300"/>
      <x:c r="M405" s="300"/>
    </x:row>
    <x:row r="406">
      <x:c r="E406" s="300"/>
      <x:c r="M406" s="300"/>
    </x:row>
    <x:row r="407">
      <x:c r="E407" s="300"/>
      <x:c r="M407" s="300"/>
    </x:row>
    <x:row r="408">
      <x:c r="E408" s="300"/>
      <x:c r="M408" s="300"/>
    </x:row>
    <x:row r="409">
      <x:c r="E409" s="300"/>
      <x:c r="M409" s="300"/>
    </x:row>
    <x:row r="410">
      <x:c r="E410" s="300"/>
      <x:c r="M410" s="300"/>
    </x:row>
    <x:row r="411">
      <x:c r="E411" s="300"/>
      <x:c r="M411" s="300"/>
    </x:row>
    <x:row r="412">
      <x:c r="E412" s="300"/>
      <x:c r="M412" s="300"/>
    </x:row>
    <x:row r="413">
      <x:c r="E413" s="300"/>
      <x:c r="M413" s="300"/>
    </x:row>
    <x:row r="414">
      <x:c r="E414" s="300"/>
      <x:c r="M414" s="300"/>
    </x:row>
    <x:row r="415">
      <x:c r="E415" s="300"/>
      <x:c r="M415" s="300"/>
    </x:row>
    <x:row r="416">
      <x:c r="E416" s="300"/>
      <x:c r="M416" s="300"/>
    </x:row>
    <x:row r="417">
      <x:c r="E417" s="300"/>
      <x:c r="M417" s="300"/>
    </x:row>
    <x:row r="418">
      <x:c r="E418" s="300"/>
      <x:c r="M418" s="300"/>
    </x:row>
    <x:row r="419">
      <x:c r="E419" s="300"/>
      <x:c r="M419" s="300"/>
    </x:row>
    <x:row r="420">
      <x:c r="E420" s="300"/>
      <x:c r="M420" s="300"/>
    </x:row>
    <x:row r="421">
      <x:c r="E421" s="300"/>
      <x:c r="M421" s="300"/>
    </x:row>
    <x:row r="422">
      <x:c r="E422" s="300"/>
      <x:c r="M422" s="300"/>
    </x:row>
    <x:row r="423">
      <x:c r="E423" s="300"/>
      <x:c r="M423" s="300"/>
    </x:row>
    <x:row r="424">
      <x:c r="E424" s="300"/>
      <x:c r="M424" s="300"/>
    </x:row>
    <x:row r="425">
      <x:c r="E425" s="300"/>
      <x:c r="M425" s="300"/>
    </x:row>
    <x:row r="426">
      <x:c r="E426" s="300"/>
      <x:c r="M426" s="300"/>
    </x:row>
    <x:row r="427">
      <x:c r="E427" s="300"/>
      <x:c r="M427" s="300"/>
    </x:row>
    <x:row r="428">
      <x:c r="E428" s="300"/>
      <x:c r="M428" s="300"/>
    </x:row>
    <x:row r="429">
      <x:c r="E429" s="300"/>
      <x:c r="M429" s="300"/>
    </x:row>
    <x:row r="430">
      <x:c r="E430" s="300"/>
      <x:c r="M430" s="300"/>
    </x:row>
    <x:row r="431">
      <x:c r="E431" s="300"/>
      <x:c r="M431" s="300"/>
    </x:row>
    <x:row r="432">
      <x:c r="E432" s="300"/>
      <x:c r="M432" s="300"/>
    </x:row>
    <x:row r="433">
      <x:c r="E433" s="300"/>
      <x:c r="M433" s="300"/>
    </x:row>
    <x:row r="434">
      <x:c r="E434" s="300"/>
      <x:c r="M434" s="300"/>
    </x:row>
    <x:row r="435">
      <x:c r="E435" s="300"/>
      <x:c r="M435" s="300"/>
    </x:row>
    <x:row r="436">
      <x:c r="E436" s="300"/>
      <x:c r="M436" s="300"/>
    </x:row>
    <x:row r="437">
      <x:c r="E437" s="300"/>
      <x:c r="M437" s="300"/>
    </x:row>
    <x:row r="438">
      <x:c r="E438" s="300"/>
      <x:c r="M438" s="300"/>
    </x:row>
    <x:row r="439">
      <x:c r="E439" s="300"/>
      <x:c r="M439" s="300"/>
    </x:row>
    <x:row r="440">
      <x:c r="E440" s="300"/>
      <x:c r="M440" s="300"/>
    </x:row>
    <x:row r="441">
      <x:c r="E441" s="300"/>
      <x:c r="M441" s="300"/>
    </x:row>
    <x:row r="442">
      <x:c r="E442" s="300"/>
      <x:c r="M442" s="300"/>
    </x:row>
    <x:row r="443">
      <x:c r="E443" s="300"/>
      <x:c r="M443" s="300"/>
    </x:row>
    <x:row r="444">
      <x:c r="E444" s="300"/>
      <x:c r="M444" s="300"/>
    </x:row>
    <x:row r="445">
      <x:c r="E445" s="300"/>
      <x:c r="M445" s="300"/>
    </x:row>
    <x:row r="446">
      <x:c r="E446" s="300"/>
      <x:c r="M446" s="300"/>
    </x:row>
    <x:row r="447">
      <x:c r="E447" s="300"/>
      <x:c r="M447" s="300"/>
    </x:row>
    <x:row r="448">
      <x:c r="E448" s="300"/>
      <x:c r="M448" s="300"/>
    </x:row>
    <x:row r="449">
      <x:c r="E449" s="300"/>
      <x:c r="M449" s="300"/>
    </x:row>
    <x:row r="450">
      <x:c r="E450" s="300"/>
      <x:c r="M450" s="300"/>
    </x:row>
    <x:row r="451">
      <x:c r="E451" s="300"/>
      <x:c r="M451" s="300"/>
    </x:row>
    <x:row r="452">
      <x:c r="E452" s="300"/>
      <x:c r="M452" s="300"/>
    </x:row>
    <x:row r="453">
      <x:c r="E453" s="300"/>
      <x:c r="M453" s="300"/>
    </x:row>
    <x:row r="454">
      <x:c r="E454" s="300"/>
      <x:c r="M454" s="300"/>
    </x:row>
    <x:row r="455">
      <x:c r="E455" s="300"/>
      <x:c r="M455" s="300"/>
    </x:row>
    <x:row r="456">
      <x:c r="E456" s="300"/>
      <x:c r="M456" s="300"/>
    </x:row>
    <x:row r="457">
      <x:c r="E457" s="300"/>
      <x:c r="M457" s="300"/>
    </x:row>
    <x:row r="458">
      <x:c r="E458" s="300"/>
      <x:c r="M458" s="300"/>
    </x:row>
    <x:row r="459">
      <x:c r="E459" s="300"/>
      <x:c r="M459" s="300"/>
    </x:row>
    <x:row r="460">
      <x:c r="E460" s="300"/>
      <x:c r="M460" s="300"/>
    </x:row>
    <x:row r="461">
      <x:c r="E461" s="300"/>
      <x:c r="M461" s="300"/>
    </x:row>
    <x:row r="462">
      <x:c r="E462" s="300"/>
      <x:c r="M462" s="300"/>
    </x:row>
    <x:row r="463">
      <x:c r="E463" s="300"/>
      <x:c r="M463" s="300"/>
    </x:row>
    <x:row r="464">
      <x:c r="E464" s="300"/>
      <x:c r="M464" s="300"/>
    </x:row>
    <x:row r="465">
      <x:c r="E465" s="300"/>
      <x:c r="M465" s="300"/>
    </x:row>
    <x:row r="466">
      <x:c r="E466" s="300"/>
      <x:c r="M466" s="300"/>
    </x:row>
    <x:row r="467">
      <x:c r="E467" s="300"/>
      <x:c r="M467" s="300"/>
    </x:row>
    <x:row r="468">
      <x:c r="E468" s="300"/>
      <x:c r="M468" s="300"/>
    </x:row>
    <x:row r="469">
      <x:c r="E469" s="300"/>
      <x:c r="M469" s="300"/>
    </x:row>
    <x:row r="470">
      <x:c r="E470" s="300"/>
      <x:c r="M470" s="300"/>
    </x:row>
    <x:row r="471">
      <x:c r="E471" s="300"/>
      <x:c r="M471" s="300"/>
    </x:row>
    <x:row r="472">
      <x:c r="E472" s="300"/>
      <x:c r="M472" s="300"/>
    </x:row>
    <x:row r="473">
      <x:c r="E473" s="300"/>
      <x:c r="M473" s="300"/>
    </x:row>
    <x:row r="474">
      <x:c r="E474" s="300"/>
      <x:c r="M474" s="300"/>
    </x:row>
    <x:row r="475">
      <x:c r="E475" s="300"/>
      <x:c r="M475" s="300"/>
    </x:row>
    <x:row r="476">
      <x:c r="E476" s="300"/>
      <x:c r="M476" s="300"/>
    </x:row>
    <x:row r="477">
      <x:c r="E477" s="300"/>
      <x:c r="M477" s="300"/>
    </x:row>
    <x:row r="478">
      <x:c r="E478" s="300"/>
      <x:c r="M478" s="300"/>
    </x:row>
    <x:row r="479">
      <x:c r="E479" s="300"/>
      <x:c r="M479" s="300"/>
    </x:row>
    <x:row r="480">
      <x:c r="E480" s="300"/>
      <x:c r="M480" s="300"/>
    </x:row>
    <x:row r="481">
      <x:c r="E481" s="300"/>
      <x:c r="M481" s="300"/>
    </x:row>
    <x:row r="482">
      <x:c r="E482" s="300"/>
      <x:c r="M482" s="300"/>
    </x:row>
    <x:row r="483">
      <x:c r="E483" s="300"/>
      <x:c r="M483" s="300"/>
    </x:row>
    <x:row r="484">
      <x:c r="E484" s="300"/>
      <x:c r="M484" s="300"/>
    </x:row>
    <x:row r="485">
      <x:c r="E485" s="300"/>
      <x:c r="M485" s="300"/>
    </x:row>
    <x:row r="486">
      <x:c r="E486" s="300"/>
      <x:c r="M486" s="300"/>
    </x:row>
    <x:row r="487">
      <x:c r="E487" s="300"/>
      <x:c r="M487" s="300"/>
    </x:row>
    <x:row r="488">
      <x:c r="E488" s="300"/>
      <x:c r="M488" s="300"/>
    </x:row>
    <x:row r="489">
      <x:c r="E489" s="300"/>
      <x:c r="M489" s="300"/>
    </x:row>
    <x:row r="490">
      <x:c r="E490" s="300"/>
      <x:c r="M490" s="300"/>
    </x:row>
    <x:row r="491">
      <x:c r="E491" s="300"/>
      <x:c r="M491" s="300"/>
    </x:row>
    <x:row r="492">
      <x:c r="E492" s="300"/>
      <x:c r="M492" s="300"/>
    </x:row>
    <x:row r="493">
      <x:c r="E493" s="300"/>
      <x:c r="M493" s="300"/>
    </x:row>
    <x:row r="494">
      <x:c r="E494" s="300"/>
      <x:c r="M494" s="300"/>
    </x:row>
    <x:row r="495">
      <x:c r="E495" s="300"/>
      <x:c r="M495" s="300"/>
    </x:row>
    <x:row r="496">
      <x:c r="E496" s="300"/>
      <x:c r="M496" s="300"/>
    </x:row>
    <x:row r="497">
      <x:c r="E497" s="300"/>
      <x:c r="M497" s="300"/>
    </x:row>
    <x:row r="498">
      <x:c r="E498" s="300"/>
      <x:c r="M498" s="300"/>
    </x:row>
    <x:row r="499">
      <x:c r="E499" s="300"/>
      <x:c r="M499" s="300"/>
    </x:row>
    <x:row r="500">
      <x:c r="E500" s="300"/>
      <x:c r="M500" s="300"/>
    </x:row>
    <x:row r="501">
      <x:c r="E501" s="300"/>
      <x:c r="M501" s="300"/>
    </x:row>
    <x:row r="502">
      <x:c r="E502" s="300"/>
      <x:c r="M502" s="300"/>
    </x:row>
    <x:row r="503">
      <x:c r="E503" s="300"/>
      <x:c r="M503" s="300"/>
    </x:row>
    <x:row r="504">
      <x:c r="E504" s="300"/>
      <x:c r="M504" s="300"/>
    </x:row>
    <x:row r="505">
      <x:c r="E505" s="300"/>
      <x:c r="M505" s="300"/>
    </x:row>
    <x:row r="506">
      <x:c r="E506" s="300"/>
      <x:c r="M506" s="300"/>
    </x:row>
    <x:row r="507">
      <x:c r="E507" s="300"/>
      <x:c r="M507" s="300"/>
    </x:row>
    <x:row r="508">
      <x:c r="E508" s="300"/>
      <x:c r="M508" s="300"/>
    </x:row>
    <x:row r="509">
      <x:c r="E509" s="300"/>
      <x:c r="M509" s="300"/>
    </x:row>
    <x:row r="510">
      <x:c r="E510" s="300"/>
      <x:c r="M510" s="300"/>
    </x:row>
    <x:row r="511">
      <x:c r="E511" s="300"/>
      <x:c r="M511" s="300"/>
    </x:row>
    <x:row r="512">
      <x:c r="E512" s="300"/>
      <x:c r="M512" s="300"/>
    </x:row>
    <x:row r="513">
      <x:c r="E513" s="300"/>
      <x:c r="M513" s="300"/>
    </x:row>
    <x:row r="514">
      <x:c r="E514" s="300"/>
      <x:c r="M514" s="300"/>
    </x:row>
    <x:row r="515">
      <x:c r="E515" s="300"/>
      <x:c r="M515" s="300"/>
    </x:row>
    <x:row r="516">
      <x:c r="E516" s="300"/>
      <x:c r="M516" s="300"/>
    </x:row>
    <x:row r="517">
      <x:c r="E517" s="300"/>
      <x:c r="M517" s="300"/>
    </x:row>
    <x:row r="518">
      <x:c r="E518" s="300"/>
      <x:c r="M518" s="300"/>
    </x:row>
    <x:row r="519">
      <x:c r="E519" s="300"/>
      <x:c r="M519" s="300"/>
    </x:row>
    <x:row r="520">
      <x:c r="E520" s="300"/>
      <x:c r="M520" s="300"/>
    </x:row>
    <x:row r="521">
      <x:c r="E521" s="300"/>
      <x:c r="M521" s="300"/>
    </x:row>
    <x:row r="522">
      <x:c r="E522" s="300"/>
      <x:c r="M522" s="300"/>
    </x:row>
    <x:row r="523">
      <x:c r="E523" s="300"/>
      <x:c r="M523" s="300"/>
    </x:row>
    <x:row r="524">
      <x:c r="E524" s="300"/>
      <x:c r="M524" s="300"/>
    </x:row>
    <x:row r="525">
      <x:c r="E525" s="300"/>
      <x:c r="M525" s="300"/>
    </x:row>
    <x:row r="526">
      <x:c r="E526" s="300"/>
      <x:c r="M526" s="300"/>
    </x:row>
    <x:row r="527">
      <x:c r="E527" s="300"/>
      <x:c r="M527" s="300"/>
    </x:row>
    <x:row r="528">
      <x:c r="E528" s="300"/>
      <x:c r="M528" s="300"/>
    </x:row>
    <x:row r="529">
      <x:c r="E529" s="300"/>
      <x:c r="M529" s="300"/>
    </x:row>
    <x:row r="530">
      <x:c r="E530" s="300"/>
      <x:c r="M530" s="300"/>
    </x:row>
    <x:row r="531">
      <x:c r="E531" s="300"/>
      <x:c r="M531" s="300"/>
    </x:row>
    <x:row r="532">
      <x:c r="E532" s="300"/>
      <x:c r="M532" s="300"/>
    </x:row>
    <x:row r="533">
      <x:c r="E533" s="300"/>
      <x:c r="M533" s="300"/>
    </x:row>
    <x:row r="534">
      <x:c r="E534" s="300"/>
      <x:c r="M534" s="300"/>
    </x:row>
    <x:row r="535">
      <x:c r="E535" s="300"/>
      <x:c r="M535" s="300"/>
    </x:row>
    <x:row r="536">
      <x:c r="E536" s="300"/>
      <x:c r="M536" s="300"/>
    </x:row>
    <x:row r="537">
      <x:c r="E537" s="300"/>
      <x:c r="M537" s="300"/>
    </x:row>
    <x:row r="538">
      <x:c r="E538" s="300"/>
      <x:c r="M538" s="300"/>
    </x:row>
    <x:row r="539">
      <x:c r="E539" s="300"/>
      <x:c r="M539" s="300"/>
    </x:row>
    <x:row r="540">
      <x:c r="E540" s="300"/>
      <x:c r="M540" s="300"/>
    </x:row>
    <x:row r="541">
      <x:c r="E541" s="300"/>
      <x:c r="M541" s="300"/>
    </x:row>
    <x:row r="542">
      <x:c r="E542" s="300"/>
      <x:c r="M542" s="300"/>
    </x:row>
    <x:row r="543">
      <x:c r="E543" s="300"/>
      <x:c r="M543" s="300"/>
    </x:row>
    <x:row r="544">
      <x:c r="E544" s="300"/>
      <x:c r="M544" s="300"/>
    </x:row>
    <x:row r="545">
      <x:c r="E545" s="300"/>
      <x:c r="M545" s="300"/>
    </x:row>
    <x:row r="546">
      <x:c r="E546" s="300"/>
      <x:c r="M546" s="300"/>
    </x:row>
    <x:row r="547">
      <x:c r="E547" s="300"/>
      <x:c r="M547" s="300"/>
    </x:row>
    <x:row r="548">
      <x:c r="E548" s="300"/>
      <x:c r="M548" s="300"/>
    </x:row>
    <x:row r="549">
      <x:c r="E549" s="300"/>
      <x:c r="M549" s="300"/>
    </x:row>
    <x:row r="550">
      <x:c r="E550" s="300"/>
      <x:c r="M550" s="300"/>
    </x:row>
    <x:row r="551">
      <x:c r="E551" s="300"/>
      <x:c r="M551" s="300"/>
    </x:row>
    <x:row r="552">
      <x:c r="E552" s="300"/>
      <x:c r="M552" s="300"/>
    </x:row>
    <x:row r="553">
      <x:c r="E553" s="300"/>
      <x:c r="M553" s="300"/>
    </x:row>
    <x:row r="554">
      <x:c r="E554" s="300"/>
      <x:c r="M554" s="300"/>
    </x:row>
    <x:row r="555">
      <x:c r="E555" s="300"/>
      <x:c r="M555" s="300"/>
    </x:row>
    <x:row r="556">
      <x:c r="E556" s="300"/>
      <x:c r="M556" s="300"/>
    </x:row>
    <x:row r="557">
      <x:c r="E557" s="300"/>
      <x:c r="M557" s="300"/>
    </x:row>
    <x:row r="558">
      <x:c r="E558" s="300"/>
      <x:c r="M558" s="300"/>
    </x:row>
    <x:row r="559">
      <x:c r="E559" s="300"/>
      <x:c r="M559" s="300"/>
    </x:row>
    <x:row r="560">
      <x:c r="E560" s="300"/>
      <x:c r="M560" s="300"/>
    </x:row>
    <x:row r="561">
      <x:c r="E561" s="300"/>
      <x:c r="M561" s="300"/>
    </x:row>
    <x:row r="562">
      <x:c r="E562" s="300"/>
      <x:c r="M562" s="300"/>
    </x:row>
    <x:row r="563">
      <x:c r="E563" s="300"/>
      <x:c r="M563" s="300"/>
    </x:row>
    <x:row r="564">
      <x:c r="E564" s="300"/>
      <x:c r="M564" s="300"/>
    </x:row>
    <x:row r="565">
      <x:c r="E565" s="300"/>
      <x:c r="M565" s="300"/>
    </x:row>
    <x:row r="566">
      <x:c r="E566" s="300"/>
      <x:c r="M566" s="300"/>
    </x:row>
    <x:row r="567">
      <x:c r="E567" s="300"/>
      <x:c r="M567" s="300"/>
    </x:row>
    <x:row r="568">
      <x:c r="E568" s="300"/>
      <x:c r="M568" s="300"/>
    </x:row>
    <x:row r="569">
      <x:c r="E569" s="300"/>
      <x:c r="M569" s="300"/>
    </x:row>
    <x:row r="570">
      <x:c r="E570" s="300"/>
      <x:c r="M570" s="300"/>
    </x:row>
    <x:row r="571">
      <x:c r="E571" s="300"/>
      <x:c r="M571" s="300"/>
    </x:row>
    <x:row r="572">
      <x:c r="E572" s="300"/>
      <x:c r="M572" s="300"/>
    </x:row>
    <x:row r="573">
      <x:c r="E573" s="300"/>
      <x:c r="M573" s="300"/>
    </x:row>
    <x:row r="574">
      <x:c r="E574" s="300"/>
      <x:c r="M574" s="300"/>
    </x:row>
    <x:row r="575">
      <x:c r="E575" s="300"/>
      <x:c r="M575" s="300"/>
    </x:row>
    <x:row r="576">
      <x:c r="E576" s="300"/>
      <x:c r="M576" s="300"/>
    </x:row>
    <x:row r="577">
      <x:c r="E577" s="300"/>
      <x:c r="M577" s="300"/>
    </x:row>
    <x:row r="578">
      <x:c r="E578" s="300"/>
      <x:c r="M578" s="300"/>
    </x:row>
    <x:row r="579">
      <x:c r="E579" s="300"/>
      <x:c r="M579" s="300"/>
    </x:row>
    <x:row r="580">
      <x:c r="E580" s="300"/>
      <x:c r="M580" s="300"/>
    </x:row>
    <x:row r="581">
      <x:c r="E581" s="300"/>
      <x:c r="M581" s="300"/>
    </x:row>
    <x:row r="582">
      <x:c r="E582" s="300"/>
      <x:c r="M582" s="300"/>
    </x:row>
    <x:row r="583">
      <x:c r="E583" s="300"/>
      <x:c r="M583" s="300"/>
    </x:row>
    <x:row r="584">
      <x:c r="E584" s="300"/>
      <x:c r="M584" s="300"/>
    </x:row>
    <x:row r="585">
      <x:c r="E585" s="300"/>
      <x:c r="M585" s="300"/>
    </x:row>
    <x:row r="586">
      <x:c r="E586" s="300"/>
      <x:c r="M586" s="300"/>
    </x:row>
    <x:row r="587">
      <x:c r="E587" s="300"/>
      <x:c r="M587" s="300"/>
    </x:row>
    <x:row r="588">
      <x:c r="E588" s="300"/>
      <x:c r="M588" s="300"/>
    </x:row>
    <x:row r="589">
      <x:c r="E589" s="300"/>
      <x:c r="M589" s="300"/>
    </x:row>
    <x:row r="590">
      <x:c r="E590" s="300"/>
      <x:c r="M590" s="300"/>
    </x:row>
    <x:row r="591">
      <x:c r="E591" s="300"/>
      <x:c r="M591" s="300"/>
    </x:row>
    <x:row r="592">
      <x:c r="E592" s="300"/>
      <x:c r="M592" s="300"/>
    </x:row>
    <x:row r="593">
      <x:c r="E593" s="300"/>
      <x:c r="M593" s="300"/>
    </x:row>
    <x:row r="594">
      <x:c r="E594" s="300"/>
      <x:c r="M594" s="300"/>
    </x:row>
    <x:row r="595">
      <x:c r="E595" s="300"/>
      <x:c r="M595" s="300"/>
    </x:row>
    <x:row r="596">
      <x:c r="E596" s="300"/>
      <x:c r="M596" s="300"/>
    </x:row>
    <x:row r="597">
      <x:c r="E597" s="300"/>
      <x:c r="M597" s="300"/>
    </x:row>
    <x:row r="598">
      <x:c r="E598" s="300"/>
      <x:c r="M598" s="300"/>
    </x:row>
    <x:row r="599">
      <x:c r="E599" s="300"/>
      <x:c r="M599" s="300"/>
    </x:row>
    <x:row r="600">
      <x:c r="E600" s="300"/>
      <x:c r="M600" s="300"/>
    </x:row>
    <x:row r="601">
      <x:c r="E601" s="300"/>
      <x:c r="M601" s="300"/>
    </x:row>
    <x:row r="602">
      <x:c r="E602" s="300"/>
      <x:c r="M602" s="300"/>
    </x:row>
    <x:row r="603">
      <x:c r="E603" s="300"/>
      <x:c r="M603" s="300"/>
    </x:row>
    <x:row r="604">
      <x:c r="E604" s="300"/>
      <x:c r="M604" s="300"/>
    </x:row>
    <x:row r="605">
      <x:c r="E605" s="300"/>
      <x:c r="M605" s="300"/>
    </x:row>
    <x:row r="606">
      <x:c r="E606" s="300"/>
      <x:c r="M606" s="300"/>
    </x:row>
    <x:row r="607">
      <x:c r="E607" s="300"/>
      <x:c r="M607" s="300"/>
    </x:row>
    <x:row r="608">
      <x:c r="E608" s="300"/>
      <x:c r="M608" s="300"/>
    </x:row>
    <x:row r="609">
      <x:c r="E609" s="300"/>
      <x:c r="M609" s="300"/>
    </x:row>
    <x:row r="610">
      <x:c r="E610" s="300"/>
      <x:c r="M610" s="300"/>
    </x:row>
    <x:row r="611">
      <x:c r="E611" s="300"/>
      <x:c r="M611" s="300"/>
    </x:row>
    <x:row r="612">
      <x:c r="E612" s="300"/>
      <x:c r="M612" s="300"/>
    </x:row>
    <x:row r="613">
      <x:c r="E613" s="300"/>
      <x:c r="M613" s="300"/>
    </x:row>
    <x:row r="614">
      <x:c r="E614" s="300"/>
      <x:c r="M614" s="300"/>
    </x:row>
    <x:row r="615">
      <x:c r="E615" s="300"/>
      <x:c r="M615" s="300"/>
    </x:row>
    <x:row r="616">
      <x:c r="E616" s="300"/>
      <x:c r="M616" s="300"/>
    </x:row>
    <x:row r="617">
      <x:c r="E617" s="300"/>
      <x:c r="M617" s="300"/>
    </x:row>
    <x:row r="618">
      <x:c r="E618" s="300"/>
      <x:c r="M618" s="300"/>
    </x:row>
    <x:row r="619">
      <x:c r="E619" s="300"/>
      <x:c r="M619" s="300"/>
    </x:row>
    <x:row r="620">
      <x:c r="E620" s="300"/>
      <x:c r="M620" s="300"/>
    </x:row>
    <x:row r="621">
      <x:c r="E621" s="300"/>
      <x:c r="M621" s="300"/>
    </x:row>
    <x:row r="622">
      <x:c r="E622" s="300"/>
      <x:c r="M622" s="300"/>
    </x:row>
    <x:row r="623">
      <x:c r="E623" s="300"/>
      <x:c r="M623" s="300"/>
    </x:row>
    <x:row r="624">
      <x:c r="E624" s="300"/>
      <x:c r="M624" s="300"/>
    </x:row>
    <x:row r="625">
      <x:c r="E625" s="300"/>
      <x:c r="M625" s="300"/>
    </x:row>
    <x:row r="626">
      <x:c r="E626" s="300"/>
      <x:c r="M626" s="300"/>
    </x:row>
    <x:row r="627">
      <x:c r="E627" s="300"/>
      <x:c r="M627" s="300"/>
    </x:row>
    <x:row r="628">
      <x:c r="E628" s="300"/>
      <x:c r="M628" s="300"/>
    </x:row>
    <x:row r="629">
      <x:c r="E629" s="300"/>
      <x:c r="M629" s="300"/>
    </x:row>
    <x:row r="630">
      <x:c r="E630" s="300"/>
      <x:c r="M630" s="300"/>
    </x:row>
    <x:row r="631">
      <x:c r="E631" s="300"/>
      <x:c r="M631" s="300"/>
    </x:row>
    <x:row r="632">
      <x:c r="E632" s="300"/>
      <x:c r="M632" s="300"/>
    </x:row>
    <x:row r="633">
      <x:c r="E633" s="300"/>
      <x:c r="M633" s="300"/>
    </x:row>
    <x:row r="634">
      <x:c r="E634" s="300"/>
      <x:c r="M634" s="300"/>
    </x:row>
    <x:row r="635">
      <x:c r="E635" s="300"/>
      <x:c r="M635" s="300"/>
    </x:row>
    <x:row r="636">
      <x:c r="E636" s="300"/>
      <x:c r="M636" s="300"/>
    </x:row>
    <x:row r="637">
      <x:c r="E637" s="300"/>
      <x:c r="M637" s="300"/>
    </x:row>
    <x:row r="638">
      <x:c r="E638" s="300"/>
      <x:c r="M638" s="300"/>
    </x:row>
    <x:row r="639">
      <x:c r="E639" s="300"/>
      <x:c r="M639" s="300"/>
    </x:row>
    <x:row r="640">
      <x:c r="E640" s="300"/>
      <x:c r="M640" s="300"/>
    </x:row>
    <x:row r="641">
      <x:c r="E641" s="300"/>
      <x:c r="M641" s="300"/>
    </x:row>
    <x:row r="642">
      <x:c r="E642" s="300"/>
      <x:c r="M642" s="300"/>
    </x:row>
    <x:row r="643">
      <x:c r="E643" s="300"/>
      <x:c r="M643" s="300"/>
    </x:row>
    <x:row r="644">
      <x:c r="E644" s="300"/>
      <x:c r="M644" s="300"/>
    </x:row>
    <x:row r="645">
      <x:c r="E645" s="300"/>
      <x:c r="M645" s="300"/>
    </x:row>
    <x:row r="646">
      <x:c r="E646" s="300"/>
      <x:c r="M646" s="300"/>
    </x:row>
    <x:row r="647">
      <x:c r="E647" s="300"/>
      <x:c r="M647" s="300"/>
    </x:row>
    <x:row r="648">
      <x:c r="E648" s="300"/>
      <x:c r="M648" s="300"/>
    </x:row>
    <x:row r="649">
      <x:c r="E649" s="300"/>
      <x:c r="M649" s="300"/>
    </x:row>
    <x:row r="650">
      <x:c r="E650" s="300"/>
      <x:c r="M650" s="300"/>
    </x:row>
    <x:row r="651">
      <x:c r="E651" s="300"/>
      <x:c r="M651" s="300"/>
    </x:row>
    <x:row r="652">
      <x:c r="E652" s="300"/>
      <x:c r="M652" s="300"/>
    </x:row>
    <x:row r="653">
      <x:c r="E653" s="300"/>
      <x:c r="M653" s="300"/>
    </x:row>
    <x:row r="654">
      <x:c r="E654" s="300"/>
      <x:c r="M654" s="300"/>
    </x:row>
    <x:row r="655">
      <x:c r="E655" s="300"/>
      <x:c r="M655" s="300"/>
    </x:row>
    <x:row r="656">
      <x:c r="E656" s="300"/>
      <x:c r="M656" s="300"/>
    </x:row>
    <x:row r="657">
      <x:c r="E657" s="300"/>
      <x:c r="M657" s="300"/>
    </x:row>
    <x:row r="658">
      <x:c r="E658" s="300"/>
      <x:c r="M658" s="300"/>
    </x:row>
    <x:row r="659">
      <x:c r="E659" s="300"/>
      <x:c r="M659" s="300"/>
    </x:row>
    <x:row r="660">
      <x:c r="E660" s="300"/>
      <x:c r="M660" s="300"/>
    </x:row>
    <x:row r="661">
      <x:c r="E661" s="300"/>
      <x:c r="M661" s="300"/>
    </x:row>
    <x:row r="662">
      <x:c r="E662" s="300"/>
      <x:c r="M662" s="300"/>
    </x:row>
    <x:row r="663">
      <x:c r="E663" s="300"/>
      <x:c r="M663" s="300"/>
    </x:row>
    <x:row r="664">
      <x:c r="E664" s="300"/>
      <x:c r="M664" s="300"/>
    </x:row>
    <x:row r="665">
      <x:c r="E665" s="300"/>
      <x:c r="M665" s="300"/>
    </x:row>
    <x:row r="666">
      <x:c r="E666" s="300"/>
      <x:c r="M666" s="300"/>
    </x:row>
    <x:row r="667">
      <x:c r="E667" s="300"/>
      <x:c r="M667" s="300"/>
    </x:row>
    <x:row r="668">
      <x:c r="E668" s="300"/>
      <x:c r="M668" s="300"/>
    </x:row>
    <x:row r="669">
      <x:c r="E669" s="300"/>
      <x:c r="M669" s="300"/>
    </x:row>
    <x:row r="670">
      <x:c r="E670" s="300"/>
      <x:c r="M670" s="300"/>
    </x:row>
    <x:row r="671">
      <x:c r="E671" s="300"/>
      <x:c r="M671" s="300"/>
    </x:row>
    <x:row r="672">
      <x:c r="E672" s="300"/>
      <x:c r="M672" s="300"/>
    </x:row>
    <x:row r="673">
      <x:c r="E673" s="300"/>
      <x:c r="M673" s="300"/>
    </x:row>
    <x:row r="674">
      <x:c r="E674" s="300"/>
      <x:c r="M674" s="300"/>
    </x:row>
    <x:row r="675">
      <x:c r="E675" s="300"/>
      <x:c r="M675" s="300"/>
    </x:row>
    <x:row r="676">
      <x:c r="E676" s="300"/>
      <x:c r="M676" s="300"/>
    </x:row>
    <x:row r="677">
      <x:c r="E677" s="300"/>
      <x:c r="M677" s="300"/>
    </x:row>
    <x:row r="678">
      <x:c r="E678" s="300"/>
      <x:c r="M678" s="300"/>
    </x:row>
    <x:row r="679">
      <x:c r="E679" s="300"/>
      <x:c r="M679" s="300"/>
    </x:row>
    <x:row r="680">
      <x:c r="E680" s="300"/>
      <x:c r="M680" s="300"/>
    </x:row>
    <x:row r="681">
      <x:c r="E681" s="300"/>
      <x:c r="M681" s="300"/>
    </x:row>
    <x:row r="682">
      <x:c r="E682" s="300"/>
      <x:c r="M682" s="300"/>
    </x:row>
    <x:row r="683">
      <x:c r="E683" s="300"/>
      <x:c r="M683" s="300"/>
    </x:row>
    <x:row r="684">
      <x:c r="E684" s="300"/>
      <x:c r="M684" s="300"/>
    </x:row>
    <x:row r="685">
      <x:c r="E685" s="300"/>
      <x:c r="M685" s="300"/>
    </x:row>
    <x:row r="686">
      <x:c r="E686" s="300"/>
      <x:c r="M686" s="300"/>
    </x:row>
    <x:row r="687">
      <x:c r="E687" s="300"/>
      <x:c r="M687" s="300"/>
    </x:row>
    <x:row r="688">
      <x:c r="E688" s="300"/>
      <x:c r="M688" s="300"/>
    </x:row>
    <x:row r="689">
      <x:c r="E689" s="300"/>
      <x:c r="M689" s="300"/>
    </x:row>
    <x:row r="690">
      <x:c r="E690" s="300"/>
      <x:c r="M690" s="300"/>
    </x:row>
    <x:row r="691">
      <x:c r="E691" s="300"/>
      <x:c r="M691" s="300"/>
    </x:row>
    <x:row r="692">
      <x:c r="E692" s="300"/>
      <x:c r="M692" s="300"/>
    </x:row>
    <x:row r="693">
      <x:c r="E693" s="300"/>
      <x:c r="M693" s="300"/>
    </x:row>
    <x:row r="694">
      <x:c r="E694" s="300"/>
      <x:c r="M694" s="300"/>
    </x:row>
    <x:row r="695">
      <x:c r="E695" s="300"/>
      <x:c r="M695" s="300"/>
    </x:row>
    <x:row r="696">
      <x:c r="E696" s="300"/>
      <x:c r="M696" s="300"/>
    </x:row>
    <x:row r="697">
      <x:c r="E697" s="300"/>
      <x:c r="M697" s="300"/>
    </x:row>
    <x:row r="698">
      <x:c r="E698" s="300"/>
      <x:c r="M698" s="300"/>
    </x:row>
    <x:row r="699">
      <x:c r="E699" s="300"/>
      <x:c r="M699" s="300"/>
    </x:row>
    <x:row r="700">
      <x:c r="E700" s="300"/>
      <x:c r="M700" s="300"/>
    </x:row>
    <x:row r="701">
      <x:c r="E701" s="300"/>
      <x:c r="M701" s="300"/>
    </x:row>
    <x:row r="702">
      <x:c r="E702" s="300"/>
      <x:c r="M702" s="300"/>
    </x:row>
    <x:row r="703">
      <x:c r="E703" s="300"/>
      <x:c r="M703" s="300"/>
    </x:row>
    <x:row r="704">
      <x:c r="E704" s="300"/>
      <x:c r="M704" s="300"/>
    </x:row>
    <x:row r="705">
      <x:c r="E705" s="300"/>
      <x:c r="M705" s="300"/>
    </x:row>
    <x:row r="706">
      <x:c r="E706" s="300"/>
      <x:c r="M706" s="300"/>
    </x:row>
    <x:row r="707">
      <x:c r="E707" s="300"/>
      <x:c r="M707" s="300"/>
    </x:row>
    <x:row r="708">
      <x:c r="E708" s="300"/>
      <x:c r="M708" s="300"/>
    </x:row>
    <x:row r="709">
      <x:c r="E709" s="300"/>
      <x:c r="M709" s="300"/>
    </x:row>
    <x:row r="710">
      <x:c r="E710" s="300"/>
      <x:c r="M710" s="300"/>
    </x:row>
    <x:row r="711">
      <x:c r="E711" s="300"/>
      <x:c r="M711" s="300"/>
    </x:row>
    <x:row r="712">
      <x:c r="E712" s="300"/>
      <x:c r="M712" s="300"/>
    </x:row>
    <x:row r="713">
      <x:c r="E713" s="300"/>
      <x:c r="M713" s="300"/>
    </x:row>
    <x:row r="714">
      <x:c r="E714" s="300"/>
      <x:c r="M714" s="300"/>
    </x:row>
    <x:row r="715">
      <x:c r="E715" s="300"/>
      <x:c r="M715" s="300"/>
    </x:row>
    <x:row r="716">
      <x:c r="E716" s="300"/>
      <x:c r="M716" s="300"/>
    </x:row>
    <x:row r="717">
      <x:c r="E717" s="300"/>
      <x:c r="M717" s="300"/>
    </x:row>
    <x:row r="718">
      <x:c r="E718" s="300"/>
      <x:c r="M718" s="300"/>
    </x:row>
    <x:row r="719">
      <x:c r="E719" s="300"/>
      <x:c r="M719" s="300"/>
    </x:row>
    <x:row r="720">
      <x:c r="E720" s="300"/>
      <x:c r="M720" s="300"/>
    </x:row>
    <x:row r="721">
      <x:c r="E721" s="300"/>
      <x:c r="M721" s="300"/>
    </x:row>
    <x:row r="722">
      <x:c r="E722" s="300"/>
      <x:c r="M722" s="300"/>
    </x:row>
    <x:row r="723">
      <x:c r="E723" s="300"/>
      <x:c r="M723" s="300"/>
    </x:row>
    <x:row r="724">
      <x:c r="E724" s="300"/>
      <x:c r="M724" s="300"/>
    </x:row>
    <x:row r="725">
      <x:c r="E725" s="300"/>
      <x:c r="M725" s="300"/>
    </x:row>
    <x:row r="726">
      <x:c r="E726" s="300"/>
      <x:c r="M726" s="300"/>
    </x:row>
    <x:row r="727">
      <x:c r="E727" s="300"/>
      <x:c r="M727" s="300"/>
    </x:row>
    <x:row r="728">
      <x:c r="E728" s="300"/>
      <x:c r="M728" s="300"/>
    </x:row>
    <x:row r="729">
      <x:c r="E729" s="300"/>
      <x:c r="M729" s="300"/>
    </x:row>
    <x:row r="730">
      <x:c r="E730" s="300"/>
      <x:c r="M730" s="300"/>
    </x:row>
    <x:row r="731">
      <x:c r="E731" s="300"/>
      <x:c r="M731" s="300"/>
    </x:row>
    <x:row r="732">
      <x:c r="E732" s="300"/>
      <x:c r="M732" s="300"/>
    </x:row>
    <x:row r="733">
      <x:c r="E733" s="300"/>
      <x:c r="M733" s="300"/>
    </x:row>
    <x:row r="734">
      <x:c r="E734" s="300"/>
      <x:c r="M734" s="300"/>
    </x:row>
    <x:row r="735">
      <x:c r="E735" s="300"/>
      <x:c r="M735" s="300"/>
    </x:row>
    <x:row r="736">
      <x:c r="E736" s="300"/>
      <x:c r="M736" s="300"/>
    </x:row>
    <x:row r="737">
      <x:c r="E737" s="300"/>
      <x:c r="M737" s="300"/>
    </x:row>
    <x:row r="738">
      <x:c r="E738" s="300"/>
      <x:c r="M738" s="300"/>
    </x:row>
    <x:row r="739">
      <x:c r="E739" s="300"/>
      <x:c r="M739" s="300"/>
    </x:row>
    <x:row r="740">
      <x:c r="E740" s="300"/>
      <x:c r="M740" s="300"/>
    </x:row>
    <x:row r="741">
      <x:c r="E741" s="300"/>
      <x:c r="M741" s="300"/>
    </x:row>
    <x:row r="742">
      <x:c r="E742" s="300"/>
      <x:c r="M742" s="300"/>
    </x:row>
    <x:row r="743">
      <x:c r="E743" s="300"/>
      <x:c r="M743" s="300"/>
    </x:row>
    <x:row r="744">
      <x:c r="E744" s="300"/>
      <x:c r="M744" s="300"/>
    </x:row>
    <x:row r="745">
      <x:c r="E745" s="300"/>
      <x:c r="M745" s="300"/>
    </x:row>
    <x:row r="746">
      <x:c r="E746" s="300"/>
      <x:c r="M746" s="300"/>
    </x:row>
    <x:row r="747">
      <x:c r="E747" s="300"/>
      <x:c r="M747" s="300"/>
    </x:row>
    <x:row r="748">
      <x:c r="E748" s="300"/>
      <x:c r="M748" s="300"/>
    </x:row>
    <x:row r="749">
      <x:c r="E749" s="300"/>
      <x:c r="M749" s="300"/>
    </x:row>
    <x:row r="750">
      <x:c r="E750" s="300"/>
      <x:c r="M750" s="300"/>
    </x:row>
    <x:row r="751">
      <x:c r="E751" s="300"/>
      <x:c r="M751" s="300"/>
    </x:row>
    <x:row r="752">
      <x:c r="E752" s="300"/>
      <x:c r="M752" s="300"/>
    </x:row>
    <x:row r="753">
      <x:c r="E753" s="300"/>
      <x:c r="M753" s="300"/>
    </x:row>
    <x:row r="754">
      <x:c r="E754" s="300"/>
      <x:c r="M754" s="300"/>
    </x:row>
    <x:row r="755">
      <x:c r="E755" s="300"/>
      <x:c r="M755" s="300"/>
    </x:row>
    <x:row r="756">
      <x:c r="E756" s="300"/>
      <x:c r="M756" s="300"/>
    </x:row>
    <x:row r="757">
      <x:c r="E757" s="300"/>
      <x:c r="M757" s="300"/>
    </x:row>
    <x:row r="758">
      <x:c r="E758" s="300"/>
      <x:c r="M758" s="300"/>
    </x:row>
    <x:row r="759">
      <x:c r="E759" s="300"/>
      <x:c r="M759" s="300"/>
    </x:row>
    <x:row r="760">
      <x:c r="E760" s="300"/>
      <x:c r="M760" s="300"/>
    </x:row>
    <x:row r="761">
      <x:c r="E761" s="300"/>
      <x:c r="M761" s="300"/>
    </x:row>
    <x:row r="762">
      <x:c r="E762" s="300"/>
      <x:c r="M762" s="300"/>
    </x:row>
    <x:row r="763">
      <x:c r="E763" s="300"/>
      <x:c r="M763" s="300"/>
    </x:row>
    <x:row r="764">
      <x:c r="E764" s="300"/>
      <x:c r="M764" s="300"/>
    </x:row>
    <x:row r="765">
      <x:c r="E765" s="300"/>
      <x:c r="M765" s="300"/>
    </x:row>
    <x:row r="766">
      <x:c r="E766" s="300"/>
      <x:c r="M766" s="300"/>
    </x:row>
    <x:row r="767">
      <x:c r="E767" s="300"/>
      <x:c r="M767" s="300"/>
    </x:row>
    <x:row r="768">
      <x:c r="E768" s="300"/>
      <x:c r="M768" s="300"/>
    </x:row>
    <x:row r="769">
      <x:c r="E769" s="300"/>
      <x:c r="M769" s="300"/>
    </x:row>
    <x:row r="770">
      <x:c r="E770" s="300"/>
      <x:c r="M770" s="300"/>
    </x:row>
    <x:row r="771">
      <x:c r="E771" s="300"/>
      <x:c r="M771" s="300"/>
    </x:row>
    <x:row r="772">
      <x:c r="E772" s="300"/>
      <x:c r="M772" s="300"/>
    </x:row>
    <x:row r="773">
      <x:c r="E773" s="300"/>
      <x:c r="M773" s="300"/>
    </x:row>
    <x:row r="774">
      <x:c r="E774" s="300"/>
      <x:c r="M774" s="300"/>
    </x:row>
    <x:row r="775">
      <x:c r="E775" s="300"/>
      <x:c r="M775" s="300"/>
    </x:row>
    <x:row r="776">
      <x:c r="E776" s="300"/>
      <x:c r="M776" s="300"/>
    </x:row>
    <x:row r="777">
      <x:c r="E777" s="300"/>
      <x:c r="M777" s="300"/>
    </x:row>
    <x:row r="778">
      <x:c r="E778" s="300"/>
      <x:c r="M778" s="300"/>
    </x:row>
    <x:row r="779">
      <x:c r="E779" s="300"/>
      <x:c r="M779" s="300"/>
    </x:row>
    <x:row r="780">
      <x:c r="E780" s="300"/>
      <x:c r="M780" s="300"/>
    </x:row>
    <x:row r="781">
      <x:c r="E781" s="300"/>
      <x:c r="M781" s="300"/>
    </x:row>
    <x:row r="782">
      <x:c r="E782" s="300"/>
      <x:c r="M782" s="300"/>
    </x:row>
    <x:row r="783">
      <x:c r="E783" s="300"/>
      <x:c r="M783" s="300"/>
    </x:row>
    <x:row r="784">
      <x:c r="E784" s="300"/>
      <x:c r="M784" s="300"/>
    </x:row>
    <x:row r="785">
      <x:c r="E785" s="300"/>
      <x:c r="M785" s="300"/>
    </x:row>
    <x:row r="786">
      <x:c r="E786" s="300"/>
      <x:c r="M786" s="300"/>
    </x:row>
    <x:row r="787">
      <x:c r="E787" s="300"/>
      <x:c r="M787" s="300"/>
    </x:row>
    <x:row r="788">
      <x:c r="E788" s="300"/>
      <x:c r="M788" s="300"/>
    </x:row>
    <x:row r="789">
      <x:c r="E789" s="300"/>
      <x:c r="M789" s="300"/>
    </x:row>
    <x:row r="790">
      <x:c r="E790" s="300"/>
      <x:c r="M790" s="300"/>
    </x:row>
    <x:row r="791">
      <x:c r="E791" s="300"/>
      <x:c r="M791" s="300"/>
    </x:row>
    <x:row r="792">
      <x:c r="E792" s="300"/>
      <x:c r="M792" s="300"/>
    </x:row>
    <x:row r="793">
      <x:c r="E793" s="300"/>
      <x:c r="M793" s="300"/>
    </x:row>
    <x:row r="794">
      <x:c r="E794" s="300"/>
      <x:c r="M794" s="300"/>
    </x:row>
    <x:row r="795">
      <x:c r="E795" s="300"/>
      <x:c r="M795" s="300"/>
    </x:row>
    <x:row r="796">
      <x:c r="E796" s="300"/>
      <x:c r="M796" s="300"/>
    </x:row>
    <x:row r="797">
      <x:c r="E797" s="300"/>
      <x:c r="M797" s="300"/>
    </x:row>
    <x:row r="798">
      <x:c r="E798" s="300"/>
      <x:c r="M798" s="300"/>
    </x:row>
    <x:row r="799">
      <x:c r="E799" s="300"/>
      <x:c r="M799" s="300"/>
    </x:row>
    <x:row r="800">
      <x:c r="E800" s="300"/>
      <x:c r="M800" s="300"/>
    </x:row>
    <x:row r="801">
      <x:c r="E801" s="300"/>
      <x:c r="M801" s="300"/>
    </x:row>
    <x:row r="802">
      <x:c r="E802" s="300"/>
      <x:c r="M802" s="300"/>
    </x:row>
    <x:row r="803">
      <x:c r="E803" s="300"/>
      <x:c r="M803" s="300"/>
    </x:row>
    <x:row r="804">
      <x:c r="E804" s="300"/>
      <x:c r="M804" s="300"/>
    </x:row>
    <x:row r="805">
      <x:c r="E805" s="300"/>
      <x:c r="M805" s="300"/>
    </x:row>
    <x:row r="806">
      <x:c r="E806" s="300"/>
      <x:c r="M806" s="300"/>
    </x:row>
    <x:row r="807">
      <x:c r="E807" s="300"/>
      <x:c r="M807" s="300"/>
    </x:row>
    <x:row r="808">
      <x:c r="E808" s="300"/>
      <x:c r="M808" s="300"/>
    </x:row>
    <x:row r="809">
      <x:c r="E809" s="300"/>
      <x:c r="M809" s="300"/>
    </x:row>
    <x:row r="810">
      <x:c r="E810" s="300"/>
      <x:c r="M810" s="300"/>
    </x:row>
    <x:row r="811">
      <x:c r="E811" s="300"/>
      <x:c r="M811" s="300"/>
    </x:row>
    <x:row r="812">
      <x:c r="E812" s="300"/>
      <x:c r="M812" s="300"/>
    </x:row>
    <x:row r="813">
      <x:c r="E813" s="300"/>
      <x:c r="M813" s="300"/>
    </x:row>
    <x:row r="814">
      <x:c r="E814" s="300"/>
      <x:c r="M814" s="300"/>
    </x:row>
    <x:row r="815">
      <x:c r="E815" s="300"/>
      <x:c r="M815" s="300"/>
    </x:row>
    <x:row r="816">
      <x:c r="E816" s="300"/>
      <x:c r="M816" s="300"/>
    </x:row>
    <x:row r="817">
      <x:c r="E817" s="300"/>
      <x:c r="M817" s="300"/>
    </x:row>
    <x:row r="818">
      <x:c r="E818" s="300"/>
      <x:c r="M818" s="300"/>
    </x:row>
    <x:row r="819">
      <x:c r="E819" s="300"/>
      <x:c r="M819" s="300"/>
    </x:row>
    <x:row r="820">
      <x:c r="E820" s="300"/>
      <x:c r="M820" s="300"/>
    </x:row>
    <x:row r="821">
      <x:c r="E821" s="300"/>
      <x:c r="M821" s="300"/>
    </x:row>
    <x:row r="822">
      <x:c r="E822" s="300"/>
      <x:c r="M822" s="300"/>
    </x:row>
    <x:row r="823">
      <x:c r="E823" s="300"/>
      <x:c r="M823" s="300"/>
    </x:row>
    <x:row r="824">
      <x:c r="E824" s="300"/>
      <x:c r="M824" s="300"/>
    </x:row>
    <x:row r="825">
      <x:c r="E825" s="300"/>
      <x:c r="M825" s="300"/>
    </x:row>
    <x:row r="826">
      <x:c r="E826" s="300"/>
      <x:c r="M826" s="300"/>
    </x:row>
    <x:row r="827">
      <x:c r="E827" s="300"/>
      <x:c r="M827" s="300"/>
    </x:row>
    <x:row r="828">
      <x:c r="E828" s="300"/>
      <x:c r="M828" s="300"/>
    </x:row>
    <x:row r="829">
      <x:c r="E829" s="300"/>
      <x:c r="M829" s="300"/>
    </x:row>
    <x:row r="830">
      <x:c r="E830" s="300"/>
      <x:c r="M830" s="300"/>
    </x:row>
    <x:row r="831">
      <x:c r="E831" s="300"/>
      <x:c r="M831" s="300"/>
    </x:row>
    <x:row r="832">
      <x:c r="E832" s="300"/>
      <x:c r="M832" s="300"/>
    </x:row>
    <x:row r="833">
      <x:c r="E833" s="300"/>
      <x:c r="M833" s="300"/>
    </x:row>
    <x:row r="834">
      <x:c r="E834" s="300"/>
      <x:c r="M834" s="300"/>
    </x:row>
    <x:row r="835">
      <x:c r="E835" s="300"/>
      <x:c r="M835" s="300"/>
    </x:row>
    <x:row r="836">
      <x:c r="E836" s="300"/>
      <x:c r="M836" s="300"/>
    </x:row>
    <x:row r="837">
      <x:c r="E837" s="300"/>
      <x:c r="M837" s="300"/>
    </x:row>
    <x:row r="838">
      <x:c r="E838" s="300"/>
      <x:c r="M838" s="300"/>
    </x:row>
    <x:row r="839">
      <x:c r="E839" s="300"/>
      <x:c r="M839" s="300"/>
    </x:row>
    <x:row r="840">
      <x:c r="E840" s="300"/>
      <x:c r="M840" s="300"/>
    </x:row>
    <x:row r="841">
      <x:c r="E841" s="300"/>
      <x:c r="M841" s="300"/>
    </x:row>
    <x:row r="842">
      <x:c r="E842" s="300"/>
      <x:c r="M842" s="300"/>
    </x:row>
    <x:row r="843">
      <x:c r="E843" s="300"/>
      <x:c r="M843" s="300"/>
    </x:row>
    <x:row r="844">
      <x:c r="E844" s="300"/>
      <x:c r="M844" s="300"/>
    </x:row>
    <x:row r="845">
      <x:c r="E845" s="300"/>
      <x:c r="M845" s="300"/>
    </x:row>
    <x:row r="846">
      <x:c r="E846" s="300"/>
      <x:c r="M846" s="300"/>
    </x:row>
    <x:row r="847">
      <x:c r="E847" s="300"/>
      <x:c r="M847" s="300"/>
    </x:row>
    <x:row r="848">
      <x:c r="E848" s="300"/>
      <x:c r="M848" s="300"/>
    </x:row>
    <x:row r="849">
      <x:c r="E849" s="300"/>
      <x:c r="M849" s="300"/>
    </x:row>
    <x:row r="850">
      <x:c r="E850" s="300"/>
      <x:c r="M850" s="300"/>
    </x:row>
    <x:row r="851">
      <x:c r="E851" s="300"/>
      <x:c r="M851" s="300"/>
    </x:row>
    <x:row r="852">
      <x:c r="E852" s="300"/>
      <x:c r="M852" s="300"/>
    </x:row>
    <x:row r="853">
      <x:c r="E853" s="300"/>
      <x:c r="M853" s="300"/>
    </x:row>
    <x:row r="854">
      <x:c r="E854" s="300"/>
      <x:c r="M854" s="300"/>
    </x:row>
    <x:row r="855">
      <x:c r="E855" s="300"/>
      <x:c r="M855" s="300"/>
    </x:row>
    <x:row r="856">
      <x:c r="E856" s="300"/>
      <x:c r="M856" s="300"/>
    </x:row>
    <x:row r="857">
      <x:c r="E857" s="300"/>
      <x:c r="M857" s="300"/>
    </x:row>
    <x:row r="858">
      <x:c r="E858" s="300"/>
      <x:c r="M858" s="300"/>
    </x:row>
    <x:row r="859">
      <x:c r="E859" s="300"/>
      <x:c r="M859" s="300"/>
    </x:row>
    <x:row r="860">
      <x:c r="E860" s="300"/>
      <x:c r="M860" s="300"/>
    </x:row>
    <x:row r="861">
      <x:c r="E861" s="300"/>
      <x:c r="M861" s="300"/>
    </x:row>
    <x:row r="862">
      <x:c r="E862" s="300"/>
      <x:c r="M862" s="300"/>
    </x:row>
    <x:row r="863">
      <x:c r="E863" s="300"/>
      <x:c r="M863" s="300"/>
    </x:row>
    <x:row r="864">
      <x:c r="E864" s="300"/>
      <x:c r="M864" s="300"/>
    </x:row>
    <x:row r="865">
      <x:c r="E865" s="300"/>
      <x:c r="M865" s="300"/>
    </x:row>
    <x:row r="866">
      <x:c r="E866" s="300"/>
      <x:c r="M866" s="300"/>
    </x:row>
    <x:row r="867">
      <x:c r="E867" s="300"/>
      <x:c r="M867" s="300"/>
    </x:row>
    <x:row r="868">
      <x:c r="E868" s="300"/>
      <x:c r="M868" s="300"/>
    </x:row>
    <x:row r="869">
      <x:c r="E869" s="300"/>
      <x:c r="M869" s="300"/>
    </x:row>
    <x:row r="870">
      <x:c r="E870" s="300"/>
      <x:c r="M870" s="300"/>
    </x:row>
    <x:row r="871">
      <x:c r="E871" s="300"/>
      <x:c r="M871" s="300"/>
    </x:row>
    <x:row r="872">
      <x:c r="E872" s="300"/>
      <x:c r="M872" s="300"/>
    </x:row>
    <x:row r="873">
      <x:c r="E873" s="300"/>
      <x:c r="M873" s="300"/>
    </x:row>
    <x:row r="874">
      <x:c r="E874" s="300"/>
      <x:c r="M874" s="300"/>
    </x:row>
    <x:row r="875">
      <x:c r="E875" s="300"/>
      <x:c r="M875" s="300"/>
    </x:row>
    <x:row r="876">
      <x:c r="E876" s="300"/>
      <x:c r="M876" s="300"/>
    </x:row>
    <x:row r="877">
      <x:c r="E877" s="300"/>
      <x:c r="M877" s="300"/>
    </x:row>
    <x:row r="878">
      <x:c r="E878" s="300"/>
      <x:c r="M878" s="300"/>
    </x:row>
    <x:row r="879">
      <x:c r="E879" s="300"/>
      <x:c r="M879" s="300"/>
    </x:row>
    <x:row r="880">
      <x:c r="E880" s="300"/>
      <x:c r="M880" s="300"/>
    </x:row>
    <x:row r="881">
      <x:c r="E881" s="300"/>
      <x:c r="M881" s="300"/>
    </x:row>
    <x:row r="882">
      <x:c r="E882" s="300"/>
      <x:c r="M882" s="300"/>
    </x:row>
    <x:row r="883">
      <x:c r="E883" s="300"/>
      <x:c r="M883" s="300"/>
    </x:row>
    <x:row r="884">
      <x:c r="E884" s="300"/>
      <x:c r="M884" s="300"/>
    </x:row>
    <x:row r="885">
      <x:c r="E885" s="300"/>
      <x:c r="M885" s="300"/>
    </x:row>
    <x:row r="886">
      <x:c r="E886" s="300"/>
      <x:c r="M886" s="300"/>
    </x:row>
    <x:row r="887">
      <x:c r="E887" s="300"/>
      <x:c r="M887" s="300"/>
    </x:row>
    <x:row r="888">
      <x:c r="E888" s="300"/>
      <x:c r="M888" s="300"/>
    </x:row>
    <x:row r="889">
      <x:c r="E889" s="300"/>
      <x:c r="M889" s="300"/>
    </x:row>
    <x:row r="890">
      <x:c r="E890" s="300"/>
      <x:c r="M890" s="300"/>
    </x:row>
    <x:row r="891">
      <x:c r="E891" s="300"/>
      <x:c r="M891" s="300"/>
    </x:row>
    <x:row r="892">
      <x:c r="E892" s="300"/>
      <x:c r="M892" s="300"/>
    </x:row>
    <x:row r="893">
      <x:c r="E893" s="300"/>
      <x:c r="M893" s="300"/>
    </x:row>
    <x:row r="894">
      <x:c r="E894" s="300"/>
      <x:c r="M894" s="300"/>
    </x:row>
    <x:row r="895">
      <x:c r="E895" s="300"/>
      <x:c r="M895" s="300"/>
    </x:row>
    <x:row r="896">
      <x:c r="E896" s="300"/>
      <x:c r="M896" s="300"/>
    </x:row>
    <x:row r="897">
      <x:c r="E897" s="300"/>
      <x:c r="M897" s="300"/>
    </x:row>
    <x:row r="898">
      <x:c r="E898" s="300"/>
      <x:c r="M898" s="300"/>
    </x:row>
    <x:row r="899">
      <x:c r="E899" s="300"/>
      <x:c r="M899" s="300"/>
    </x:row>
    <x:row r="900">
      <x:c r="E900" s="300"/>
      <x:c r="M900" s="300"/>
    </x:row>
    <x:row r="901">
      <x:c r="E901" s="300"/>
      <x:c r="M901" s="300"/>
    </x:row>
    <x:row r="902">
      <x:c r="E902" s="300"/>
      <x:c r="M902" s="300"/>
    </x:row>
    <x:row r="903">
      <x:c r="E903" s="300"/>
      <x:c r="M903" s="300"/>
    </x:row>
    <x:row r="904">
      <x:c r="E904" s="300"/>
      <x:c r="M904" s="300"/>
    </x:row>
    <x:row r="905">
      <x:c r="E905" s="300"/>
      <x:c r="M905" s="300"/>
    </x:row>
    <x:row r="906">
      <x:c r="E906" s="300"/>
      <x:c r="M906" s="300"/>
    </x:row>
    <x:row r="907">
      <x:c r="E907" s="300"/>
      <x:c r="M907" s="300"/>
    </x:row>
    <x:row r="908">
      <x:c r="E908" s="300"/>
      <x:c r="M908" s="300"/>
    </x:row>
    <x:row r="909">
      <x:c r="E909" s="300"/>
      <x:c r="M909" s="300"/>
    </x:row>
    <x:row r="910">
      <x:c r="E910" s="300"/>
      <x:c r="M910" s="300"/>
    </x:row>
    <x:row r="911">
      <x:c r="E911" s="300"/>
      <x:c r="M911" s="300"/>
    </x:row>
    <x:row r="912">
      <x:c r="E912" s="300"/>
      <x:c r="M912" s="300"/>
    </x:row>
    <x:row r="913">
      <x:c r="E913" s="300"/>
      <x:c r="M913" s="300"/>
    </x:row>
    <x:row r="914">
      <x:c r="E914" s="300"/>
      <x:c r="M914" s="300"/>
    </x:row>
    <x:row r="915">
      <x:c r="E915" s="300"/>
      <x:c r="M915" s="300"/>
    </x:row>
    <x:row r="916">
      <x:c r="E916" s="300"/>
      <x:c r="M916" s="300"/>
    </x:row>
    <x:row r="917">
      <x:c r="E917" s="300"/>
      <x:c r="M917" s="300"/>
    </x:row>
    <x:row r="918">
      <x:c r="E918" s="300"/>
      <x:c r="M918" s="300"/>
    </x:row>
    <x:row r="919">
      <x:c r="E919" s="300"/>
      <x:c r="M919" s="300"/>
    </x:row>
    <x:row r="920">
      <x:c r="E920" s="300"/>
      <x:c r="M920" s="300"/>
    </x:row>
    <x:row r="921">
      <x:c r="E921" s="300"/>
      <x:c r="M921" s="300"/>
    </x:row>
    <x:row r="922">
      <x:c r="E922" s="300"/>
      <x:c r="M922" s="300"/>
    </x:row>
    <x:row r="923">
      <x:c r="E923" s="300"/>
      <x:c r="M923" s="300"/>
    </x:row>
    <x:row r="924">
      <x:c r="E924" s="300"/>
      <x:c r="M924" s="300"/>
    </x:row>
    <x:row r="925">
      <x:c r="E925" s="300"/>
      <x:c r="M925" s="300"/>
    </x:row>
    <x:row r="926">
      <x:c r="E926" s="300"/>
      <x:c r="M926" s="300"/>
    </x:row>
    <x:row r="927">
      <x:c r="E927" s="300"/>
      <x:c r="M927" s="300"/>
    </x:row>
    <x:row r="928">
      <x:c r="E928" s="300"/>
      <x:c r="M928" s="300"/>
    </x:row>
    <x:row r="929">
      <x:c r="E929" s="300"/>
      <x:c r="M929" s="300"/>
    </x:row>
    <x:row r="930">
      <x:c r="E930" s="300"/>
      <x:c r="M930" s="300"/>
    </x:row>
    <x:row r="931">
      <x:c r="E931" s="300"/>
      <x:c r="M931" s="300"/>
    </x:row>
    <x:row r="932">
      <x:c r="E932" s="300"/>
      <x:c r="M932" s="300"/>
    </x:row>
    <x:row r="933">
      <x:c r="E933" s="300"/>
      <x:c r="M933" s="300"/>
    </x:row>
    <x:row r="934">
      <x:c r="E934" s="300"/>
      <x:c r="M934" s="300"/>
    </x:row>
    <x:row r="935">
      <x:c r="E935" s="300"/>
      <x:c r="M935" s="300"/>
    </x:row>
    <x:row r="936">
      <x:c r="E936" s="300"/>
      <x:c r="M936" s="300"/>
    </x:row>
    <x:row r="937">
      <x:c r="E937" s="300"/>
      <x:c r="M937" s="300"/>
    </x:row>
    <x:row r="938">
      <x:c r="E938" s="300"/>
      <x:c r="M938" s="300"/>
    </x:row>
    <x:row r="939">
      <x:c r="E939" s="300"/>
      <x:c r="M939" s="300"/>
    </x:row>
    <x:row r="940">
      <x:c r="E940" s="300"/>
      <x:c r="M940" s="300"/>
    </x:row>
    <x:row r="941">
      <x:c r="E941" s="300"/>
      <x:c r="M941" s="300"/>
    </x:row>
    <x:row r="942">
      <x:c r="E942" s="300"/>
      <x:c r="M942" s="300"/>
    </x:row>
    <x:row r="943">
      <x:c r="E943" s="300"/>
      <x:c r="M943" s="300"/>
    </x:row>
    <x:row r="944">
      <x:c r="E944" s="300"/>
      <x:c r="M944" s="300"/>
    </x:row>
    <x:row r="945">
      <x:c r="E945" s="300"/>
      <x:c r="M945" s="300"/>
    </x:row>
    <x:row r="946">
      <x:c r="E946" s="300"/>
      <x:c r="M946" s="300"/>
    </x:row>
    <x:row r="947">
      <x:c r="E947" s="300"/>
      <x:c r="M947" s="300"/>
    </x:row>
    <x:row r="948">
      <x:c r="E948" s="300"/>
      <x:c r="M948" s="300"/>
    </x:row>
    <x:row r="949">
      <x:c r="E949" s="300"/>
      <x:c r="M949" s="300"/>
    </x:row>
    <x:row r="950">
      <x:c r="E950" s="300"/>
      <x:c r="M950" s="300"/>
    </x:row>
    <x:row r="951">
      <x:c r="E951" s="300"/>
      <x:c r="M951" s="300"/>
    </x:row>
    <x:row r="952">
      <x:c r="E952" s="300"/>
      <x:c r="M952" s="300"/>
    </x:row>
    <x:row r="953">
      <x:c r="E953" s="300"/>
      <x:c r="M953" s="300"/>
    </x:row>
    <x:row r="954">
      <x:c r="E954" s="300"/>
      <x:c r="M954" s="300"/>
    </x:row>
    <x:row r="955">
      <x:c r="E955" s="300"/>
      <x:c r="M955" s="300"/>
    </x:row>
    <x:row r="956">
      <x:c r="E956" s="300"/>
      <x:c r="M956" s="300"/>
    </x:row>
    <x:row r="957">
      <x:c r="E957" s="300"/>
      <x:c r="M957" s="300"/>
    </x:row>
    <x:row r="958">
      <x:c r="E958" s="300"/>
      <x:c r="M958" s="300"/>
    </x:row>
    <x:row r="959">
      <x:c r="E959" s="300"/>
      <x:c r="M959" s="300"/>
    </x:row>
    <x:row r="960">
      <x:c r="E960" s="300"/>
      <x:c r="M960" s="300"/>
    </x:row>
    <x:row r="961">
      <x:c r="E961" s="300"/>
      <x:c r="M961" s="300"/>
    </x:row>
    <x:row r="962">
      <x:c r="E962" s="300"/>
      <x:c r="M962" s="300"/>
    </x:row>
    <x:row r="963">
      <x:c r="E963" s="300"/>
      <x:c r="M963" s="300"/>
    </x:row>
    <x:row r="964">
      <x:c r="E964" s="300"/>
      <x:c r="M964" s="300"/>
    </x:row>
    <x:row r="965">
      <x:c r="E965" s="300"/>
      <x:c r="M965" s="300"/>
    </x:row>
    <x:row r="966">
      <x:c r="E966" s="300"/>
      <x:c r="M966" s="300"/>
    </x:row>
    <x:row r="967">
      <x:c r="E967" s="300"/>
      <x:c r="M967" s="300"/>
    </x:row>
    <x:row r="968">
      <x:c r="E968" s="300"/>
      <x:c r="M968" s="300"/>
    </x:row>
    <x:row r="969">
      <x:c r="E969" s="300"/>
      <x:c r="M969" s="300"/>
    </x:row>
    <x:row r="970">
      <x:c r="E970" s="300"/>
      <x:c r="M970" s="300"/>
    </x:row>
    <x:row r="971">
      <x:c r="E971" s="300"/>
      <x:c r="M971" s="300"/>
    </x:row>
    <x:row r="972">
      <x:c r="E972" s="300"/>
      <x:c r="M972" s="300"/>
    </x:row>
    <x:row r="973">
      <x:c r="E973" s="300"/>
      <x:c r="M973" s="300"/>
    </x:row>
    <x:row r="974">
      <x:c r="E974" s="300"/>
      <x:c r="M974" s="300"/>
    </x:row>
    <x:row r="975">
      <x:c r="E975" s="300"/>
      <x:c r="M975" s="300"/>
    </x:row>
    <x:row r="976">
      <x:c r="E976" s="300"/>
      <x:c r="M976" s="300"/>
    </x:row>
    <x:row r="977">
      <x:c r="E977" s="300"/>
      <x:c r="M977" s="300"/>
    </x:row>
    <x:row r="978">
      <x:c r="E978" s="300"/>
      <x:c r="M978" s="300"/>
    </x:row>
    <x:row r="979">
      <x:c r="E979" s="300"/>
      <x:c r="M979" s="300"/>
    </x:row>
    <x:row r="980">
      <x:c r="E980" s="300"/>
      <x:c r="M980" s="300"/>
    </x:row>
    <x:row r="981">
      <x:c r="E981" s="300"/>
      <x:c r="M981" s="300"/>
    </x:row>
    <x:row r="982">
      <x:c r="E982" s="300"/>
      <x:c r="M982" s="300"/>
    </x:row>
    <x:row r="983">
      <x:c r="E983" s="300"/>
      <x:c r="M983" s="300"/>
    </x:row>
    <x:row r="984">
      <x:c r="E984" s="300"/>
      <x:c r="M984" s="300"/>
    </x:row>
    <x:row r="985">
      <x:c r="E985" s="300"/>
      <x:c r="M985" s="300"/>
    </x:row>
    <x:row r="986">
      <x:c r="E986" s="300"/>
      <x:c r="M986" s="300"/>
    </x:row>
    <x:row r="987">
      <x:c r="E987" s="300"/>
      <x:c r="M987" s="300"/>
    </x:row>
    <x:row r="988">
      <x:c r="E988" s="300"/>
      <x:c r="M988" s="300"/>
    </x:row>
    <x:row r="989">
      <x:c r="E989" s="300"/>
      <x:c r="M989" s="300"/>
    </x:row>
    <x:row r="990">
      <x:c r="E990" s="300"/>
      <x:c r="M990" s="300"/>
    </x:row>
    <x:row r="991">
      <x:c r="E991" s="300"/>
      <x:c r="M991" s="300"/>
    </x:row>
    <x:row r="992">
      <x:c r="E992" s="300"/>
      <x:c r="M992" s="300"/>
    </x:row>
    <x:row r="993">
      <x:c r="E993" s="300"/>
      <x:c r="M993" s="300"/>
    </x:row>
    <x:row r="994">
      <x:c r="E994" s="300"/>
      <x:c r="M994" s="300"/>
    </x:row>
    <x:row r="995">
      <x:c r="E995" s="300"/>
      <x:c r="M995" s="300"/>
    </x:row>
    <x:row r="996">
      <x:c r="E996" s="300"/>
      <x:c r="M996" s="300"/>
    </x:row>
    <x:row r="997">
      <x:c r="E997" s="300"/>
      <x:c r="M997" s="300"/>
    </x:row>
    <x:row r="998">
      <x:c r="E998" s="300"/>
      <x:c r="M998" s="300"/>
    </x:row>
    <x:row r="999">
      <x:c r="E999" s="300"/>
      <x:c r="M999" s="300"/>
    </x:row>
    <x:row r="1000">
      <x:c r="E1000" s="300"/>
      <x:c r="M1000" s="300"/>
    </x:row>
    <x:row r="1001">
      <x:c r="E1001" s="300"/>
      <x:c r="M1001" s="300"/>
    </x:row>
    <x:row r="1002">
      <x:c r="E1002" s="300"/>
      <x:c r="M1002" s="300"/>
    </x:row>
    <x:row r="1003">
      <x:c r="E1003" s="300"/>
      <x:c r="M1003" s="300"/>
    </x:row>
    <x:row r="1004">
      <x:c r="E1004" s="300"/>
      <x:c r="M1004" s="300"/>
    </x:row>
    <x:row r="1005">
      <x:c r="E1005" s="300"/>
      <x:c r="M1005" s="300"/>
    </x:row>
    <x:row r="1006">
      <x:c r="E1006" s="300"/>
      <x:c r="M1006" s="300"/>
    </x:row>
    <x:row r="1007">
      <x:c r="E1007" s="300"/>
      <x:c r="M1007" s="300"/>
    </x:row>
    <x:row r="1008">
      <x:c r="E1008" s="300"/>
      <x:c r="M1008" s="300"/>
    </x:row>
    <x:row r="1009">
      <x:c r="E1009" s="300"/>
      <x:c r="M1009" s="300"/>
    </x:row>
    <x:row r="1010">
      <x:c r="E1010" s="300"/>
      <x:c r="M1010" s="300"/>
    </x:row>
    <x:row r="1011">
      <x:c r="E1011" s="300"/>
      <x:c r="M1011" s="300"/>
    </x:row>
    <x:row r="1012">
      <x:c r="E1012" s="300"/>
      <x:c r="M1012" s="300"/>
    </x:row>
    <x:row r="1013">
      <x:c r="E1013" s="300"/>
      <x:c r="M1013" s="300"/>
    </x:row>
    <x:row r="1014">
      <x:c r="E1014" s="300"/>
      <x:c r="M1014" s="300"/>
    </x:row>
    <x:row r="1015">
      <x:c r="E1015" s="300"/>
      <x:c r="M1015" s="300"/>
    </x:row>
    <x:row r="1016">
      <x:c r="E1016" s="300"/>
      <x:c r="M1016" s="300"/>
    </x:row>
    <x:row r="1017">
      <x:c r="E1017" s="300"/>
      <x:c r="M1017" s="300"/>
    </x:row>
    <x:row r="1018">
      <x:c r="E1018" s="300"/>
      <x:c r="M1018" s="300"/>
    </x:row>
    <x:row r="1019">
      <x:c r="E1019" s="300"/>
      <x:c r="M1019" s="300"/>
    </x:row>
    <x:row r="1020">
      <x:c r="E1020" s="300"/>
      <x:c r="M1020" s="300"/>
    </x:row>
    <x:row r="1021">
      <x:c r="E1021" s="300"/>
      <x:c r="M1021" s="300"/>
    </x:row>
    <x:row r="1022">
      <x:c r="E1022" s="300"/>
      <x:c r="M1022" s="300"/>
    </x:row>
    <x:row r="1023">
      <x:c r="E1023" s="300"/>
      <x:c r="M1023" s="300"/>
    </x:row>
    <x:row r="1024">
      <x:c r="E1024" s="300"/>
      <x:c r="M1024" s="300"/>
    </x:row>
    <x:row r="1025">
      <x:c r="E1025" s="300"/>
      <x:c r="M1025" s="300"/>
    </x:row>
    <x:row r="1026">
      <x:c r="E1026" s="300"/>
      <x:c r="M1026" s="300"/>
    </x:row>
    <x:row r="1027">
      <x:c r="E1027" s="300"/>
      <x:c r="M1027" s="300"/>
    </x:row>
    <x:row r="1028">
      <x:c r="E1028" s="300"/>
      <x:c r="M1028" s="300"/>
    </x:row>
    <x:row r="1029">
      <x:c r="E1029" s="300"/>
      <x:c r="M1029" s="300"/>
    </x:row>
    <x:row r="1030">
      <x:c r="E1030" s="300"/>
      <x:c r="M1030" s="300"/>
    </x:row>
    <x:row r="1031">
      <x:c r="E1031" s="300"/>
      <x:c r="M1031" s="300"/>
    </x:row>
    <x:row r="1032">
      <x:c r="E1032" s="300"/>
      <x:c r="M1032" s="300"/>
    </x:row>
    <x:row r="1033">
      <x:c r="E1033" s="300"/>
      <x:c r="M1033" s="300"/>
    </x:row>
    <x:row r="1034">
      <x:c r="E1034" s="300"/>
      <x:c r="M1034" s="300"/>
    </x:row>
    <x:row r="1035">
      <x:c r="E1035" s="300"/>
      <x:c r="M1035" s="300"/>
    </x:row>
    <x:row r="1036">
      <x:c r="E1036" s="300"/>
      <x:c r="M1036" s="300"/>
    </x:row>
    <x:row r="1037">
      <x:c r="E1037" s="300"/>
      <x:c r="M1037" s="300"/>
    </x:row>
    <x:row r="1038">
      <x:c r="E1038" s="300"/>
      <x:c r="M1038" s="300"/>
    </x:row>
    <x:row r="1039">
      <x:c r="E1039" s="300"/>
      <x:c r="M1039" s="300"/>
    </x:row>
    <x:row r="1040">
      <x:c r="E1040" s="300"/>
      <x:c r="M1040" s="300"/>
    </x:row>
    <x:row r="1041">
      <x:c r="E1041" s="300"/>
      <x:c r="M1041" s="300"/>
    </x:row>
    <x:row r="1042">
      <x:c r="E1042" s="300"/>
      <x:c r="M1042" s="300"/>
    </x:row>
    <x:row r="1043">
      <x:c r="E1043" s="300"/>
      <x:c r="M1043" s="300"/>
    </x:row>
    <x:row r="1044">
      <x:c r="E1044" s="300"/>
      <x:c r="M1044" s="300"/>
    </x:row>
    <x:row r="1045">
      <x:c r="E1045" s="300"/>
      <x:c r="M1045" s="300"/>
    </x:row>
    <x:row r="1046">
      <x:c r="E1046" s="300"/>
      <x:c r="M1046" s="300"/>
    </x:row>
    <x:row r="1047">
      <x:c r="E1047" s="300"/>
      <x:c r="M1047" s="300"/>
    </x:row>
    <x:row r="1048">
      <x:c r="E1048" s="300"/>
      <x:c r="M1048" s="300"/>
    </x:row>
    <x:row r="1049">
      <x:c r="E1049" s="300"/>
      <x:c r="M1049" s="300"/>
    </x:row>
    <x:row r="1050">
      <x:c r="E1050" s="300"/>
      <x:c r="M1050" s="300"/>
    </x:row>
    <x:row r="1051">
      <x:c r="E1051" s="300"/>
      <x:c r="M1051" s="300"/>
    </x:row>
    <x:row r="1052">
      <x:c r="E1052" s="300"/>
      <x:c r="M1052" s="300"/>
    </x:row>
    <x:row r="1053">
      <x:c r="E1053" s="300"/>
      <x:c r="M1053" s="300"/>
    </x:row>
    <x:row r="1054">
      <x:c r="E1054" s="300"/>
      <x:c r="M1054" s="300"/>
    </x:row>
    <x:row r="1055">
      <x:c r="E1055" s="300"/>
      <x:c r="M1055" s="300"/>
    </x:row>
    <x:row r="1056">
      <x:c r="E1056" s="300"/>
      <x:c r="M1056" s="300"/>
    </x:row>
    <x:row r="1057">
      <x:c r="E1057" s="300"/>
      <x:c r="M1057" s="300"/>
    </x:row>
    <x:row r="1058">
      <x:c r="E1058" s="300"/>
      <x:c r="M1058" s="300"/>
    </x:row>
    <x:row r="1059">
      <x:c r="E1059" s="300"/>
      <x:c r="M1059" s="300"/>
    </x:row>
    <x:row r="1060">
      <x:c r="E1060" s="300"/>
      <x:c r="M1060" s="300"/>
    </x:row>
    <x:row r="1061">
      <x:c r="E1061" s="300"/>
      <x:c r="M1061" s="300"/>
    </x:row>
    <x:row r="1062">
      <x:c r="E1062" s="300"/>
      <x:c r="M1062" s="300"/>
    </x:row>
    <x:row r="1063">
      <x:c r="E1063" s="300"/>
      <x:c r="M1063" s="300"/>
    </x:row>
    <x:row r="1064">
      <x:c r="E1064" s="300"/>
      <x:c r="M1064" s="300"/>
    </x:row>
    <x:row r="1065">
      <x:c r="E1065" s="300"/>
      <x:c r="M1065" s="300"/>
    </x:row>
    <x:row r="1066">
      <x:c r="E1066" s="300"/>
      <x:c r="M1066" s="300"/>
    </x:row>
    <x:row r="1067">
      <x:c r="E1067" s="300"/>
      <x:c r="M1067" s="300"/>
    </x:row>
    <x:row r="1068">
      <x:c r="E1068" s="300"/>
      <x:c r="M1068" s="300"/>
    </x:row>
    <x:row r="1069">
      <x:c r="E1069" s="300"/>
      <x:c r="M1069" s="300"/>
    </x:row>
    <x:row r="1070">
      <x:c r="E1070" s="300"/>
      <x:c r="M1070" s="300"/>
    </x:row>
    <x:row r="1071">
      <x:c r="E1071" s="300"/>
      <x:c r="M1071" s="300"/>
    </x:row>
    <x:row r="1072">
      <x:c r="E1072" s="300"/>
      <x:c r="M1072" s="300"/>
    </x:row>
    <x:row r="1073">
      <x:c r="E1073" s="300"/>
      <x:c r="M1073" s="300"/>
    </x:row>
    <x:row r="1074">
      <x:c r="E1074" s="300"/>
      <x:c r="M1074" s="300"/>
    </x:row>
    <x:row r="1075">
      <x:c r="E1075" s="300"/>
      <x:c r="M1075" s="300"/>
    </x:row>
    <x:row r="1076">
      <x:c r="E1076" s="300"/>
      <x:c r="M1076" s="300"/>
    </x:row>
    <x:row r="1077">
      <x:c r="E1077" s="300"/>
      <x:c r="M1077" s="300"/>
    </x:row>
    <x:row r="1078">
      <x:c r="E1078" s="300"/>
      <x:c r="M1078" s="300"/>
    </x:row>
    <x:row r="1079">
      <x:c r="E1079" s="300"/>
      <x:c r="M1079" s="300"/>
    </x:row>
    <x:row r="1080">
      <x:c r="E1080" s="300"/>
      <x:c r="M1080" s="300"/>
    </x:row>
    <x:row r="1081">
      <x:c r="E1081" s="300"/>
      <x:c r="M1081" s="300"/>
    </x:row>
    <x:row r="1082">
      <x:c r="E1082" s="300"/>
      <x:c r="M1082" s="300"/>
    </x:row>
    <x:row r="1083">
      <x:c r="E1083" s="300"/>
      <x:c r="M1083" s="300"/>
    </x:row>
    <x:row r="1084">
      <x:c r="E1084" s="300"/>
      <x:c r="M1084" s="300"/>
    </x:row>
    <x:row r="1085">
      <x:c r="E1085" s="300"/>
      <x:c r="M1085" s="300"/>
    </x:row>
    <x:row r="1086">
      <x:c r="E1086" s="300"/>
      <x:c r="M1086" s="300"/>
    </x:row>
    <x:row r="1087">
      <x:c r="E1087" s="300"/>
      <x:c r="M1087" s="300"/>
    </x:row>
    <x:row r="1088">
      <x:c r="E1088" s="300"/>
      <x:c r="M1088" s="300"/>
    </x:row>
    <x:row r="1089">
      <x:c r="E1089" s="300"/>
      <x:c r="M1089" s="300"/>
    </x:row>
    <x:row r="1090">
      <x:c r="E1090" s="300"/>
      <x:c r="M1090" s="300"/>
    </x:row>
    <x:row r="1091">
      <x:c r="E1091" s="300"/>
      <x:c r="M1091" s="300"/>
    </x:row>
    <x:row r="1092">
      <x:c r="E1092" s="300"/>
      <x:c r="M1092" s="300"/>
    </x:row>
    <x:row r="1093">
      <x:c r="E1093" s="300"/>
      <x:c r="M1093" s="300"/>
    </x:row>
    <x:row r="1094">
      <x:c r="E1094" s="300"/>
      <x:c r="M1094" s="300"/>
    </x:row>
    <x:row r="1095">
      <x:c r="E1095" s="300"/>
      <x:c r="M1095" s="300"/>
    </x:row>
    <x:row r="1096">
      <x:c r="E1096" s="300"/>
      <x:c r="M1096" s="300"/>
    </x:row>
    <x:row r="1097">
      <x:c r="E1097" s="300"/>
      <x:c r="M1097" s="300"/>
    </x:row>
    <x:row r="1098">
      <x:c r="E1098" s="300"/>
      <x:c r="M1098" s="300"/>
    </x:row>
    <x:row r="1099">
      <x:c r="E1099" s="300"/>
      <x:c r="M1099" s="300"/>
    </x:row>
    <x:row r="1100">
      <x:c r="E1100" s="300"/>
      <x:c r="M1100" s="300"/>
    </x:row>
    <x:row r="1101">
      <x:c r="E1101" s="300"/>
      <x:c r="M1101" s="300"/>
    </x:row>
    <x:row r="1102">
      <x:c r="E1102" s="300"/>
      <x:c r="M1102" s="300"/>
    </x:row>
    <x:row r="1103">
      <x:c r="E1103" s="300"/>
      <x:c r="M1103" s="300"/>
    </x:row>
    <x:row r="1104">
      <x:c r="E1104" s="300"/>
      <x:c r="M1104" s="300"/>
    </x:row>
    <x:row r="1105">
      <x:c r="E1105" s="300"/>
      <x:c r="M1105" s="300"/>
    </x:row>
    <x:row r="1106">
      <x:c r="E1106" s="300"/>
      <x:c r="M1106" s="300"/>
    </x:row>
    <x:row r="1107">
      <x:c r="E1107" s="300"/>
      <x:c r="M1107" s="300"/>
    </x:row>
    <x:row r="1108">
      <x:c r="E1108" s="300"/>
      <x:c r="M1108" s="300"/>
    </x:row>
    <x:row r="1109">
      <x:c r="E1109" s="300"/>
      <x:c r="M1109" s="300"/>
    </x:row>
    <x:row r="1110">
      <x:c r="E1110" s="300"/>
      <x:c r="M1110" s="300"/>
    </x:row>
    <x:row r="1111">
      <x:c r="E1111" s="300"/>
      <x:c r="M1111" s="300"/>
    </x:row>
    <x:row r="1112">
      <x:c r="E1112" s="300"/>
      <x:c r="M1112" s="300"/>
    </x:row>
    <x:row r="1113">
      <x:c r="E1113" s="300"/>
      <x:c r="M1113" s="300"/>
    </x:row>
    <x:row r="1114">
      <x:c r="E1114" s="300"/>
      <x:c r="M1114" s="300"/>
    </x:row>
    <x:row r="1115">
      <x:c r="E1115" s="300"/>
      <x:c r="M1115" s="300"/>
    </x:row>
    <x:row r="1116">
      <x:c r="E1116" s="300"/>
      <x:c r="M1116" s="300"/>
    </x:row>
    <x:row r="1117">
      <x:c r="E1117" s="300"/>
      <x:c r="M1117" s="300"/>
    </x:row>
    <x:row r="1118">
      <x:c r="E1118" s="300"/>
      <x:c r="M1118" s="300"/>
    </x:row>
    <x:row r="1119">
      <x:c r="E1119" s="300"/>
      <x:c r="M1119" s="300"/>
    </x:row>
    <x:row r="1120">
      <x:c r="E1120" s="300"/>
      <x:c r="M1120" s="300"/>
    </x:row>
    <x:row r="1121">
      <x:c r="E1121" s="300"/>
      <x:c r="M1121" s="300"/>
    </x:row>
    <x:row r="1122">
      <x:c r="E1122" s="300"/>
      <x:c r="M1122" s="300"/>
    </x:row>
    <x:row r="1123">
      <x:c r="E1123" s="300"/>
      <x:c r="M1123" s="300"/>
    </x:row>
    <x:row r="1124">
      <x:c r="E1124" s="300"/>
      <x:c r="M1124" s="300"/>
    </x:row>
    <x:row r="1125">
      <x:c r="E1125" s="300"/>
      <x:c r="M1125" s="300"/>
    </x:row>
    <x:row r="1126">
      <x:c r="E1126" s="300"/>
      <x:c r="M1126" s="300"/>
    </x:row>
    <x:row r="1127">
      <x:c r="E1127" s="300"/>
      <x:c r="M1127" s="300"/>
    </x:row>
    <x:row r="1128">
      <x:c r="E1128" s="300"/>
      <x:c r="M1128" s="300"/>
    </x:row>
    <x:row r="1129">
      <x:c r="E1129" s="300"/>
      <x:c r="M1129" s="300"/>
    </x:row>
    <x:row r="1130">
      <x:c r="E1130" s="300"/>
      <x:c r="M1130" s="300"/>
    </x:row>
    <x:row r="1131">
      <x:c r="E1131" s="300"/>
      <x:c r="M1131" s="300"/>
    </x:row>
    <x:row r="1132">
      <x:c r="E1132" s="300"/>
      <x:c r="M1132" s="300"/>
    </x:row>
    <x:row r="1133">
      <x:c r="E1133" s="300"/>
      <x:c r="M1133" s="300"/>
    </x:row>
    <x:row r="1134">
      <x:c r="E1134" s="300"/>
      <x:c r="M1134" s="300"/>
    </x:row>
    <x:row r="1135">
      <x:c r="E1135" s="300"/>
      <x:c r="M1135" s="300"/>
    </x:row>
    <x:row r="1136">
      <x:c r="E1136" s="300"/>
      <x:c r="M1136" s="300"/>
    </x:row>
    <x:row r="1137">
      <x:c r="E1137" s="300"/>
      <x:c r="M1137" s="300"/>
    </x:row>
    <x:row r="1138">
      <x:c r="E1138" s="300"/>
      <x:c r="M1138" s="300"/>
    </x:row>
    <x:row r="1139">
      <x:c r="E1139" s="300"/>
      <x:c r="M1139" s="300"/>
    </x:row>
    <x:row r="1140">
      <x:c r="E1140" s="300"/>
      <x:c r="M1140" s="300"/>
    </x:row>
    <x:row r="1141">
      <x:c r="E1141" s="300"/>
      <x:c r="M1141" s="300"/>
    </x:row>
    <x:row r="1142">
      <x:c r="E1142" s="300"/>
      <x:c r="M1142" s="300"/>
    </x:row>
    <x:row r="1143">
      <x:c r="E1143" s="300"/>
      <x:c r="M1143" s="300"/>
    </x:row>
    <x:row r="1144">
      <x:c r="E1144" s="300"/>
      <x:c r="M1144" s="300"/>
    </x:row>
    <x:row r="1145">
      <x:c r="E1145" s="300"/>
      <x:c r="M1145" s="300"/>
    </x:row>
    <x:row r="1146">
      <x:c r="E1146" s="300"/>
      <x:c r="M1146" s="300"/>
    </x:row>
    <x:row r="1147">
      <x:c r="E1147" s="300"/>
      <x:c r="M1147" s="300"/>
    </x:row>
    <x:row r="1148">
      <x:c r="E1148" s="300"/>
      <x:c r="M1148" s="300"/>
    </x:row>
    <x:row r="1149">
      <x:c r="E1149" s="300"/>
      <x:c r="M1149" s="300"/>
    </x:row>
    <x:row r="1150">
      <x:c r="E1150" s="300"/>
      <x:c r="M1150" s="300"/>
    </x:row>
    <x:row r="1151">
      <x:c r="E1151" s="300"/>
      <x:c r="M1151" s="300"/>
    </x:row>
    <x:row r="1152">
      <x:c r="E1152" s="300"/>
      <x:c r="M1152" s="300"/>
    </x:row>
    <x:row r="1153">
      <x:c r="E1153" s="300"/>
      <x:c r="M1153" s="300"/>
    </x:row>
    <x:row r="1154">
      <x:c r="E1154" s="300"/>
      <x:c r="M1154" s="300"/>
    </x:row>
    <x:row r="1155">
      <x:c r="E1155" s="300"/>
      <x:c r="M1155" s="300"/>
    </x:row>
    <x:row r="1156">
      <x:c r="E1156" s="300"/>
      <x:c r="M1156" s="300"/>
    </x:row>
    <x:row r="1157">
      <x:c r="E1157" s="300"/>
      <x:c r="M1157" s="300"/>
    </x:row>
    <x:row r="1158">
      <x:c r="E1158" s="300"/>
      <x:c r="M1158" s="300"/>
    </x:row>
    <x:row r="1159">
      <x:c r="E1159" s="300"/>
      <x:c r="M1159" s="300"/>
    </x:row>
    <x:row r="1160">
      <x:c r="E1160" s="300"/>
      <x:c r="M1160" s="300"/>
    </x:row>
    <x:row r="1161">
      <x:c r="E1161" s="300"/>
      <x:c r="M1161" s="300"/>
    </x:row>
    <x:row r="1162">
      <x:c r="E1162" s="300"/>
      <x:c r="M1162" s="300"/>
    </x:row>
    <x:row r="1163">
      <x:c r="E1163" s="300"/>
      <x:c r="M1163" s="300"/>
    </x:row>
    <x:row r="1164">
      <x:c r="E1164" s="300"/>
      <x:c r="M1164" s="300"/>
    </x:row>
    <x:row r="1165">
      <x:c r="E1165" s="300"/>
      <x:c r="M1165" s="300"/>
    </x:row>
    <x:row r="1166">
      <x:c r="E1166" s="300"/>
      <x:c r="M1166" s="300"/>
    </x:row>
    <x:row r="1167">
      <x:c r="E1167" s="300"/>
      <x:c r="M1167" s="300"/>
    </x:row>
    <x:row r="1168">
      <x:c r="E1168" s="300"/>
      <x:c r="M1168" s="300"/>
    </x:row>
    <x:row r="1169">
      <x:c r="E1169" s="300"/>
      <x:c r="M1169" s="300"/>
    </x:row>
    <x:row r="1170">
      <x:c r="E1170" s="300"/>
      <x:c r="M1170" s="300"/>
    </x:row>
    <x:row r="1171">
      <x:c r="E1171" s="300"/>
      <x:c r="M1171" s="300"/>
    </x:row>
    <x:row r="1172">
      <x:c r="E1172" s="300"/>
      <x:c r="M1172" s="300"/>
    </x:row>
    <x:row r="1173">
      <x:c r="E1173" s="300"/>
      <x:c r="M1173" s="300"/>
    </x:row>
    <x:row r="1174">
      <x:c r="E1174" s="300"/>
      <x:c r="M1174" s="300"/>
    </x:row>
    <x:row r="1175">
      <x:c r="E1175" s="300"/>
      <x:c r="M1175" s="300"/>
    </x:row>
    <x:row r="1176">
      <x:c r="E1176" s="300"/>
      <x:c r="M1176" s="300"/>
    </x:row>
    <x:row r="1177">
      <x:c r="E1177" s="300"/>
      <x:c r="M1177" s="300"/>
    </x:row>
    <x:row r="1178">
      <x:c r="E1178" s="300"/>
      <x:c r="M1178" s="300"/>
    </x:row>
    <x:row r="1179">
      <x:c r="E1179" s="300"/>
      <x:c r="M1179" s="300"/>
    </x:row>
    <x:row r="1180">
      <x:c r="E1180" s="300"/>
      <x:c r="M1180" s="300"/>
    </x:row>
    <x:row r="1181">
      <x:c r="E1181" s="300"/>
      <x:c r="M1181" s="300"/>
    </x:row>
    <x:row r="1182">
      <x:c r="E1182" s="300"/>
      <x:c r="M1182" s="300"/>
    </x:row>
    <x:row r="1183">
      <x:c r="E1183" s="300"/>
      <x:c r="M1183" s="300"/>
    </x:row>
    <x:row r="1184">
      <x:c r="E1184" s="300"/>
      <x:c r="M1184" s="300"/>
    </x:row>
    <x:row r="1185">
      <x:c r="E1185" s="300"/>
      <x:c r="M1185" s="300"/>
    </x:row>
    <x:row r="1186">
      <x:c r="E1186" s="300"/>
      <x:c r="M1186" s="300"/>
    </x:row>
    <x:row r="1187">
      <x:c r="E1187" s="300"/>
      <x:c r="M1187" s="300"/>
    </x:row>
    <x:row r="1188">
      <x:c r="E1188" s="300"/>
      <x:c r="M1188" s="300"/>
    </x:row>
    <x:row r="1189">
      <x:c r="E1189" s="300"/>
      <x:c r="M1189" s="300"/>
    </x:row>
    <x:row r="1190">
      <x:c r="E1190" s="300"/>
      <x:c r="M1190" s="300"/>
    </x:row>
    <x:row r="1191">
      <x:c r="E1191" s="300"/>
      <x:c r="M1191" s="300"/>
    </x:row>
    <x:row r="1192">
      <x:c r="E1192" s="300"/>
      <x:c r="M1192" s="300"/>
    </x:row>
    <x:row r="1193">
      <x:c r="E1193" s="300"/>
      <x:c r="M1193" s="300"/>
    </x:row>
    <x:row r="1194">
      <x:c r="E1194" s="300"/>
      <x:c r="M1194" s="300"/>
    </x:row>
    <x:row r="1195">
      <x:c r="E1195" s="300"/>
      <x:c r="M1195" s="300"/>
    </x:row>
    <x:row r="1196">
      <x:c r="E1196" s="300"/>
      <x:c r="M1196" s="300"/>
    </x:row>
    <x:row r="1197">
      <x:c r="E1197" s="300"/>
      <x:c r="M1197" s="300"/>
    </x:row>
    <x:row r="1198">
      <x:c r="E1198" s="300"/>
      <x:c r="M1198" s="300"/>
    </x:row>
    <x:row r="1199">
      <x:c r="E1199" s="300"/>
      <x:c r="M1199" s="300"/>
    </x:row>
    <x:row r="1200">
      <x:c r="E1200" s="300"/>
      <x:c r="M1200" s="300"/>
    </x:row>
    <x:row r="1201">
      <x:c r="E1201" s="300"/>
      <x:c r="M1201" s="300"/>
    </x:row>
    <x:row r="1202">
      <x:c r="E1202" s="300"/>
      <x:c r="M1202" s="300"/>
    </x:row>
    <x:row r="1203">
      <x:c r="E1203" s="300"/>
      <x:c r="M1203" s="300"/>
    </x:row>
    <x:row r="1204">
      <x:c r="E1204" s="300"/>
      <x:c r="M1204" s="300"/>
    </x:row>
    <x:row r="1205">
      <x:c r="E1205" s="300"/>
      <x:c r="M1205" s="300"/>
    </x:row>
    <x:row r="1206">
      <x:c r="E1206" s="300"/>
      <x:c r="M1206" s="300"/>
    </x:row>
    <x:row r="1207">
      <x:c r="E1207" s="300"/>
      <x:c r="M1207" s="300"/>
    </x:row>
    <x:row r="1208">
      <x:c r="E1208" s="300"/>
      <x:c r="M1208" s="300"/>
    </x:row>
    <x:row r="1209">
      <x:c r="E1209" s="300"/>
      <x:c r="M1209" s="300"/>
    </x:row>
    <x:row r="1210">
      <x:c r="E1210" s="300"/>
      <x:c r="M1210" s="300"/>
    </x:row>
    <x:row r="1211">
      <x:c r="E1211" s="300"/>
      <x:c r="M1211" s="300"/>
    </x:row>
    <x:row r="1212">
      <x:c r="E1212" s="300"/>
      <x:c r="M1212" s="300"/>
    </x:row>
    <x:row r="1213">
      <x:c r="E1213" s="300"/>
      <x:c r="M1213" s="300"/>
    </x:row>
    <x:row r="1214">
      <x:c r="E1214" s="300"/>
      <x:c r="M1214" s="300"/>
    </x:row>
    <x:row r="1215">
      <x:c r="E1215" s="300"/>
      <x:c r="M1215" s="300"/>
    </x:row>
    <x:row r="1216">
      <x:c r="E1216" s="300"/>
      <x:c r="M1216" s="300"/>
    </x:row>
    <x:row r="1217">
      <x:c r="E1217" s="300"/>
      <x:c r="M1217" s="300"/>
    </x:row>
    <x:row r="1218">
      <x:c r="E1218" s="300"/>
      <x:c r="M1218" s="300"/>
    </x:row>
    <x:row r="1219">
      <x:c r="E1219" s="300"/>
      <x:c r="M1219" s="300"/>
    </x:row>
    <x:row r="1220">
      <x:c r="E1220" s="300"/>
      <x:c r="M1220" s="300"/>
    </x:row>
    <x:row r="1221">
      <x:c r="E1221" s="300"/>
      <x:c r="M1221" s="300"/>
    </x:row>
    <x:row r="1222">
      <x:c r="E1222" s="300"/>
      <x:c r="M1222" s="300"/>
    </x:row>
    <x:row r="1223">
      <x:c r="E1223" s="300"/>
      <x:c r="M1223" s="300"/>
    </x:row>
    <x:row r="1224">
      <x:c r="E1224" s="300"/>
      <x:c r="M1224" s="300"/>
    </x:row>
    <x:row r="1225">
      <x:c r="E1225" s="300"/>
      <x:c r="M1225" s="300"/>
    </x:row>
    <x:row r="1226">
      <x:c r="E1226" s="300"/>
      <x:c r="M1226" s="300"/>
    </x:row>
    <x:row r="1227">
      <x:c r="E1227" s="300"/>
      <x:c r="M1227" s="300"/>
    </x:row>
    <x:row r="1228">
      <x:c r="E1228" s="300"/>
      <x:c r="M1228" s="300"/>
    </x:row>
    <x:row r="1229">
      <x:c r="E1229" s="300"/>
      <x:c r="M1229" s="300"/>
    </x:row>
    <x:row r="1230">
      <x:c r="E1230" s="300"/>
      <x:c r="M1230" s="300"/>
    </x:row>
    <x:row r="1231">
      <x:c r="E1231" s="300"/>
      <x:c r="M1231" s="300"/>
    </x:row>
    <x:row r="1232">
      <x:c r="E1232" s="300"/>
      <x:c r="M1232" s="300"/>
    </x:row>
    <x:row r="1233">
      <x:c r="E1233" s="300"/>
      <x:c r="M1233" s="300"/>
    </x:row>
    <x:row r="1234">
      <x:c r="E1234" s="300"/>
      <x:c r="M1234" s="300"/>
    </x:row>
    <x:row r="1235">
      <x:c r="E1235" s="300"/>
      <x:c r="M1235" s="300"/>
    </x:row>
    <x:row r="1236">
      <x:c r="E1236" s="300"/>
      <x:c r="M1236" s="300"/>
    </x:row>
    <x:row r="1237">
      <x:c r="E1237" s="300"/>
      <x:c r="M1237" s="300"/>
    </x:row>
    <x:row r="1238">
      <x:c r="E1238" s="300"/>
      <x:c r="M1238" s="300"/>
    </x:row>
    <x:row r="1239">
      <x:c r="E1239" s="300"/>
      <x:c r="M1239" s="300"/>
    </x:row>
    <x:row r="1240">
      <x:c r="E1240" s="300"/>
      <x:c r="M1240" s="300"/>
    </x:row>
    <x:row r="1241">
      <x:c r="E1241" s="300"/>
      <x:c r="M1241" s="300"/>
    </x:row>
    <x:row r="1242">
      <x:c r="E1242" s="300"/>
      <x:c r="M1242" s="300"/>
    </x:row>
    <x:row r="1243">
      <x:c r="E1243" s="300"/>
      <x:c r="M1243" s="300"/>
    </x:row>
    <x:row r="1244">
      <x:c r="E1244" s="300"/>
      <x:c r="M1244" s="300"/>
    </x:row>
    <x:row r="1245">
      <x:c r="E1245" s="300"/>
      <x:c r="M1245" s="300"/>
    </x:row>
    <x:row r="1246">
      <x:c r="E1246" s="300"/>
      <x:c r="M1246" s="300"/>
    </x:row>
    <x:row r="1247">
      <x:c r="E1247" s="300"/>
      <x:c r="M1247" s="300"/>
    </x:row>
    <x:row r="1248">
      <x:c r="E1248" s="300"/>
      <x:c r="M1248" s="300"/>
    </x:row>
    <x:row r="1249">
      <x:c r="E1249" s="300"/>
      <x:c r="M1249" s="300"/>
    </x:row>
    <x:row r="1250">
      <x:c r="E1250" s="300"/>
      <x:c r="M1250" s="300"/>
    </x:row>
    <x:row r="1251">
      <x:c r="E1251" s="300"/>
      <x:c r="M1251" s="300"/>
    </x:row>
    <x:row r="1252">
      <x:c r="E1252" s="300"/>
      <x:c r="M1252" s="300"/>
    </x:row>
    <x:row r="1253">
      <x:c r="E1253" s="300"/>
      <x:c r="M1253" s="300"/>
    </x:row>
    <x:row r="1254">
      <x:c r="E1254" s="300"/>
      <x:c r="M1254" s="300"/>
    </x:row>
    <x:row r="1255">
      <x:c r="E1255" s="300"/>
      <x:c r="M1255" s="300"/>
    </x:row>
    <x:row r="1256">
      <x:c r="E1256" s="300"/>
      <x:c r="M1256" s="300"/>
    </x:row>
    <x:row r="1257">
      <x:c r="E1257" s="300"/>
      <x:c r="M1257" s="300"/>
    </x:row>
    <x:row r="1258">
      <x:c r="E1258" s="300"/>
      <x:c r="M1258" s="300"/>
    </x:row>
    <x:row r="1259">
      <x:c r="E1259" s="300"/>
      <x:c r="M1259" s="300"/>
    </x:row>
    <x:row r="1260">
      <x:c r="E1260" s="300"/>
      <x:c r="M1260" s="300"/>
    </x:row>
    <x:row r="1261">
      <x:c r="E1261" s="300"/>
      <x:c r="M1261" s="300"/>
    </x:row>
    <x:row r="1262">
      <x:c r="E1262" s="300"/>
      <x:c r="M1262" s="300"/>
    </x:row>
    <x:row r="1263">
      <x:c r="E1263" s="300"/>
      <x:c r="M1263" s="300"/>
    </x:row>
    <x:row r="1264">
      <x:c r="E1264" s="300"/>
      <x:c r="M1264" s="300"/>
    </x:row>
    <x:row r="1265">
      <x:c r="E1265" s="300"/>
      <x:c r="M1265" s="300"/>
    </x:row>
    <x:row r="1266">
      <x:c r="E1266" s="300"/>
      <x:c r="M1266" s="300"/>
    </x:row>
    <x:row r="1267">
      <x:c r="E1267" s="300"/>
      <x:c r="M1267" s="300"/>
    </x:row>
    <x:row r="1268">
      <x:c r="E1268" s="300"/>
      <x:c r="M1268" s="300"/>
    </x:row>
    <x:row r="1269">
      <x:c r="E1269" s="300"/>
      <x:c r="M1269" s="300"/>
    </x:row>
    <x:row r="1270">
      <x:c r="E1270" s="300"/>
      <x:c r="M1270" s="300"/>
    </x:row>
    <x:row r="1271">
      <x:c r="E1271" s="300"/>
      <x:c r="M1271" s="300"/>
    </x:row>
    <x:row r="1272">
      <x:c r="E1272" s="300"/>
      <x:c r="M1272" s="300"/>
    </x:row>
    <x:row r="1273">
      <x:c r="E1273" s="300"/>
      <x:c r="M1273" s="300"/>
    </x:row>
    <x:row r="1274">
      <x:c r="E1274" s="300"/>
      <x:c r="M1274" s="300"/>
    </x:row>
    <x:row r="1275">
      <x:c r="E1275" s="300"/>
      <x:c r="M1275" s="300"/>
    </x:row>
    <x:row r="1276">
      <x:c r="E1276" s="300"/>
      <x:c r="M1276" s="300"/>
    </x:row>
    <x:row r="1277">
      <x:c r="E1277" s="300"/>
      <x:c r="M1277" s="300"/>
    </x:row>
    <x:row r="1278">
      <x:c r="E1278" s="300"/>
      <x:c r="M1278" s="300"/>
    </x:row>
    <x:row r="1279">
      <x:c r="E1279" s="300"/>
      <x:c r="M1279" s="300"/>
    </x:row>
    <x:row r="1280">
      <x:c r="E1280" s="300"/>
      <x:c r="M1280" s="300"/>
    </x:row>
    <x:row r="1281">
      <x:c r="E1281" s="300"/>
      <x:c r="M1281" s="300"/>
    </x:row>
    <x:row r="1282">
      <x:c r="E1282" s="300"/>
      <x:c r="M1282" s="300"/>
    </x:row>
    <x:row r="1283">
      <x:c r="E1283" s="300"/>
      <x:c r="M1283" s="300"/>
    </x:row>
    <x:row r="1284">
      <x:c r="E1284" s="300"/>
      <x:c r="M1284" s="300"/>
    </x:row>
    <x:row r="1285">
      <x:c r="E1285" s="300"/>
      <x:c r="M1285" s="300"/>
    </x:row>
    <x:row r="1286">
      <x:c r="E1286" s="300"/>
      <x:c r="M1286" s="300"/>
    </x:row>
    <x:row r="1287">
      <x:c r="E1287" s="300"/>
      <x:c r="M1287" s="300"/>
    </x:row>
    <x:row r="1288">
      <x:c r="E1288" s="300"/>
      <x:c r="M1288" s="300"/>
    </x:row>
    <x:row r="1289">
      <x:c r="E1289" s="300"/>
      <x:c r="M1289" s="300"/>
    </x:row>
    <x:row r="1290">
      <x:c r="E1290" s="300"/>
      <x:c r="M1290" s="300"/>
    </x:row>
    <x:row r="1291">
      <x:c r="E1291" s="300"/>
      <x:c r="M1291" s="300"/>
    </x:row>
    <x:row r="1292">
      <x:c r="E1292" s="300"/>
      <x:c r="M1292" s="300"/>
    </x:row>
    <x:row r="1293">
      <x:c r="E1293" s="300"/>
      <x:c r="M1293" s="300"/>
    </x:row>
    <x:row r="1294">
      <x:c r="E1294" s="300"/>
      <x:c r="M1294" s="300"/>
    </x:row>
    <x:row r="1295">
      <x:c r="E1295" s="300"/>
      <x:c r="M1295" s="300"/>
    </x:row>
    <x:row r="1296">
      <x:c r="E1296" s="300"/>
      <x:c r="M1296" s="300"/>
    </x:row>
    <x:row r="1297">
      <x:c r="E1297" s="300"/>
      <x:c r="M1297" s="300"/>
    </x:row>
    <x:row r="1298">
      <x:c r="E1298" s="300"/>
      <x:c r="M1298" s="300"/>
    </x:row>
    <x:row r="1299">
      <x:c r="E1299" s="300"/>
      <x:c r="M1299" s="300"/>
    </x:row>
    <x:row r="1300">
      <x:c r="E1300" s="300"/>
      <x:c r="M1300" s="300"/>
    </x:row>
    <x:row r="1301">
      <x:c r="E1301" s="300"/>
      <x:c r="M1301" s="300"/>
    </x:row>
    <x:row r="1302">
      <x:c r="E1302" s="300"/>
      <x:c r="M1302" s="300"/>
    </x:row>
    <x:row r="1303">
      <x:c r="E1303" s="300"/>
      <x:c r="M1303" s="300"/>
    </x:row>
    <x:row r="1304">
      <x:c r="E1304" s="300"/>
      <x:c r="M1304" s="300"/>
    </x:row>
    <x:row r="1305">
      <x:c r="E1305" s="300"/>
      <x:c r="M1305" s="300"/>
    </x:row>
    <x:row r="1306">
      <x:c r="E1306" s="300"/>
      <x:c r="M1306" s="300"/>
    </x:row>
    <x:row r="1307">
      <x:c r="E1307" s="300"/>
      <x:c r="M1307" s="300"/>
    </x:row>
    <x:row r="1308">
      <x:c r="E1308" s="300"/>
      <x:c r="M1308" s="300"/>
    </x:row>
    <x:row r="1309">
      <x:c r="E1309" s="300"/>
      <x:c r="M1309" s="300"/>
    </x:row>
    <x:row r="1310">
      <x:c r="E1310" s="300"/>
      <x:c r="M1310" s="300"/>
    </x:row>
    <x:row r="1311">
      <x:c r="E1311" s="300"/>
      <x:c r="M1311" s="300"/>
    </x:row>
    <x:row r="1312">
      <x:c r="E1312" s="300"/>
      <x:c r="M1312" s="300"/>
    </x:row>
    <x:row r="1313">
      <x:c r="E1313" s="300"/>
      <x:c r="M1313" s="300"/>
    </x:row>
    <x:row r="1314">
      <x:c r="E1314" s="300"/>
      <x:c r="M1314" s="300"/>
    </x:row>
    <x:row r="1315">
      <x:c r="E1315" s="300"/>
      <x:c r="M1315" s="300"/>
    </x:row>
    <x:row r="1316">
      <x:c r="E1316" s="300"/>
      <x:c r="M1316" s="300"/>
    </x:row>
    <x:row r="1317">
      <x:c r="E1317" s="300"/>
      <x:c r="M1317" s="300"/>
    </x:row>
    <x:row r="1318">
      <x:c r="E1318" s="300"/>
      <x:c r="M1318" s="300"/>
    </x:row>
    <x:row r="1319">
      <x:c r="E1319" s="300"/>
      <x:c r="M1319" s="300"/>
    </x:row>
    <x:row r="1320">
      <x:c r="E1320" s="300"/>
      <x:c r="M1320" s="300"/>
    </x:row>
    <x:row r="1321">
      <x:c r="E1321" s="300"/>
      <x:c r="M1321" s="300"/>
    </x:row>
    <x:row r="1322">
      <x:c r="E1322" s="300"/>
      <x:c r="M1322" s="300"/>
    </x:row>
    <x:row r="1323">
      <x:c r="E1323" s="300"/>
      <x:c r="M1323" s="300"/>
    </x:row>
    <x:row r="1324">
      <x:c r="E1324" s="300"/>
      <x:c r="M1324" s="300"/>
    </x:row>
    <x:row r="1325">
      <x:c r="E1325" s="300"/>
      <x:c r="M1325" s="300"/>
    </x:row>
    <x:row r="1326">
      <x:c r="E1326" s="300"/>
      <x:c r="M1326" s="300"/>
    </x:row>
    <x:row r="1327">
      <x:c r="E1327" s="300"/>
      <x:c r="M1327" s="300"/>
    </x:row>
    <x:row r="1328">
      <x:c r="E1328" s="300"/>
      <x:c r="M1328" s="300"/>
    </x:row>
    <x:row r="1329">
      <x:c r="E1329" s="300"/>
      <x:c r="M1329" s="300"/>
    </x:row>
    <x:row r="1330">
      <x:c r="E1330" s="300"/>
      <x:c r="M1330" s="300"/>
    </x:row>
    <x:row r="1331">
      <x:c r="E1331" s="300"/>
      <x:c r="M1331" s="300"/>
    </x:row>
    <x:row r="1332">
      <x:c r="E1332" s="300"/>
      <x:c r="M1332" s="300"/>
    </x:row>
    <x:row r="1333">
      <x:c r="E1333" s="300"/>
      <x:c r="M1333" s="300"/>
    </x:row>
    <x:row r="1334">
      <x:c r="E1334" s="300"/>
      <x:c r="M1334" s="300"/>
    </x:row>
    <x:row r="1335">
      <x:c r="E1335" s="300"/>
      <x:c r="M1335" s="300"/>
    </x:row>
    <x:row r="1336">
      <x:c r="E1336" s="300"/>
      <x:c r="M1336" s="300"/>
    </x:row>
    <x:row r="1337">
      <x:c r="E1337" s="300"/>
      <x:c r="M1337" s="300"/>
    </x:row>
    <x:row r="1338">
      <x:c r="E1338" s="300"/>
      <x:c r="M1338" s="300"/>
    </x:row>
    <x:row r="1339">
      <x:c r="E1339" s="300"/>
      <x:c r="M1339" s="300"/>
    </x:row>
    <x:row r="1340">
      <x:c r="E1340" s="300"/>
      <x:c r="M1340" s="300"/>
    </x:row>
    <x:row r="1341">
      <x:c r="E1341" s="300"/>
      <x:c r="M1341" s="300"/>
    </x:row>
    <x:row r="1342">
      <x:c r="E1342" s="300"/>
      <x:c r="M1342" s="300"/>
    </x:row>
    <x:row r="1343">
      <x:c r="E1343" s="300"/>
      <x:c r="M1343" s="300"/>
    </x:row>
    <x:row r="1344">
      <x:c r="E1344" s="300"/>
      <x:c r="M1344" s="300"/>
    </x:row>
    <x:row r="1345">
      <x:c r="E1345" s="300"/>
      <x:c r="M1345" s="300"/>
    </x:row>
    <x:row r="1346">
      <x:c r="E1346" s="300"/>
      <x:c r="M1346" s="300"/>
    </x:row>
    <x:row r="1347">
      <x:c r="E1347" s="300"/>
      <x:c r="M1347" s="300"/>
    </x:row>
    <x:row r="1348">
      <x:c r="E1348" s="300"/>
      <x:c r="M1348" s="300"/>
    </x:row>
    <x:row r="1349">
      <x:c r="E1349" s="300"/>
      <x:c r="M1349" s="300"/>
    </x:row>
    <x:row r="1350">
      <x:c r="E1350" s="300"/>
      <x:c r="M1350" s="300"/>
    </x:row>
    <x:row r="1351">
      <x:c r="E1351" s="300"/>
      <x:c r="M1351" s="300"/>
    </x:row>
    <x:row r="1352">
      <x:c r="E1352" s="300"/>
      <x:c r="M1352" s="300"/>
    </x:row>
    <x:row r="1353">
      <x:c r="E1353" s="300"/>
      <x:c r="M1353" s="300"/>
    </x:row>
    <x:row r="1354">
      <x:c r="E1354" s="300"/>
      <x:c r="M1354" s="300"/>
    </x:row>
    <x:row r="1355">
      <x:c r="E1355" s="300"/>
      <x:c r="M1355" s="300"/>
    </x:row>
    <x:row r="1356">
      <x:c r="E1356" s="300"/>
      <x:c r="M1356" s="300"/>
    </x:row>
    <x:row r="1357">
      <x:c r="E1357" s="300"/>
      <x:c r="M1357" s="300"/>
    </x:row>
    <x:row r="1358">
      <x:c r="E1358" s="300"/>
      <x:c r="M1358" s="300"/>
    </x:row>
    <x:row r="1359">
      <x:c r="E1359" s="300"/>
      <x:c r="M1359" s="300"/>
    </x:row>
    <x:row r="1360">
      <x:c r="E1360" s="300"/>
      <x:c r="M1360" s="300"/>
    </x:row>
    <x:row r="1361">
      <x:c r="E1361" s="300"/>
      <x:c r="M1361" s="300"/>
    </x:row>
    <x:row r="1362">
      <x:c r="E1362" s="300"/>
      <x:c r="M1362" s="300"/>
    </x:row>
    <x:row r="1363">
      <x:c r="E1363" s="300"/>
      <x:c r="M1363" s="300"/>
    </x:row>
    <x:row r="1364">
      <x:c r="E1364" s="300"/>
      <x:c r="M1364" s="300"/>
    </x:row>
    <x:row r="1365">
      <x:c r="E1365" s="300"/>
      <x:c r="M1365" s="300"/>
    </x:row>
    <x:row r="1366">
      <x:c r="E1366" s="300"/>
      <x:c r="M1366" s="300"/>
    </x:row>
    <x:row r="1367">
      <x:c r="E1367" s="300"/>
      <x:c r="M1367" s="300"/>
    </x:row>
    <x:row r="1368">
      <x:c r="E1368" s="300"/>
      <x:c r="M1368" s="300"/>
    </x:row>
    <x:row r="1369">
      <x:c r="E1369" s="300"/>
      <x:c r="M1369" s="300"/>
    </x:row>
    <x:row r="1370">
      <x:c r="E1370" s="300"/>
      <x:c r="M1370" s="300"/>
    </x:row>
    <x:row r="1371">
      <x:c r="E1371" s="300"/>
      <x:c r="M1371" s="300"/>
    </x:row>
    <x:row r="1372">
      <x:c r="E1372" s="300"/>
      <x:c r="M1372" s="300"/>
    </x:row>
    <x:row r="1373">
      <x:c r="E1373" s="300"/>
      <x:c r="M1373" s="300"/>
    </x:row>
    <x:row r="1374">
      <x:c r="E1374" s="300"/>
      <x:c r="M1374" s="300"/>
    </x:row>
    <x:row r="1375">
      <x:c r="E1375" s="300"/>
      <x:c r="M1375" s="300"/>
    </x:row>
    <x:row r="1376">
      <x:c r="E1376" s="300"/>
      <x:c r="M1376" s="300"/>
    </x:row>
    <x:row r="1377">
      <x:c r="E1377" s="300"/>
      <x:c r="M1377" s="300"/>
    </x:row>
    <x:row r="1378">
      <x:c r="E1378" s="300"/>
      <x:c r="M1378" s="300"/>
    </x:row>
    <x:row r="1379">
      <x:c r="E1379" s="300"/>
      <x:c r="M1379" s="300"/>
    </x:row>
    <x:row r="1380">
      <x:c r="E1380" s="300"/>
      <x:c r="M1380" s="300"/>
    </x:row>
    <x:row r="1381">
      <x:c r="E1381" s="300"/>
      <x:c r="M1381" s="300"/>
    </x:row>
    <x:row r="1382">
      <x:c r="E1382" s="300"/>
      <x:c r="M1382" s="300"/>
    </x:row>
    <x:row r="1383">
      <x:c r="E1383" s="300"/>
      <x:c r="M1383" s="300"/>
    </x:row>
    <x:row r="1384">
      <x:c r="E1384" s="300"/>
      <x:c r="M1384" s="300"/>
    </x:row>
    <x:row r="1385">
      <x:c r="E1385" s="300"/>
      <x:c r="M1385" s="300"/>
    </x:row>
    <x:row r="1386">
      <x:c r="E1386" s="300"/>
      <x:c r="M1386" s="300"/>
    </x:row>
    <x:row r="1387">
      <x:c r="E1387" s="300"/>
      <x:c r="M1387" s="300"/>
    </x:row>
    <x:row r="1388">
      <x:c r="E1388" s="300"/>
      <x:c r="M1388" s="300"/>
    </x:row>
    <x:row r="1389">
      <x:c r="E1389" s="300"/>
      <x:c r="M1389" s="300"/>
    </x:row>
    <x:row r="1390">
      <x:c r="E1390" s="300"/>
      <x:c r="M1390" s="300"/>
    </x:row>
    <x:row r="1391">
      <x:c r="E1391" s="300"/>
      <x:c r="M1391" s="300"/>
    </x:row>
    <x:row r="1392">
      <x:c r="E1392" s="300"/>
      <x:c r="M1392" s="300"/>
    </x:row>
    <x:row r="1393">
      <x:c r="E1393" s="300"/>
      <x:c r="M1393" s="300"/>
    </x:row>
    <x:row r="1394">
      <x:c r="E1394" s="300"/>
      <x:c r="M1394" s="300"/>
    </x:row>
    <x:row r="1395">
      <x:c r="E1395" s="300"/>
      <x:c r="M1395" s="300"/>
    </x:row>
    <x:row r="1396">
      <x:c r="E1396" s="300"/>
      <x:c r="M1396" s="300"/>
    </x:row>
    <x:row r="1397">
      <x:c r="E1397" s="300"/>
      <x:c r="M1397" s="300"/>
    </x:row>
    <x:row r="1398">
      <x:c r="E1398" s="300"/>
      <x:c r="M1398" s="300"/>
    </x:row>
    <x:row r="1399">
      <x:c r="E1399" s="300"/>
      <x:c r="M1399" s="300"/>
    </x:row>
    <x:row r="1400">
      <x:c r="E1400" s="300"/>
      <x:c r="M1400" s="300"/>
    </x:row>
    <x:row r="1401">
      <x:c r="E1401" s="300"/>
      <x:c r="M1401" s="300"/>
    </x:row>
    <x:row r="1402">
      <x:c r="E1402" s="300"/>
      <x:c r="M1402" s="300"/>
    </x:row>
    <x:row r="1403">
      <x:c r="E1403" s="300"/>
      <x:c r="M1403" s="300"/>
    </x:row>
    <x:row r="1404">
      <x:c r="E1404" s="300"/>
      <x:c r="M1404" s="300"/>
    </x:row>
    <x:row r="1405">
      <x:c r="E1405" s="300"/>
      <x:c r="M1405" s="300"/>
    </x:row>
    <x:row r="1406">
      <x:c r="E1406" s="300"/>
      <x:c r="M1406" s="300"/>
    </x:row>
    <x:row r="1407">
      <x:c r="E1407" s="300"/>
      <x:c r="M1407" s="300"/>
    </x:row>
    <x:row r="1408">
      <x:c r="E1408" s="300"/>
      <x:c r="M1408" s="300"/>
    </x:row>
    <x:row r="1409">
      <x:c r="E1409" s="300"/>
      <x:c r="M1409" s="300"/>
    </x:row>
    <x:row r="1410">
      <x:c r="E1410" s="300"/>
      <x:c r="M1410" s="300"/>
    </x:row>
    <x:row r="1411">
      <x:c r="E1411" s="300"/>
      <x:c r="M1411" s="300"/>
    </x:row>
    <x:row r="1412">
      <x:c r="E1412" s="300"/>
      <x:c r="M1412" s="300"/>
    </x:row>
    <x:row r="1413">
      <x:c r="E1413" s="300"/>
      <x:c r="M1413" s="300"/>
    </x:row>
    <x:row r="1414">
      <x:c r="E1414" s="300"/>
      <x:c r="M1414" s="300"/>
    </x:row>
    <x:row r="1415">
      <x:c r="E1415" s="300"/>
      <x:c r="M1415" s="300"/>
    </x:row>
    <x:row r="1416">
      <x:c r="E1416" s="300"/>
      <x:c r="M1416" s="300"/>
    </x:row>
    <x:row r="1417">
      <x:c r="E1417" s="300"/>
      <x:c r="M1417" s="300"/>
    </x:row>
    <x:row r="1418">
      <x:c r="E1418" s="300"/>
      <x:c r="M1418" s="300"/>
    </x:row>
    <x:row r="1419">
      <x:c r="E1419" s="300"/>
      <x:c r="M1419" s="300"/>
    </x:row>
    <x:row r="1420">
      <x:c r="E1420" s="300"/>
      <x:c r="M1420" s="300"/>
    </x:row>
    <x:row r="1421">
      <x:c r="E1421" s="300"/>
      <x:c r="M1421" s="300"/>
    </x:row>
    <x:row r="1422">
      <x:c r="E1422" s="300"/>
      <x:c r="M1422" s="300"/>
    </x:row>
    <x:row r="1423">
      <x:c r="E1423" s="300"/>
      <x:c r="M1423" s="300"/>
    </x:row>
    <x:row r="1424">
      <x:c r="E1424" s="300"/>
      <x:c r="M1424" s="300"/>
    </x:row>
    <x:row r="1425">
      <x:c r="E1425" s="300"/>
      <x:c r="M1425" s="300"/>
    </x:row>
    <x:row r="1426">
      <x:c r="E1426" s="300"/>
      <x:c r="M1426" s="300"/>
    </x:row>
    <x:row r="1427">
      <x:c r="E1427" s="300"/>
      <x:c r="M1427" s="300"/>
    </x:row>
    <x:row r="1428">
      <x:c r="E1428" s="300"/>
      <x:c r="M1428" s="300"/>
    </x:row>
    <x:row r="1429">
      <x:c r="E1429" s="300"/>
      <x:c r="M1429" s="300"/>
    </x:row>
    <x:row r="1430">
      <x:c r="E1430" s="300"/>
      <x:c r="M1430" s="300"/>
    </x:row>
    <x:row r="1431">
      <x:c r="E1431" s="300"/>
      <x:c r="M1431" s="300"/>
    </x:row>
    <x:row r="1432">
      <x:c r="E1432" s="300"/>
      <x:c r="M1432" s="300"/>
    </x:row>
    <x:row r="1433">
      <x:c r="E1433" s="300"/>
      <x:c r="M1433" s="300"/>
    </x:row>
    <x:row r="1434">
      <x:c r="E1434" s="300"/>
      <x:c r="M1434" s="300"/>
    </x:row>
    <x:row r="1435">
      <x:c r="E1435" s="300"/>
      <x:c r="M1435" s="300"/>
    </x:row>
    <x:row r="1436">
      <x:c r="E1436" s="300"/>
      <x:c r="M1436" s="300"/>
    </x:row>
    <x:row r="1437">
      <x:c r="E1437" s="300"/>
      <x:c r="M1437" s="300"/>
    </x:row>
    <x:row r="1438">
      <x:c r="E1438" s="300"/>
      <x:c r="M1438" s="300"/>
    </x:row>
    <x:row r="1439">
      <x:c r="E1439" s="300"/>
      <x:c r="M1439" s="300"/>
    </x:row>
    <x:row r="1440">
      <x:c r="E1440" s="300"/>
      <x:c r="M1440" s="300"/>
    </x:row>
    <x:row r="1441">
      <x:c r="E1441" s="300"/>
      <x:c r="M1441" s="300"/>
    </x:row>
    <x:row r="1442">
      <x:c r="E1442" s="300"/>
      <x:c r="M1442" s="300"/>
    </x:row>
    <x:row r="1443">
      <x:c r="E1443" s="300"/>
      <x:c r="M1443" s="300"/>
    </x:row>
    <x:row r="1444">
      <x:c r="E1444" s="300"/>
      <x:c r="M1444" s="300"/>
    </x:row>
    <x:row r="1445">
      <x:c r="E1445" s="300"/>
      <x:c r="M1445" s="300"/>
    </x:row>
    <x:row r="1446">
      <x:c r="E1446" s="300"/>
      <x:c r="M1446" s="300"/>
    </x:row>
    <x:row r="1447">
      <x:c r="E1447" s="300"/>
      <x:c r="M1447" s="300"/>
    </x:row>
    <x:row r="1448">
      <x:c r="E1448" s="300"/>
      <x:c r="M1448" s="300"/>
    </x:row>
    <x:row r="1449">
      <x:c r="E1449" s="300"/>
      <x:c r="M1449" s="300"/>
    </x:row>
    <x:row r="1450">
      <x:c r="E1450" s="300"/>
      <x:c r="M1450" s="300"/>
    </x:row>
    <x:row r="1451">
      <x:c r="E1451" s="300"/>
      <x:c r="M1451" s="300"/>
    </x:row>
    <x:row r="1452">
      <x:c r="E1452" s="300"/>
      <x:c r="M1452" s="300"/>
    </x:row>
    <x:row r="1453">
      <x:c r="E1453" s="300"/>
      <x:c r="M1453" s="300"/>
    </x:row>
    <x:row r="1454">
      <x:c r="E1454" s="300"/>
      <x:c r="M1454" s="300"/>
    </x:row>
    <x:row r="1455">
      <x:c r="E1455" s="300"/>
      <x:c r="M1455" s="300"/>
    </x:row>
    <x:row r="1456">
      <x:c r="E1456" s="300"/>
      <x:c r="M1456" s="300"/>
    </x:row>
    <x:row r="1457">
      <x:c r="E1457" s="300"/>
      <x:c r="M1457" s="300"/>
    </x:row>
    <x:row r="1458">
      <x:c r="E1458" s="300"/>
      <x:c r="M1458" s="300"/>
    </x:row>
    <x:row r="1459">
      <x:c r="E1459" s="300"/>
      <x:c r="M1459" s="300"/>
    </x:row>
    <x:row r="1460">
      <x:c r="E1460" s="300"/>
      <x:c r="M1460" s="300"/>
    </x:row>
    <x:row r="1461">
      <x:c r="E1461" s="300"/>
      <x:c r="M1461" s="300"/>
    </x:row>
    <x:row r="1462">
      <x:c r="E1462" s="300"/>
      <x:c r="M1462" s="300"/>
    </x:row>
    <x:row r="1463">
      <x:c r="E1463" s="300"/>
      <x:c r="M1463" s="300"/>
    </x:row>
    <x:row r="1464">
      <x:c r="E1464" s="300"/>
      <x:c r="M1464" s="300"/>
    </x:row>
    <x:row r="1465">
      <x:c r="E1465" s="300"/>
      <x:c r="M1465" s="300"/>
    </x:row>
    <x:row r="1466">
      <x:c r="E1466" s="300"/>
      <x:c r="M1466" s="300"/>
    </x:row>
    <x:row r="1467">
      <x:c r="E1467" s="300"/>
      <x:c r="M1467" s="300"/>
    </x:row>
    <x:row r="1468">
      <x:c r="E1468" s="300"/>
      <x:c r="M1468" s="300"/>
    </x:row>
    <x:row r="1469">
      <x:c r="E1469" s="300"/>
      <x:c r="M1469" s="300"/>
    </x:row>
    <x:row r="1470">
      <x:c r="E1470" s="300"/>
      <x:c r="M1470" s="300"/>
    </x:row>
    <x:row r="1471">
      <x:c r="E1471" s="300"/>
      <x:c r="M1471" s="300"/>
    </x:row>
    <x:row r="1472">
      <x:c r="E1472" s="300"/>
      <x:c r="M1472" s="300"/>
    </x:row>
    <x:row r="1473">
      <x:c r="E1473" s="300"/>
      <x:c r="M1473" s="300"/>
    </x:row>
    <x:row r="1474">
      <x:c r="E1474" s="300"/>
      <x:c r="M1474" s="300"/>
    </x:row>
    <x:row r="1475">
      <x:c r="E1475" s="300"/>
      <x:c r="M1475" s="300"/>
    </x:row>
    <x:row r="1476">
      <x:c r="E1476" s="300"/>
      <x:c r="M1476" s="300"/>
    </x:row>
    <x:row r="1477">
      <x:c r="E1477" s="300"/>
      <x:c r="M1477" s="300"/>
    </x:row>
    <x:row r="1478">
      <x:c r="E1478" s="300"/>
      <x:c r="M1478" s="300"/>
    </x:row>
    <x:row r="1479">
      <x:c r="E1479" s="300"/>
      <x:c r="M1479" s="300"/>
    </x:row>
    <x:row r="1480">
      <x:c r="E1480" s="300"/>
      <x:c r="M1480" s="300"/>
    </x:row>
    <x:row r="1481">
      <x:c r="E1481" s="300"/>
      <x:c r="M1481" s="300"/>
    </x:row>
    <x:row r="1482">
      <x:c r="E1482" s="300"/>
      <x:c r="M1482" s="300"/>
    </x:row>
    <x:row r="1483">
      <x:c r="E1483" s="300"/>
      <x:c r="M1483" s="300"/>
    </x:row>
    <x:row r="1484">
      <x:c r="E1484" s="300"/>
      <x:c r="M1484" s="300"/>
    </x:row>
    <x:row r="1485">
      <x:c r="E1485" s="300"/>
      <x:c r="M1485" s="300"/>
    </x:row>
    <x:row r="1486">
      <x:c r="E1486" s="300"/>
      <x:c r="M1486" s="300"/>
    </x:row>
    <x:row r="1487">
      <x:c r="E1487" s="300"/>
      <x:c r="M1487" s="300"/>
    </x:row>
    <x:row r="1488">
      <x:c r="E1488" s="300"/>
      <x:c r="M1488" s="300"/>
    </x:row>
    <x:row r="1489">
      <x:c r="E1489" s="300"/>
      <x:c r="M1489" s="300"/>
    </x:row>
    <x:row r="1490">
      <x:c r="E1490" s="300"/>
      <x:c r="M1490" s="300"/>
    </x:row>
    <x:row r="1491">
      <x:c r="E1491" s="300"/>
      <x:c r="M1491" s="300"/>
    </x:row>
    <x:row r="1492">
      <x:c r="E1492" s="300"/>
      <x:c r="M1492" s="300"/>
    </x:row>
    <x:row r="1493">
      <x:c r="E1493" s="300"/>
      <x:c r="M1493" s="300"/>
    </x:row>
    <x:row r="1494">
      <x:c r="E1494" s="300"/>
      <x:c r="M1494" s="300"/>
    </x:row>
    <x:row r="1495">
      <x:c r="E1495" s="300"/>
      <x:c r="M1495" s="300"/>
    </x:row>
    <x:row r="1496">
      <x:c r="E1496" s="300"/>
      <x:c r="M1496" s="300"/>
    </x:row>
    <x:row r="1497">
      <x:c r="E1497" s="300"/>
      <x:c r="M1497" s="300"/>
    </x:row>
    <x:row r="1498">
      <x:c r="E1498" s="300"/>
      <x:c r="M1498" s="300"/>
    </x:row>
    <x:row r="1499">
      <x:c r="E1499" s="300"/>
      <x:c r="M1499" s="300"/>
    </x:row>
    <x:row r="1500">
      <x:c r="E1500" s="300"/>
      <x:c r="M1500" s="300"/>
    </x:row>
    <x:row r="1501">
      <x:c r="E1501" s="300"/>
      <x:c r="M1501" s="300"/>
    </x:row>
    <x:row r="1502">
      <x:c r="E1502" s="300"/>
      <x:c r="M1502" s="300"/>
    </x:row>
    <x:row r="1503">
      <x:c r="E1503" s="300"/>
      <x:c r="M1503" s="300"/>
    </x:row>
    <x:row r="1504">
      <x:c r="E1504" s="300"/>
      <x:c r="M1504" s="300"/>
    </x:row>
    <x:row r="1505">
      <x:c r="E1505" s="300"/>
      <x:c r="M1505" s="300"/>
    </x:row>
    <x:row r="1506">
      <x:c r="E1506" s="300"/>
      <x:c r="M1506" s="300"/>
    </x:row>
    <x:row r="1507">
      <x:c r="E1507" s="300"/>
      <x:c r="M1507" s="300"/>
    </x:row>
    <x:row r="1508">
      <x:c r="E1508" s="300"/>
      <x:c r="M1508" s="300"/>
    </x:row>
    <x:row r="1509">
      <x:c r="E1509" s="300"/>
      <x:c r="M1509" s="300"/>
    </x:row>
    <x:row r="1510">
      <x:c r="E1510" s="300"/>
      <x:c r="M1510" s="300"/>
    </x:row>
    <x:row r="1511">
      <x:c r="E1511" s="300"/>
      <x:c r="M1511" s="300"/>
    </x:row>
    <x:row r="1512">
      <x:c r="E1512" s="300"/>
      <x:c r="M1512" s="300"/>
    </x:row>
    <x:row r="1513">
      <x:c r="E1513" s="300"/>
      <x:c r="M1513" s="300"/>
    </x:row>
    <x:row r="1514">
      <x:c r="E1514" s="300"/>
      <x:c r="M1514" s="300"/>
    </x:row>
    <x:row r="1515">
      <x:c r="E1515" s="300"/>
      <x:c r="M1515" s="300"/>
    </x:row>
    <x:row r="1516">
      <x:c r="E1516" s="300"/>
      <x:c r="M1516" s="300"/>
    </x:row>
    <x:row r="1517">
      <x:c r="E1517" s="300"/>
      <x:c r="M1517" s="300"/>
    </x:row>
    <x:row r="1518">
      <x:c r="E1518" s="300"/>
      <x:c r="M1518" s="300"/>
    </x:row>
    <x:row r="1519">
      <x:c r="E1519" s="300"/>
      <x:c r="M1519" s="300"/>
    </x:row>
    <x:row r="1520">
      <x:c r="E1520" s="300"/>
      <x:c r="M1520" s="300"/>
    </x:row>
    <x:row r="1521">
      <x:c r="E1521" s="300"/>
      <x:c r="M1521" s="300"/>
    </x:row>
    <x:row r="1522">
      <x:c r="E1522" s="300"/>
      <x:c r="M1522" s="300"/>
    </x:row>
    <x:row r="1523">
      <x:c r="E1523" s="300"/>
      <x:c r="M1523" s="300"/>
    </x:row>
    <x:row r="1524">
      <x:c r="E1524" s="300"/>
      <x:c r="M1524" s="300"/>
    </x:row>
    <x:row r="1525">
      <x:c r="E1525" s="300"/>
      <x:c r="M1525" s="300"/>
    </x:row>
    <x:row r="1526">
      <x:c r="E1526" s="300"/>
      <x:c r="M1526" s="300"/>
    </x:row>
    <x:row r="1527">
      <x:c r="E1527" s="300"/>
      <x:c r="M1527" s="300"/>
    </x:row>
    <x:row r="1528">
      <x:c r="E1528" s="300"/>
      <x:c r="M1528" s="300"/>
    </x:row>
    <x:row r="1529">
      <x:c r="E1529" s="300"/>
      <x:c r="M1529" s="300"/>
    </x:row>
    <x:row r="1530">
      <x:c r="E1530" s="300"/>
      <x:c r="M1530" s="300"/>
    </x:row>
    <x:row r="1531">
      <x:c r="E1531" s="300"/>
      <x:c r="M1531" s="300"/>
    </x:row>
    <x:row r="1532">
      <x:c r="E1532" s="300"/>
      <x:c r="M1532" s="300"/>
    </x:row>
    <x:row r="1533">
      <x:c r="E1533" s="300"/>
      <x:c r="M1533" s="300"/>
    </x:row>
    <x:row r="1534">
      <x:c r="E1534" s="300"/>
      <x:c r="M1534" s="300"/>
    </x:row>
    <x:row r="1535">
      <x:c r="E1535" s="300"/>
      <x:c r="M1535" s="300"/>
    </x:row>
    <x:row r="1536">
      <x:c r="E1536" s="300"/>
      <x:c r="M1536" s="300"/>
    </x:row>
    <x:row r="1537">
      <x:c r="E1537" s="300"/>
      <x:c r="M1537" s="300"/>
    </x:row>
    <x:row r="1538">
      <x:c r="E1538" s="300"/>
      <x:c r="M1538" s="300"/>
    </x:row>
    <x:row r="1539">
      <x:c r="E1539" s="300"/>
      <x:c r="M1539" s="300"/>
    </x:row>
    <x:row r="1540">
      <x:c r="E1540" s="300"/>
      <x:c r="M1540" s="300"/>
    </x:row>
    <x:row r="1541">
      <x:c r="E1541" s="300"/>
      <x:c r="M1541" s="300"/>
    </x:row>
    <x:row r="1542">
      <x:c r="E1542" s="300"/>
      <x:c r="M1542" s="300"/>
    </x:row>
    <x:row r="1543">
      <x:c r="E1543" s="300"/>
      <x:c r="M1543" s="300"/>
    </x:row>
    <x:row r="1544">
      <x:c r="E1544" s="300"/>
      <x:c r="M1544" s="300"/>
    </x:row>
    <x:row r="1545">
      <x:c r="E1545" s="300"/>
      <x:c r="M1545" s="300"/>
    </x:row>
    <x:row r="1546">
      <x:c r="E1546" s="300"/>
      <x:c r="M1546" s="300"/>
    </x:row>
    <x:row r="1547">
      <x:c r="E1547" s="300"/>
      <x:c r="M1547" s="300"/>
    </x:row>
    <x:row r="1548">
      <x:c r="E1548" s="300"/>
      <x:c r="M1548" s="300"/>
    </x:row>
    <x:row r="1549">
      <x:c r="E1549" s="300"/>
      <x:c r="M1549" s="300"/>
    </x:row>
    <x:row r="1550">
      <x:c r="E1550" s="300"/>
      <x:c r="M1550" s="300"/>
    </x:row>
    <x:row r="1551">
      <x:c r="E1551" s="300"/>
      <x:c r="M1551" s="300"/>
    </x:row>
    <x:row r="1552">
      <x:c r="E1552" s="300"/>
      <x:c r="M1552" s="300"/>
    </x:row>
    <x:row r="1553">
      <x:c r="E1553" s="300"/>
      <x:c r="M1553" s="300"/>
    </x:row>
    <x:row r="1554">
      <x:c r="E1554" s="300"/>
      <x:c r="M1554" s="300"/>
    </x:row>
    <x:row r="1555">
      <x:c r="E1555" s="300"/>
      <x:c r="M1555" s="300"/>
    </x:row>
    <x:row r="1556">
      <x:c r="E1556" s="300"/>
      <x:c r="M1556" s="300"/>
    </x:row>
    <x:row r="1557">
      <x:c r="E1557" s="300"/>
      <x:c r="M1557" s="300"/>
    </x:row>
    <x:row r="1558">
      <x:c r="E1558" s="300"/>
      <x:c r="M1558" s="300"/>
    </x:row>
    <x:row r="1559">
      <x:c r="E1559" s="300"/>
      <x:c r="M1559" s="300"/>
    </x:row>
    <x:row r="1560">
      <x:c r="E1560" s="300"/>
      <x:c r="M1560" s="300"/>
    </x:row>
    <x:row r="1561">
      <x:c r="E1561" s="300"/>
      <x:c r="M1561" s="300"/>
    </x:row>
    <x:row r="1562">
      <x:c r="E1562" s="300"/>
      <x:c r="M1562" s="300"/>
    </x:row>
    <x:row r="1563">
      <x:c r="E1563" s="300"/>
      <x:c r="M1563" s="300"/>
    </x:row>
    <x:row r="1564">
      <x:c r="E1564" s="300"/>
      <x:c r="M1564" s="300"/>
    </x:row>
    <x:row r="1565">
      <x:c r="E1565" s="300"/>
      <x:c r="M1565" s="300"/>
    </x:row>
    <x:row r="1566">
      <x:c r="E1566" s="300"/>
      <x:c r="M1566" s="300"/>
    </x:row>
    <x:row r="1567">
      <x:c r="E1567" s="300"/>
      <x:c r="M1567" s="300"/>
    </x:row>
    <x:row r="1568">
      <x:c r="E1568" s="300"/>
      <x:c r="M1568" s="300"/>
    </x:row>
    <x:row r="1569">
      <x:c r="E1569" s="300"/>
      <x:c r="M1569" s="300"/>
    </x:row>
    <x:row r="1570">
      <x:c r="E1570" s="300"/>
      <x:c r="M1570" s="300"/>
    </x:row>
    <x:row r="1571">
      <x:c r="E1571" s="300"/>
      <x:c r="M1571" s="300"/>
    </x:row>
    <x:row r="1572">
      <x:c r="E1572" s="300"/>
      <x:c r="M1572" s="300"/>
    </x:row>
    <x:row r="1573">
      <x:c r="E1573" s="300"/>
      <x:c r="M1573" s="300"/>
    </x:row>
    <x:row r="1574">
      <x:c r="E1574" s="300"/>
      <x:c r="M1574" s="300"/>
    </x:row>
    <x:row r="1575">
      <x:c r="E1575" s="300"/>
      <x:c r="M1575" s="300"/>
    </x:row>
    <x:row r="1576">
      <x:c r="E1576" s="300"/>
      <x:c r="M1576" s="300"/>
    </x:row>
    <x:row r="1577">
      <x:c r="E1577" s="300"/>
      <x:c r="M1577" s="300"/>
    </x:row>
    <x:row r="1578">
      <x:c r="E1578" s="300"/>
      <x:c r="M1578" s="300"/>
    </x:row>
    <x:row r="1579">
      <x:c r="E1579" s="300"/>
      <x:c r="M1579" s="300"/>
    </x:row>
    <x:row r="1580">
      <x:c r="E1580" s="300"/>
      <x:c r="M1580" s="300"/>
    </x:row>
    <x:row r="1581">
      <x:c r="E1581" s="300"/>
      <x:c r="M1581" s="300"/>
    </x:row>
    <x:row r="1582">
      <x:c r="E1582" s="300"/>
      <x:c r="M1582" s="300"/>
    </x:row>
    <x:row r="1583">
      <x:c r="E1583" s="300"/>
      <x:c r="M1583" s="300"/>
    </x:row>
    <x:row r="1584">
      <x:c r="E1584" s="300"/>
      <x:c r="M1584" s="300"/>
    </x:row>
    <x:row r="1585">
      <x:c r="E1585" s="300"/>
      <x:c r="M1585" s="300"/>
    </x:row>
    <x:row r="1586">
      <x:c r="E1586" s="300"/>
      <x:c r="M1586" s="300"/>
    </x:row>
    <x:row r="1587">
      <x:c r="E1587" s="300"/>
      <x:c r="M1587" s="300"/>
    </x:row>
    <x:row r="1588">
      <x:c r="E1588" s="300"/>
      <x:c r="M1588" s="300"/>
    </x:row>
    <x:row r="1589">
      <x:c r="E1589" s="300"/>
      <x:c r="M1589" s="300"/>
    </x:row>
    <x:row r="1590">
      <x:c r="E1590" s="300"/>
      <x:c r="M1590" s="300"/>
    </x:row>
    <x:row r="1591">
      <x:c r="E1591" s="300"/>
      <x:c r="M1591" s="300"/>
    </x:row>
    <x:row r="1592">
      <x:c r="E1592" s="300"/>
      <x:c r="M1592" s="300"/>
    </x:row>
    <x:row r="1593">
      <x:c r="E1593" s="300"/>
      <x:c r="M1593" s="300"/>
    </x:row>
    <x:row r="1594">
      <x:c r="E1594" s="300"/>
      <x:c r="M1594" s="300"/>
    </x:row>
    <x:row r="1595">
      <x:c r="E1595" s="300"/>
      <x:c r="M1595" s="300"/>
    </x:row>
    <x:row r="1596">
      <x:c r="E1596" s="300"/>
      <x:c r="M1596" s="300"/>
    </x:row>
    <x:row r="1597">
      <x:c r="E1597" s="300"/>
      <x:c r="M1597" s="300"/>
    </x:row>
    <x:row r="1598">
      <x:c r="E1598" s="300"/>
      <x:c r="M1598" s="300"/>
    </x:row>
    <x:row r="1599">
      <x:c r="E1599" s="300"/>
      <x:c r="M1599" s="300"/>
    </x:row>
    <x:row r="1600">
      <x:c r="E1600" s="300"/>
      <x:c r="M1600" s="300"/>
    </x:row>
    <x:row r="1601">
      <x:c r="E1601" s="300"/>
      <x:c r="M1601" s="300"/>
    </x:row>
    <x:row r="1602">
      <x:c r="E1602" s="300"/>
      <x:c r="M1602" s="300"/>
    </x:row>
    <x:row r="1603">
      <x:c r="E1603" s="300"/>
      <x:c r="M1603" s="300"/>
    </x:row>
    <x:row r="1604">
      <x:c r="E1604" s="300"/>
      <x:c r="M1604" s="300"/>
    </x:row>
    <x:row r="1605">
      <x:c r="E1605" s="300"/>
      <x:c r="M1605" s="300"/>
    </x:row>
    <x:row r="1606">
      <x:c r="E1606" s="300"/>
      <x:c r="M1606" s="300"/>
    </x:row>
    <x:row r="1607">
      <x:c r="E1607" s="300"/>
      <x:c r="M1607" s="300"/>
    </x:row>
    <x:row r="1608">
      <x:c r="E1608" s="300"/>
      <x:c r="M1608" s="300"/>
    </x:row>
    <x:row r="1609">
      <x:c r="E1609" s="300"/>
      <x:c r="M1609" s="300"/>
    </x:row>
    <x:row r="1610">
      <x:c r="E1610" s="300"/>
      <x:c r="M1610" s="300"/>
    </x:row>
    <x:row r="1611">
      <x:c r="E1611" s="300"/>
      <x:c r="M1611" s="300"/>
    </x:row>
    <x:row r="1612">
      <x:c r="E1612" s="300"/>
      <x:c r="M1612" s="300"/>
    </x:row>
    <x:row r="1613">
      <x:c r="E1613" s="300"/>
      <x:c r="M1613" s="300"/>
    </x:row>
    <x:row r="1614">
      <x:c r="E1614" s="300"/>
      <x:c r="M1614" s="300"/>
    </x:row>
    <x:row r="1615">
      <x:c r="E1615" s="300"/>
      <x:c r="M1615" s="300"/>
    </x:row>
    <x:row r="1616">
      <x:c r="E1616" s="300"/>
      <x:c r="M1616" s="300"/>
    </x:row>
    <x:row r="1617">
      <x:c r="E1617" s="300"/>
      <x:c r="M1617" s="300"/>
    </x:row>
    <x:row r="1618">
      <x:c r="E1618" s="300"/>
      <x:c r="M1618" s="300"/>
    </x:row>
    <x:row r="1619">
      <x:c r="E1619" s="300"/>
      <x:c r="M1619" s="300"/>
    </x:row>
    <x:row r="1620">
      <x:c r="E1620" s="300"/>
      <x:c r="M1620" s="300"/>
    </x:row>
    <x:row r="1621">
      <x:c r="E1621" s="300"/>
      <x:c r="M1621" s="300"/>
    </x:row>
    <x:row r="1622">
      <x:c r="E1622" s="300"/>
      <x:c r="M1622" s="300"/>
    </x:row>
    <x:row r="1623">
      <x:c r="E1623" s="300"/>
      <x:c r="M1623" s="300"/>
    </x:row>
    <x:row r="1624">
      <x:c r="E1624" s="300"/>
      <x:c r="M1624" s="300"/>
    </x:row>
    <x:row r="1625">
      <x:c r="E1625" s="300"/>
      <x:c r="M1625" s="300"/>
    </x:row>
    <x:row r="1626">
      <x:c r="E1626" s="300"/>
      <x:c r="M1626" s="300"/>
    </x:row>
    <x:row r="1627">
      <x:c r="E1627" s="300"/>
      <x:c r="M1627" s="300"/>
    </x:row>
    <x:row r="1628">
      <x:c r="E1628" s="300"/>
      <x:c r="M1628" s="300"/>
    </x:row>
    <x:row r="1629">
      <x:c r="E1629" s="300"/>
      <x:c r="M1629" s="300"/>
    </x:row>
    <x:row r="1630">
      <x:c r="E1630" s="300"/>
      <x:c r="M1630" s="300"/>
    </x:row>
    <x:row r="1631">
      <x:c r="E1631" s="300"/>
      <x:c r="M1631" s="300"/>
    </x:row>
    <x:row r="1632">
      <x:c r="E1632" s="300"/>
      <x:c r="M1632" s="300"/>
    </x:row>
    <x:row r="1633">
      <x:c r="E1633" s="300"/>
      <x:c r="M1633" s="300"/>
    </x:row>
    <x:row r="1634">
      <x:c r="E1634" s="300"/>
      <x:c r="M1634" s="300"/>
    </x:row>
    <x:row r="1635">
      <x:c r="E1635" s="300"/>
      <x:c r="M1635" s="300"/>
    </x:row>
    <x:row r="1636">
      <x:c r="E1636" s="300"/>
      <x:c r="M1636" s="300"/>
    </x:row>
    <x:row r="1637">
      <x:c r="E1637" s="300"/>
      <x:c r="M1637" s="300"/>
    </x:row>
    <x:row r="1638">
      <x:c r="E1638" s="300"/>
      <x:c r="M1638" s="300"/>
    </x:row>
    <x:row r="1639">
      <x:c r="E1639" s="300"/>
      <x:c r="M1639" s="300"/>
    </x:row>
    <x:row r="1640">
      <x:c r="E1640" s="300"/>
      <x:c r="M1640" s="300"/>
    </x:row>
    <x:row r="1641">
      <x:c r="E1641" s="300"/>
      <x:c r="M1641" s="300"/>
    </x:row>
    <x:row r="1642">
      <x:c r="E1642" s="300"/>
      <x:c r="M1642" s="300"/>
    </x:row>
    <x:row r="1643">
      <x:c r="E1643" s="300"/>
      <x:c r="M1643" s="300"/>
    </x:row>
    <x:row r="1644">
      <x:c r="E1644" s="300"/>
      <x:c r="M1644" s="300"/>
    </x:row>
    <x:row r="1645">
      <x:c r="E1645" s="300"/>
      <x:c r="M1645" s="300"/>
    </x:row>
    <x:row r="1646">
      <x:c r="E1646" s="300"/>
      <x:c r="M1646" s="300"/>
    </x:row>
    <x:row r="1647">
      <x:c r="E1647" s="300"/>
      <x:c r="M1647" s="300"/>
    </x:row>
    <x:row r="1648">
      <x:c r="E1648" s="300"/>
      <x:c r="M1648" s="300"/>
    </x:row>
    <x:row r="1649">
      <x:c r="E1649" s="300"/>
      <x:c r="M1649" s="300"/>
    </x:row>
    <x:row r="1650">
      <x:c r="E1650" s="300"/>
      <x:c r="M1650" s="300"/>
    </x:row>
    <x:row r="1651">
      <x:c r="E1651" s="300"/>
      <x:c r="M1651" s="300"/>
    </x:row>
    <x:row r="1652">
      <x:c r="E1652" s="300"/>
      <x:c r="M1652" s="300"/>
    </x:row>
    <x:row r="1653">
      <x:c r="E1653" s="300"/>
      <x:c r="M1653" s="300"/>
    </x:row>
    <x:row r="1654">
      <x:c r="E1654" s="300"/>
      <x:c r="M1654" s="300"/>
    </x:row>
    <x:row r="1655">
      <x:c r="E1655" s="300"/>
      <x:c r="M1655" s="300"/>
    </x:row>
    <x:row r="1656">
      <x:c r="E1656" s="300"/>
      <x:c r="M1656" s="300"/>
    </x:row>
    <x:row r="1657">
      <x:c r="E1657" s="300"/>
      <x:c r="M1657" s="300"/>
    </x:row>
    <x:row r="1658">
      <x:c r="E1658" s="300"/>
      <x:c r="M1658" s="300"/>
    </x:row>
    <x:row r="1659">
      <x:c r="E1659" s="300"/>
      <x:c r="M1659" s="300"/>
    </x:row>
    <x:row r="1660">
      <x:c r="E1660" s="300"/>
      <x:c r="M1660" s="300"/>
    </x:row>
    <x:row r="1661">
      <x:c r="E1661" s="300"/>
      <x:c r="M1661" s="300"/>
    </x:row>
    <x:row r="1662">
      <x:c r="E1662" s="300"/>
      <x:c r="M1662" s="300"/>
    </x:row>
    <x:row r="1663">
      <x:c r="E1663" s="300"/>
      <x:c r="M1663" s="300"/>
    </x:row>
    <x:row r="1664">
      <x:c r="E1664" s="300"/>
      <x:c r="M1664" s="300"/>
    </x:row>
    <x:row r="1665">
      <x:c r="E1665" s="300"/>
      <x:c r="M1665" s="300"/>
    </x:row>
    <x:row r="1666">
      <x:c r="E1666" s="300"/>
      <x:c r="M1666" s="300"/>
    </x:row>
    <x:row r="1667">
      <x:c r="E1667" s="300"/>
      <x:c r="M1667" s="300"/>
    </x:row>
    <x:row r="1668">
      <x:c r="E1668" s="300"/>
      <x:c r="M1668" s="300"/>
    </x:row>
    <x:row r="1669">
      <x:c r="E1669" s="300"/>
      <x:c r="M1669" s="300"/>
    </x:row>
    <x:row r="1670">
      <x:c r="E1670" s="300"/>
      <x:c r="M1670" s="300"/>
    </x:row>
    <x:row r="1671">
      <x:c r="E1671" s="300"/>
      <x:c r="M1671" s="300"/>
    </x:row>
    <x:row r="1672">
      <x:c r="E1672" s="300"/>
      <x:c r="M1672" s="300"/>
    </x:row>
    <x:row r="1673">
      <x:c r="E1673" s="300"/>
      <x:c r="M1673" s="300"/>
    </x:row>
    <x:row r="1674">
      <x:c r="E1674" s="300"/>
      <x:c r="M1674" s="300"/>
    </x:row>
    <x:row r="1675">
      <x:c r="E1675" s="300"/>
      <x:c r="M1675" s="300"/>
    </x:row>
    <x:row r="1676">
      <x:c r="E1676" s="300"/>
      <x:c r="M1676" s="300"/>
    </x:row>
    <x:row r="1677">
      <x:c r="E1677" s="300"/>
      <x:c r="M1677" s="300"/>
    </x:row>
    <x:row r="1678">
      <x:c r="E1678" s="300"/>
      <x:c r="M1678" s="300"/>
    </x:row>
    <x:row r="1679">
      <x:c r="E1679" s="300"/>
      <x:c r="M1679" s="300"/>
    </x:row>
    <x:row r="1680">
      <x:c r="E1680" s="300"/>
      <x:c r="M1680" s="300"/>
    </x:row>
    <x:row r="1681">
      <x:c r="E1681" s="300"/>
      <x:c r="M1681" s="300"/>
    </x:row>
    <x:row r="1682">
      <x:c r="E1682" s="300"/>
      <x:c r="M1682" s="300"/>
    </x:row>
    <x:row r="1683">
      <x:c r="E1683" s="300"/>
      <x:c r="M1683" s="300"/>
    </x:row>
    <x:row r="1684">
      <x:c r="E1684" s="300"/>
      <x:c r="M1684" s="300"/>
    </x:row>
    <x:row r="1685">
      <x:c r="E1685" s="300"/>
      <x:c r="M1685" s="300"/>
    </x:row>
    <x:row r="1686">
      <x:c r="E1686" s="300"/>
      <x:c r="M1686" s="300"/>
    </x:row>
    <x:row r="1687">
      <x:c r="E1687" s="300"/>
      <x:c r="M1687" s="300"/>
    </x:row>
    <x:row r="1688">
      <x:c r="E1688" s="300"/>
      <x:c r="M1688" s="300"/>
    </x:row>
    <x:row r="1689">
      <x:c r="E1689" s="300"/>
      <x:c r="M1689" s="300"/>
    </x:row>
    <x:row r="1690">
      <x:c r="E1690" s="300"/>
      <x:c r="M1690" s="300"/>
    </x:row>
    <x:row r="1691">
      <x:c r="E1691" s="300"/>
      <x:c r="M1691" s="300"/>
    </x:row>
    <x:row r="1692">
      <x:c r="E1692" s="300"/>
      <x:c r="M1692" s="300"/>
    </x:row>
    <x:row r="1693">
      <x:c r="E1693" s="300"/>
      <x:c r="M1693" s="300"/>
    </x:row>
    <x:row r="1694">
      <x:c r="E1694" s="300"/>
      <x:c r="M1694" s="300"/>
    </x:row>
    <x:row r="1695">
      <x:c r="E1695" s="300"/>
      <x:c r="M1695" s="300"/>
    </x:row>
    <x:row r="1696">
      <x:c r="E1696" s="300"/>
      <x:c r="M1696" s="300"/>
    </x:row>
    <x:row r="1697">
      <x:c r="E1697" s="300"/>
      <x:c r="M1697" s="300"/>
    </x:row>
    <x:row r="1698">
      <x:c r="E1698" s="300"/>
      <x:c r="M1698" s="300"/>
    </x:row>
    <x:row r="1699">
      <x:c r="E1699" s="300"/>
      <x:c r="M1699" s="300"/>
    </x:row>
    <x:row r="1700">
      <x:c r="E1700" s="300"/>
      <x:c r="M1700" s="300"/>
    </x:row>
    <x:row r="1701">
      <x:c r="E1701" s="300"/>
      <x:c r="M1701" s="300"/>
    </x:row>
    <x:row r="1702">
      <x:c r="E1702" s="300"/>
      <x:c r="M1702" s="300"/>
    </x:row>
    <x:row r="1703">
      <x:c r="E1703" s="300"/>
      <x:c r="M1703" s="300"/>
    </x:row>
    <x:row r="1704">
      <x:c r="E1704" s="300"/>
      <x:c r="M1704" s="300"/>
    </x:row>
    <x:row r="1705">
      <x:c r="E1705" s="300"/>
      <x:c r="M1705" s="300"/>
    </x:row>
    <x:row r="1706">
      <x:c r="E1706" s="300"/>
      <x:c r="M1706" s="300"/>
    </x:row>
    <x:row r="1707">
      <x:c r="E1707" s="300"/>
      <x:c r="M1707" s="300"/>
    </x:row>
    <x:row r="1708">
      <x:c r="E1708" s="300"/>
      <x:c r="M1708" s="300"/>
    </x:row>
    <x:row r="1709">
      <x:c r="E1709" s="300"/>
      <x:c r="M1709" s="300"/>
    </x:row>
    <x:row r="1710">
      <x:c r="E1710" s="300"/>
      <x:c r="M1710" s="300"/>
    </x:row>
    <x:row r="1711">
      <x:c r="E1711" s="300"/>
      <x:c r="M1711" s="300"/>
    </x:row>
    <x:row r="1712">
      <x:c r="E1712" s="300"/>
      <x:c r="M1712" s="300"/>
    </x:row>
    <x:row r="1713">
      <x:c r="E1713" s="300"/>
      <x:c r="M1713" s="300"/>
    </x:row>
    <x:row r="1714">
      <x:c r="E1714" s="300"/>
      <x:c r="M1714" s="300"/>
    </x:row>
    <x:row r="1715">
      <x:c r="E1715" s="300"/>
      <x:c r="M1715" s="300"/>
    </x:row>
    <x:row r="1716">
      <x:c r="E1716" s="300"/>
      <x:c r="M1716" s="300"/>
    </x:row>
    <x:row r="1717">
      <x:c r="E1717" s="300"/>
      <x:c r="M1717" s="300"/>
    </x:row>
    <x:row r="1718">
      <x:c r="E1718" s="300"/>
      <x:c r="M1718" s="300"/>
    </x:row>
    <x:row r="1719">
      <x:c r="E1719" s="300"/>
      <x:c r="M1719" s="300"/>
    </x:row>
    <x:row r="1720">
      <x:c r="E1720" s="300"/>
      <x:c r="M1720" s="300"/>
    </x:row>
    <x:row r="1721">
      <x:c r="E1721" s="300"/>
      <x:c r="M1721" s="300"/>
    </x:row>
    <x:row r="1722">
      <x:c r="E1722" s="300"/>
      <x:c r="M1722" s="300"/>
    </x:row>
    <x:row r="1723">
      <x:c r="E1723" s="300"/>
      <x:c r="M1723" s="300"/>
    </x:row>
    <x:row r="1724">
      <x:c r="E1724" s="300"/>
      <x:c r="M1724" s="300"/>
    </x:row>
    <x:row r="1725">
      <x:c r="E1725" s="300"/>
      <x:c r="M1725" s="300"/>
    </x:row>
    <x:row r="1726">
      <x:c r="E1726" s="300"/>
      <x:c r="M1726" s="300"/>
    </x:row>
    <x:row r="1727">
      <x:c r="E1727" s="300"/>
      <x:c r="M1727" s="300"/>
    </x:row>
    <x:row r="1728">
      <x:c r="E1728" s="300"/>
      <x:c r="M1728" s="300"/>
    </x:row>
    <x:row r="1729">
      <x:c r="E1729" s="300"/>
      <x:c r="M1729" s="300"/>
    </x:row>
    <x:row r="1730">
      <x:c r="E1730" s="300"/>
      <x:c r="M1730" s="300"/>
    </x:row>
    <x:row r="1731">
      <x:c r="E1731" s="300"/>
      <x:c r="M1731" s="300"/>
    </x:row>
    <x:row r="1732">
      <x:c r="E1732" s="300"/>
      <x:c r="M1732" s="300"/>
    </x:row>
    <x:row r="1733">
      <x:c r="E1733" s="300"/>
      <x:c r="M1733" s="300"/>
    </x:row>
    <x:row r="1734">
      <x:c r="E1734" s="300"/>
      <x:c r="M1734" s="300"/>
    </x:row>
    <x:row r="1735">
      <x:c r="E1735" s="300"/>
      <x:c r="M1735" s="300"/>
    </x:row>
    <x:row r="1736">
      <x:c r="E1736" s="300"/>
      <x:c r="M1736" s="300"/>
    </x:row>
    <x:row r="1737">
      <x:c r="E1737" s="300"/>
      <x:c r="M1737" s="300"/>
    </x:row>
    <x:row r="1738">
      <x:c r="E1738" s="300"/>
      <x:c r="M1738" s="300"/>
    </x:row>
    <x:row r="1739">
      <x:c r="E1739" s="300"/>
      <x:c r="M1739" s="300"/>
    </x:row>
    <x:row r="1740">
      <x:c r="E1740" s="300"/>
      <x:c r="M1740" s="300"/>
    </x:row>
    <x:row r="1741">
      <x:c r="E1741" s="300"/>
      <x:c r="M1741" s="300"/>
    </x:row>
    <x:row r="1742">
      <x:c r="E1742" s="300"/>
      <x:c r="M1742" s="300"/>
    </x:row>
    <x:row r="1743">
      <x:c r="E1743" s="300"/>
      <x:c r="M1743" s="300"/>
    </x:row>
    <x:row r="1744">
      <x:c r="E1744" s="300"/>
      <x:c r="M1744" s="300"/>
    </x:row>
    <x:row r="1745">
      <x:c r="E1745" s="300"/>
      <x:c r="M1745" s="300"/>
    </x:row>
    <x:row r="1746">
      <x:c r="E1746" s="300"/>
      <x:c r="M1746" s="300"/>
    </x:row>
    <x:row r="1747">
      <x:c r="E1747" s="300"/>
      <x:c r="M1747" s="300"/>
    </x:row>
    <x:row r="1748">
      <x:c r="E1748" s="300"/>
      <x:c r="M1748" s="300"/>
    </x:row>
    <x:row r="1749">
      <x:c r="E1749" s="300"/>
      <x:c r="M1749" s="300"/>
    </x:row>
    <x:row r="1750">
      <x:c r="E1750" s="300"/>
      <x:c r="M1750" s="300"/>
    </x:row>
    <x:row r="1751">
      <x:c r="E1751" s="300"/>
      <x:c r="M1751" s="300"/>
    </x:row>
    <x:row r="1752">
      <x:c r="E1752" s="300"/>
      <x:c r="M1752" s="300"/>
    </x:row>
    <x:row r="1753">
      <x:c r="E1753" s="300"/>
      <x:c r="M1753" s="300"/>
    </x:row>
    <x:row r="1754">
      <x:c r="E1754" s="300"/>
      <x:c r="M1754" s="300"/>
    </x:row>
    <x:row r="1755">
      <x:c r="E1755" s="300"/>
      <x:c r="M1755" s="300"/>
    </x:row>
    <x:row r="1756">
      <x:c r="E1756" s="300"/>
      <x:c r="M1756" s="300"/>
    </x:row>
    <x:row r="1757">
      <x:c r="E1757" s="300"/>
      <x:c r="M1757" s="300"/>
    </x:row>
    <x:row r="1758">
      <x:c r="E1758" s="300"/>
      <x:c r="M1758" s="300"/>
    </x:row>
    <x:row r="1759">
      <x:c r="E1759" s="300"/>
      <x:c r="M1759" s="300"/>
    </x:row>
    <x:row r="1760">
      <x:c r="E1760" s="300"/>
      <x:c r="M1760" s="300"/>
    </x:row>
    <x:row r="1761">
      <x:c r="E1761" s="300"/>
      <x:c r="M1761" s="300"/>
    </x:row>
    <x:row r="1762">
      <x:c r="E1762" s="300"/>
      <x:c r="M1762" s="300"/>
    </x:row>
    <x:row r="1763">
      <x:c r="E1763" s="300"/>
      <x:c r="M1763" s="300"/>
    </x:row>
    <x:row r="1764">
      <x:c r="E1764" s="300"/>
      <x:c r="M1764" s="300"/>
    </x:row>
    <x:row r="1765">
      <x:c r="E1765" s="300"/>
      <x:c r="M1765" s="300"/>
    </x:row>
    <x:row r="1766">
      <x:c r="E1766" s="300"/>
      <x:c r="M1766" s="300"/>
    </x:row>
    <x:row r="1767">
      <x:c r="E1767" s="300"/>
      <x:c r="M1767" s="300"/>
    </x:row>
    <x:row r="1768">
      <x:c r="E1768" s="300"/>
      <x:c r="M1768" s="300"/>
    </x:row>
    <x:row r="1769">
      <x:c r="E1769" s="300"/>
      <x:c r="M1769" s="300"/>
    </x:row>
    <x:row r="1770">
      <x:c r="E1770" s="300"/>
      <x:c r="M1770" s="300"/>
    </x:row>
    <x:row r="1771">
      <x:c r="E1771" s="300"/>
      <x:c r="M1771" s="300"/>
    </x:row>
    <x:row r="1772">
      <x:c r="E1772" s="300"/>
      <x:c r="M1772" s="300"/>
    </x:row>
    <x:row r="1773">
      <x:c r="E1773" s="300"/>
      <x:c r="M1773" s="300"/>
    </x:row>
    <x:row r="1774">
      <x:c r="E1774" s="300"/>
      <x:c r="M1774" s="300"/>
    </x:row>
    <x:row r="1775">
      <x:c r="E1775" s="300"/>
      <x:c r="M1775" s="300"/>
    </x:row>
    <x:row r="1776">
      <x:c r="E1776" s="300"/>
      <x:c r="M1776" s="300"/>
    </x:row>
    <x:row r="1777">
      <x:c r="E1777" s="300"/>
      <x:c r="M1777" s="300"/>
    </x:row>
    <x:row r="1778">
      <x:c r="E1778" s="300"/>
      <x:c r="M1778" s="300"/>
    </x:row>
    <x:row r="1779">
      <x:c r="E1779" s="300"/>
      <x:c r="M1779" s="300"/>
    </x:row>
    <x:row r="1780">
      <x:c r="E1780" s="300"/>
      <x:c r="M1780" s="300"/>
    </x:row>
    <x:row r="1781">
      <x:c r="E1781" s="300"/>
      <x:c r="M1781" s="300"/>
    </x:row>
    <x:row r="1782">
      <x:c r="E1782" s="300"/>
      <x:c r="M1782" s="300"/>
    </x:row>
    <x:row r="1783">
      <x:c r="E1783" s="300"/>
      <x:c r="M1783" s="300"/>
    </x:row>
    <x:row r="1784">
      <x:c r="E1784" s="300"/>
      <x:c r="M1784" s="300"/>
    </x:row>
    <x:row r="1785">
      <x:c r="E1785" s="300"/>
      <x:c r="M1785" s="300"/>
    </x:row>
    <x:row r="1786">
      <x:c r="E1786" s="300"/>
      <x:c r="M1786" s="300"/>
    </x:row>
    <x:row r="1787">
      <x:c r="E1787" s="300"/>
      <x:c r="M1787" s="300"/>
    </x:row>
    <x:row r="1788">
      <x:c r="E1788" s="300"/>
      <x:c r="M1788" s="300"/>
    </x:row>
    <x:row r="1789">
      <x:c r="E1789" s="300"/>
      <x:c r="M1789" s="300"/>
    </x:row>
    <x:row r="1790">
      <x:c r="E1790" s="300"/>
      <x:c r="M1790" s="300"/>
    </x:row>
    <x:row r="1791">
      <x:c r="E1791" s="300"/>
      <x:c r="M1791" s="300"/>
    </x:row>
    <x:row r="1792">
      <x:c r="E1792" s="300"/>
      <x:c r="M1792" s="300"/>
    </x:row>
    <x:row r="1793">
      <x:c r="E1793" s="300"/>
      <x:c r="M1793" s="300"/>
    </x:row>
    <x:row r="1794">
      <x:c r="E1794" s="300"/>
      <x:c r="M1794" s="300"/>
    </x:row>
    <x:row r="1795">
      <x:c r="E1795" s="300"/>
      <x:c r="M1795" s="300"/>
    </x:row>
    <x:row r="1796">
      <x:c r="E1796" s="300"/>
      <x:c r="M1796" s="300"/>
    </x:row>
    <x:row r="1797">
      <x:c r="E1797" s="300"/>
      <x:c r="M1797" s="300"/>
    </x:row>
    <x:row r="1798">
      <x:c r="E1798" s="300"/>
      <x:c r="M1798" s="300"/>
    </x:row>
    <x:row r="1799">
      <x:c r="E1799" s="300"/>
      <x:c r="M1799" s="300"/>
    </x:row>
    <x:row r="1800">
      <x:c r="E1800" s="300"/>
      <x:c r="M1800" s="300"/>
    </x:row>
    <x:row r="1801">
      <x:c r="E1801" s="300"/>
      <x:c r="M1801" s="300"/>
    </x:row>
    <x:row r="1802">
      <x:c r="E1802" s="300"/>
      <x:c r="M1802" s="300"/>
    </x:row>
    <x:row r="1803">
      <x:c r="E1803" s="300"/>
      <x:c r="M1803" s="300"/>
    </x:row>
    <x:row r="1804">
      <x:c r="E1804" s="300"/>
      <x:c r="M1804" s="300"/>
    </x:row>
    <x:row r="1805">
      <x:c r="E1805" s="300"/>
      <x:c r="M1805" s="300"/>
    </x:row>
    <x:row r="1806">
      <x:c r="E1806" s="300"/>
      <x:c r="M1806" s="300"/>
    </x:row>
    <x:row r="1807">
      <x:c r="E1807" s="300"/>
      <x:c r="M1807" s="300"/>
    </x:row>
    <x:row r="1808">
      <x:c r="E1808" s="300"/>
      <x:c r="M1808" s="300"/>
    </x:row>
    <x:row r="1809">
      <x:c r="E1809" s="300"/>
      <x:c r="M1809" s="300"/>
    </x:row>
    <x:row r="1810">
      <x:c r="E1810" s="300"/>
      <x:c r="M1810" s="300"/>
    </x:row>
    <x:row r="1811">
      <x:c r="E1811" s="300"/>
      <x:c r="M1811" s="300"/>
    </x:row>
    <x:row r="1812">
      <x:c r="E1812" s="300"/>
      <x:c r="M1812" s="300"/>
    </x:row>
    <x:row r="1813">
      <x:c r="E1813" s="300"/>
      <x:c r="M1813" s="300"/>
    </x:row>
    <x:row r="1814">
      <x:c r="E1814" s="300"/>
      <x:c r="M1814" s="300"/>
    </x:row>
    <x:row r="1815">
      <x:c r="E1815" s="300"/>
      <x:c r="M1815" s="300"/>
    </x:row>
    <x:row r="1816">
      <x:c r="E1816" s="300"/>
      <x:c r="M1816" s="300"/>
    </x:row>
    <x:row r="1817">
      <x:c r="E1817" s="300"/>
      <x:c r="M1817" s="300"/>
    </x:row>
    <x:row r="1818">
      <x:c r="E1818" s="300"/>
      <x:c r="M1818" s="300"/>
    </x:row>
    <x:row r="1819">
      <x:c r="E1819" s="300"/>
      <x:c r="M1819" s="300"/>
    </x:row>
    <x:row r="1820">
      <x:c r="E1820" s="300"/>
      <x:c r="M1820" s="300"/>
    </x:row>
    <x:row r="1821">
      <x:c r="E1821" s="300"/>
      <x:c r="M1821" s="300"/>
    </x:row>
    <x:row r="1822">
      <x:c r="E1822" s="300"/>
      <x:c r="M1822" s="300"/>
    </x:row>
    <x:row r="1823">
      <x:c r="E1823" s="300"/>
      <x:c r="M1823" s="300"/>
    </x:row>
    <x:row r="1824">
      <x:c r="E1824" s="300"/>
      <x:c r="M1824" s="300"/>
    </x:row>
    <x:row r="1825">
      <x:c r="E1825" s="300"/>
      <x:c r="M1825" s="300"/>
    </x:row>
    <x:row r="1826">
      <x:c r="E1826" s="300"/>
      <x:c r="M1826" s="300"/>
    </x:row>
    <x:row r="1827">
      <x:c r="E1827" s="300"/>
      <x:c r="M1827" s="300"/>
    </x:row>
    <x:row r="1828">
      <x:c r="E1828" s="300"/>
      <x:c r="M1828" s="300"/>
    </x:row>
    <x:row r="1829">
      <x:c r="E1829" s="300"/>
      <x:c r="M1829" s="300"/>
    </x:row>
    <x:row r="1830">
      <x:c r="E1830" s="300"/>
      <x:c r="M1830" s="300"/>
    </x:row>
    <x:row r="1831">
      <x:c r="E1831" s="300"/>
      <x:c r="M1831" s="300"/>
    </x:row>
    <x:row r="1832">
      <x:c r="E1832" s="300"/>
      <x:c r="M1832" s="300"/>
    </x:row>
    <x:row r="1833">
      <x:c r="E1833" s="300"/>
      <x:c r="M1833" s="300"/>
    </x:row>
    <x:row r="1834">
      <x:c r="E1834" s="300"/>
      <x:c r="M1834" s="300"/>
    </x:row>
    <x:row r="1835">
      <x:c r="E1835" s="300"/>
      <x:c r="M1835" s="300"/>
    </x:row>
    <x:row r="1836">
      <x:c r="E1836" s="300"/>
      <x:c r="M1836" s="300"/>
    </x:row>
    <x:row r="1837">
      <x:c r="E1837" s="300"/>
      <x:c r="M1837" s="300"/>
    </x:row>
    <x:row r="1838">
      <x:c r="E1838" s="300"/>
      <x:c r="M1838" s="300"/>
    </x:row>
    <x:row r="1839">
      <x:c r="E1839" s="300"/>
      <x:c r="M1839" s="300"/>
    </x:row>
    <x:row r="1840">
      <x:c r="E1840" s="300"/>
      <x:c r="M1840" s="300"/>
    </x:row>
    <x:row r="1841">
      <x:c r="E1841" s="300"/>
      <x:c r="M1841" s="300"/>
    </x:row>
    <x:row r="1842">
      <x:c r="E1842" s="300"/>
      <x:c r="M1842" s="300"/>
    </x:row>
    <x:row r="1843">
      <x:c r="E1843" s="300"/>
      <x:c r="M1843" s="300"/>
    </x:row>
    <x:row r="1844">
      <x:c r="E1844" s="300"/>
      <x:c r="M1844" s="300"/>
    </x:row>
    <x:row r="1845">
      <x:c r="E1845" s="300"/>
      <x:c r="M1845" s="300"/>
    </x:row>
    <x:row r="1846">
      <x:c r="E1846" s="300"/>
      <x:c r="M1846" s="300"/>
    </x:row>
    <x:row r="1847">
      <x:c r="E1847" s="300"/>
      <x:c r="M1847" s="300"/>
    </x:row>
    <x:row r="1848">
      <x:c r="E1848" s="300"/>
      <x:c r="M1848" s="300"/>
    </x:row>
    <x:row r="1849">
      <x:c r="E1849" s="300"/>
      <x:c r="M1849" s="300"/>
    </x:row>
    <x:row r="1850">
      <x:c r="E1850" s="300"/>
      <x:c r="M1850" s="300"/>
    </x:row>
    <x:row r="1851">
      <x:c r="E1851" s="300"/>
      <x:c r="M1851" s="300"/>
    </x:row>
    <x:row r="1852">
      <x:c r="E1852" s="300"/>
      <x:c r="M1852" s="300"/>
    </x:row>
    <x:row r="1853">
      <x:c r="E1853" s="300"/>
      <x:c r="M1853" s="300"/>
    </x:row>
    <x:row r="1854">
      <x:c r="E1854" s="300"/>
      <x:c r="M1854" s="300"/>
    </x:row>
    <x:row r="1855">
      <x:c r="E1855" s="300"/>
      <x:c r="M1855" s="300"/>
    </x:row>
    <x:row r="1856">
      <x:c r="E1856" s="300"/>
      <x:c r="M1856" s="300"/>
    </x:row>
    <x:row r="1857">
      <x:c r="E1857" s="300"/>
      <x:c r="M1857" s="300"/>
    </x:row>
    <x:row r="1858">
      <x:c r="E1858" s="300"/>
      <x:c r="M1858" s="300"/>
    </x:row>
    <x:row r="1859">
      <x:c r="E1859" s="300"/>
      <x:c r="M1859" s="300"/>
    </x:row>
    <x:row r="1860">
      <x:c r="E1860" s="300"/>
      <x:c r="M1860" s="300"/>
    </x:row>
    <x:row r="1861">
      <x:c r="E1861" s="300"/>
      <x:c r="M1861" s="300"/>
    </x:row>
    <x:row r="1862">
      <x:c r="E1862" s="300"/>
      <x:c r="M1862" s="300"/>
    </x:row>
    <x:row r="1863">
      <x:c r="E1863" s="300"/>
      <x:c r="M1863" s="300"/>
    </x:row>
    <x:row r="1864">
      <x:c r="E1864" s="300"/>
      <x:c r="M1864" s="300"/>
    </x:row>
    <x:row r="1865">
      <x:c r="E1865" s="300"/>
      <x:c r="M1865" s="300"/>
    </x:row>
    <x:row r="1866">
      <x:c r="E1866" s="300"/>
      <x:c r="M1866" s="300"/>
    </x:row>
    <x:row r="1867">
      <x:c r="E1867" s="300"/>
      <x:c r="M1867" s="300"/>
    </x:row>
    <x:row r="1868">
      <x:c r="E1868" s="300"/>
      <x:c r="M1868" s="300"/>
    </x:row>
    <x:row r="1869">
      <x:c r="E1869" s="300"/>
      <x:c r="M1869" s="300"/>
    </x:row>
    <x:row r="1870">
      <x:c r="E1870" s="300"/>
      <x:c r="M1870" s="300"/>
    </x:row>
    <x:row r="1871">
      <x:c r="E1871" s="300"/>
      <x:c r="M1871" s="300"/>
    </x:row>
    <x:row r="1872">
      <x:c r="E1872" s="300"/>
      <x:c r="M1872" s="300"/>
    </x:row>
    <x:row r="1873">
      <x:c r="E1873" s="300"/>
      <x:c r="M1873" s="300"/>
    </x:row>
    <x:row r="1874">
      <x:c r="E1874" s="300"/>
      <x:c r="M1874" s="300"/>
    </x:row>
    <x:row r="1875">
      <x:c r="E1875" s="300"/>
      <x:c r="M1875" s="300"/>
    </x:row>
    <x:row r="1876">
      <x:c r="E1876" s="300"/>
      <x:c r="M1876" s="300"/>
    </x:row>
    <x:row r="1877">
      <x:c r="E1877" s="300"/>
      <x:c r="M1877" s="300"/>
    </x:row>
    <x:row r="1878">
      <x:c r="E1878" s="300"/>
      <x:c r="M1878" s="300"/>
    </x:row>
    <x:row r="1879">
      <x:c r="E1879" s="300"/>
      <x:c r="M1879" s="300"/>
    </x:row>
    <x:row r="1880">
      <x:c r="E1880" s="300"/>
      <x:c r="M1880" s="300"/>
    </x:row>
    <x:row r="1881">
      <x:c r="E1881" s="300"/>
      <x:c r="M1881" s="300"/>
    </x:row>
    <x:row r="1882">
      <x:c r="E1882" s="300"/>
      <x:c r="M1882" s="300"/>
    </x:row>
    <x:row r="1883">
      <x:c r="E1883" s="300"/>
      <x:c r="M1883" s="300"/>
    </x:row>
    <x:row r="1884">
      <x:c r="E1884" s="300"/>
      <x:c r="M1884" s="300"/>
    </x:row>
    <x:row r="1885">
      <x:c r="E1885" s="300"/>
      <x:c r="M1885" s="300"/>
    </x:row>
    <x:row r="1886">
      <x:c r="E1886" s="300"/>
      <x:c r="M1886" s="300"/>
    </x:row>
    <x:row r="1887">
      <x:c r="E1887" s="300"/>
      <x:c r="M1887" s="300"/>
    </x:row>
    <x:row r="1888">
      <x:c r="E1888" s="300"/>
      <x:c r="M1888" s="300"/>
    </x:row>
    <x:row r="1889">
      <x:c r="E1889" s="300"/>
      <x:c r="M1889" s="300"/>
    </x:row>
    <x:row r="1890">
      <x:c r="E1890" s="300"/>
      <x:c r="M1890" s="300"/>
    </x:row>
    <x:row r="1891">
      <x:c r="E1891" s="300"/>
      <x:c r="M1891" s="300"/>
    </x:row>
    <x:row r="1892">
      <x:c r="E1892" s="300"/>
      <x:c r="M1892" s="300"/>
    </x:row>
    <x:row r="1893">
      <x:c r="E1893" s="300"/>
      <x:c r="M1893" s="300"/>
    </x:row>
    <x:row r="1894">
      <x:c r="E1894" s="300"/>
      <x:c r="M1894" s="300"/>
    </x:row>
    <x:row r="1895">
      <x:c r="E1895" s="300"/>
      <x:c r="M1895" s="300"/>
    </x:row>
    <x:row r="1896">
      <x:c r="E1896" s="300"/>
      <x:c r="M1896" s="300"/>
    </x:row>
    <x:row r="1897">
      <x:c r="E1897" s="300"/>
      <x:c r="M1897" s="300"/>
    </x:row>
    <x:row r="1898">
      <x:c r="E1898" s="300"/>
      <x:c r="M1898" s="300"/>
    </x:row>
    <x:row r="1899">
      <x:c r="E1899" s="300"/>
      <x:c r="M1899" s="300"/>
    </x:row>
    <x:row r="1900">
      <x:c r="E1900" s="300"/>
      <x:c r="M1900" s="300"/>
    </x:row>
    <x:row r="1901">
      <x:c r="E1901" s="300"/>
      <x:c r="M1901" s="300"/>
    </x:row>
    <x:row r="1902">
      <x:c r="E1902" s="300"/>
      <x:c r="M1902" s="300"/>
    </x:row>
    <x:row r="1903">
      <x:c r="E1903" s="300"/>
      <x:c r="M1903" s="300"/>
    </x:row>
    <x:row r="1904">
      <x:c r="E1904" s="300"/>
      <x:c r="M1904" s="300"/>
    </x:row>
    <x:row r="1905">
      <x:c r="E1905" s="300"/>
      <x:c r="M1905" s="300"/>
    </x:row>
    <x:row r="1906">
      <x:c r="E1906" s="300"/>
      <x:c r="M1906" s="300"/>
    </x:row>
    <x:row r="1907">
      <x:c r="E1907" s="300"/>
      <x:c r="M1907" s="300"/>
    </x:row>
    <x:row r="1908">
      <x:c r="E1908" s="300"/>
      <x:c r="M1908" s="300"/>
    </x:row>
    <x:row r="1909">
      <x:c r="E1909" s="300"/>
      <x:c r="M1909" s="300"/>
    </x:row>
    <x:row r="1910">
      <x:c r="E1910" s="300"/>
      <x:c r="M1910" s="300"/>
    </x:row>
    <x:row r="1911">
      <x:c r="E1911" s="300"/>
      <x:c r="M1911" s="300"/>
    </x:row>
    <x:row r="1912">
      <x:c r="E1912" s="300"/>
      <x:c r="M1912" s="300"/>
    </x:row>
    <x:row r="1913">
      <x:c r="E1913" s="300"/>
      <x:c r="M1913" s="300"/>
    </x:row>
    <x:row r="1914">
      <x:c r="E1914" s="300"/>
      <x:c r="M1914" s="300"/>
    </x:row>
    <x:row r="1915">
      <x:c r="E1915" s="300"/>
      <x:c r="M1915" s="300"/>
    </x:row>
    <x:row r="1916">
      <x:c r="E1916" s="300"/>
      <x:c r="M1916" s="300"/>
    </x:row>
    <x:row r="1917">
      <x:c r="E1917" s="300"/>
      <x:c r="M1917" s="300"/>
    </x:row>
    <x:row r="1918">
      <x:c r="E1918" s="300"/>
      <x:c r="M1918" s="300"/>
    </x:row>
    <x:row r="1919">
      <x:c r="E1919" s="300"/>
      <x:c r="M1919" s="300"/>
    </x:row>
    <x:row r="1920">
      <x:c r="E1920" s="300"/>
      <x:c r="M1920" s="300"/>
    </x:row>
    <x:row r="1921">
      <x:c r="E1921" s="300"/>
      <x:c r="M1921" s="300"/>
    </x:row>
    <x:row r="1922">
      <x:c r="E1922" s="300"/>
      <x:c r="M1922" s="300"/>
    </x:row>
    <x:row r="1923">
      <x:c r="E1923" s="300"/>
      <x:c r="M1923" s="300"/>
    </x:row>
    <x:row r="1924">
      <x:c r="E1924" s="300"/>
      <x:c r="M1924" s="300"/>
    </x:row>
    <x:row r="1925">
      <x:c r="E1925" s="300"/>
      <x:c r="M1925" s="300"/>
    </x:row>
    <x:row r="1926">
      <x:c r="E1926" s="300"/>
      <x:c r="M1926" s="300"/>
    </x:row>
    <x:row r="1927">
      <x:c r="E1927" s="300"/>
      <x:c r="M1927" s="300"/>
    </x:row>
    <x:row r="1928">
      <x:c r="E1928" s="300"/>
      <x:c r="M1928" s="300"/>
    </x:row>
    <x:row r="1929">
      <x:c r="E1929" s="300"/>
      <x:c r="M1929" s="300"/>
    </x:row>
    <x:row r="1930">
      <x:c r="E1930" s="300"/>
      <x:c r="M1930" s="300"/>
    </x:row>
    <x:row r="1931">
      <x:c r="E1931" s="300"/>
      <x:c r="M1931" s="300"/>
    </x:row>
    <x:row r="1932">
      <x:c r="E1932" s="300"/>
      <x:c r="M1932" s="300"/>
    </x:row>
    <x:row r="1933">
      <x:c r="E1933" s="300"/>
      <x:c r="M1933" s="300"/>
    </x:row>
    <x:row r="1934">
      <x:c r="E1934" s="300"/>
      <x:c r="M1934" s="300"/>
    </x:row>
    <x:row r="1935">
      <x:c r="E1935" s="300"/>
      <x:c r="M1935" s="300"/>
    </x:row>
    <x:row r="1936">
      <x:c r="E1936" s="300"/>
      <x:c r="M1936" s="300"/>
    </x:row>
    <x:row r="1937">
      <x:c r="E1937" s="300"/>
      <x:c r="M1937" s="300"/>
    </x:row>
    <x:row r="1938">
      <x:c r="E1938" s="300"/>
      <x:c r="M1938" s="300"/>
    </x:row>
    <x:row r="1939">
      <x:c r="E1939" s="300"/>
      <x:c r="M1939" s="300"/>
    </x:row>
    <x:row r="1940">
      <x:c r="E1940" s="300"/>
      <x:c r="M1940" s="300"/>
    </x:row>
    <x:row r="1941">
      <x:c r="E1941" s="300"/>
      <x:c r="M1941" s="300"/>
    </x:row>
    <x:row r="1942">
      <x:c r="E1942" s="300"/>
      <x:c r="M1942" s="300"/>
    </x:row>
    <x:row r="1943">
      <x:c r="E1943" s="300"/>
      <x:c r="M1943" s="300"/>
    </x:row>
    <x:row r="1944">
      <x:c r="E1944" s="300"/>
      <x:c r="M1944" s="300"/>
    </x:row>
    <x:row r="1945">
      <x:c r="E1945" s="300"/>
      <x:c r="M1945" s="300"/>
    </x:row>
    <x:row r="1946">
      <x:c r="E1946" s="300"/>
      <x:c r="M1946" s="300"/>
    </x:row>
    <x:row r="1947">
      <x:c r="E1947" s="300"/>
      <x:c r="M1947" s="300"/>
    </x:row>
    <x:row r="1948">
      <x:c r="E1948" s="300"/>
      <x:c r="M1948" s="300"/>
    </x:row>
    <x:row r="1949">
      <x:c r="E1949" s="300"/>
      <x:c r="M1949" s="300"/>
    </x:row>
    <x:row r="1950">
      <x:c r="E1950" s="300"/>
      <x:c r="M1950" s="300"/>
    </x:row>
    <x:row r="1951">
      <x:c r="E1951" s="300"/>
      <x:c r="M1951" s="300"/>
    </x:row>
    <x:row r="1952">
      <x:c r="E1952" s="300"/>
      <x:c r="M1952" s="300"/>
    </x:row>
    <x:row r="1953">
      <x:c r="E1953" s="300"/>
      <x:c r="M1953" s="300"/>
    </x:row>
    <x:row r="1954">
      <x:c r="E1954" s="300"/>
      <x:c r="M1954" s="300"/>
    </x:row>
    <x:row r="1955">
      <x:c r="E1955" s="300"/>
      <x:c r="M1955" s="300"/>
    </x:row>
    <x:row r="1956">
      <x:c r="E1956" s="300"/>
      <x:c r="M1956" s="300"/>
    </x:row>
    <x:row r="1957">
      <x:c r="E1957" s="300"/>
      <x:c r="M1957" s="300"/>
    </x:row>
    <x:row r="1958">
      <x:c r="E1958" s="300"/>
      <x:c r="M1958" s="300"/>
    </x:row>
    <x:row r="1959">
      <x:c r="E1959" s="300"/>
      <x:c r="M1959" s="300"/>
    </x:row>
    <x:row r="1960">
      <x:c r="E1960" s="300"/>
      <x:c r="M1960" s="300"/>
    </x:row>
    <x:row r="1961">
      <x:c r="E1961" s="300"/>
      <x:c r="M1961" s="300"/>
    </x:row>
    <x:row r="1962">
      <x:c r="E1962" s="300"/>
      <x:c r="M1962" s="300"/>
    </x:row>
    <x:row r="1963">
      <x:c r="E1963" s="300"/>
      <x:c r="M1963" s="300"/>
    </x:row>
    <x:row r="1964">
      <x:c r="E1964" s="300"/>
      <x:c r="M1964" s="300"/>
    </x:row>
    <x:row r="1965">
      <x:c r="E1965" s="300"/>
      <x:c r="M1965" s="300"/>
    </x:row>
    <x:row r="1966">
      <x:c r="E1966" s="300"/>
      <x:c r="M1966" s="300"/>
    </x:row>
    <x:row r="1967">
      <x:c r="E1967" s="300"/>
      <x:c r="M1967" s="300"/>
    </x:row>
    <x:row r="1968">
      <x:c r="E1968" s="300"/>
      <x:c r="M1968" s="300"/>
    </x:row>
    <x:row r="1969">
      <x:c r="E1969" s="300"/>
      <x:c r="M1969" s="300"/>
    </x:row>
    <x:row r="1970">
      <x:c r="E1970" s="300"/>
      <x:c r="M1970" s="300"/>
    </x:row>
    <x:row r="1971">
      <x:c r="E1971" s="300"/>
      <x:c r="M1971" s="300"/>
    </x:row>
    <x:row r="1972">
      <x:c r="E1972" s="300"/>
      <x:c r="M1972" s="300"/>
    </x:row>
    <x:row r="1973">
      <x:c r="E1973" s="300"/>
      <x:c r="M1973" s="300"/>
    </x:row>
    <x:row r="1974">
      <x:c r="E1974" s="300"/>
      <x:c r="M1974" s="300"/>
    </x:row>
    <x:row r="1975">
      <x:c r="E1975" s="300"/>
      <x:c r="M1975" s="300"/>
    </x:row>
    <x:row r="1976">
      <x:c r="E1976" s="300"/>
      <x:c r="M1976" s="300"/>
    </x:row>
    <x:row r="1977">
      <x:c r="E1977" s="300"/>
      <x:c r="M1977" s="300"/>
    </x:row>
    <x:row r="1978">
      <x:c r="E1978" s="300"/>
      <x:c r="M1978" s="300"/>
    </x:row>
    <x:row r="1979">
      <x:c r="E1979" s="300"/>
      <x:c r="M1979" s="300"/>
    </x:row>
    <x:row r="1980">
      <x:c r="E1980" s="300"/>
      <x:c r="M1980" s="300"/>
    </x:row>
    <x:row r="1981">
      <x:c r="E1981" s="300"/>
      <x:c r="M1981" s="300"/>
    </x:row>
    <x:row r="1982">
      <x:c r="E1982" s="300"/>
      <x:c r="M1982" s="300"/>
    </x:row>
    <x:row r="1983">
      <x:c r="E1983" s="300"/>
      <x:c r="M1983" s="300"/>
    </x:row>
    <x:row r="1984">
      <x:c r="E1984" s="300"/>
      <x:c r="M1984" s="300"/>
    </x:row>
    <x:row r="1985">
      <x:c r="E1985" s="300"/>
      <x:c r="M1985" s="300"/>
    </x:row>
    <x:row r="1986">
      <x:c r="E1986" s="300"/>
      <x:c r="M1986" s="300"/>
    </x:row>
    <x:row r="1987">
      <x:c r="E1987" s="300"/>
      <x:c r="M1987" s="300"/>
    </x:row>
    <x:row r="1988">
      <x:c r="E1988" s="300"/>
      <x:c r="M1988" s="300"/>
    </x:row>
    <x:row r="1989">
      <x:c r="E1989" s="300"/>
      <x:c r="M1989" s="300"/>
    </x:row>
    <x:row r="1990">
      <x:c r="E1990" s="300"/>
      <x:c r="M1990" s="300"/>
    </x:row>
    <x:row r="1991">
      <x:c r="E1991" s="300"/>
      <x:c r="M1991" s="300"/>
    </x:row>
    <x:row r="1992">
      <x:c r="E1992" s="300"/>
      <x:c r="M1992" s="300"/>
    </x:row>
    <x:row r="1993">
      <x:c r="E1993" s="300"/>
      <x:c r="M1993" s="300"/>
    </x:row>
    <x:row r="1994">
      <x:c r="E1994" s="300"/>
      <x:c r="M1994" s="300"/>
    </x:row>
    <x:row r="1995">
      <x:c r="E1995" s="300"/>
      <x:c r="M1995" s="300"/>
    </x:row>
    <x:row r="1996">
      <x:c r="E1996" s="300"/>
      <x:c r="M1996" s="300"/>
    </x:row>
    <x:row r="1997">
      <x:c r="E1997" s="300"/>
      <x:c r="M1997" s="300"/>
    </x:row>
    <x:row r="1998">
      <x:c r="E1998" s="300"/>
      <x:c r="M1998" s="300"/>
    </x:row>
    <x:row r="1999">
      <x:c r="E1999" s="300"/>
      <x:c r="M1999" s="300"/>
    </x:row>
    <x:row r="2000">
      <x:c r="E2000" s="300"/>
      <x:c r="M2000" s="300"/>
    </x:row>
  </x:sheetData>
  <x:pageMargins left="0.7" right="0.7" top="0.75" bottom="0.75" header="0.3" footer="0.3"/>
  <x:tableParts count="1">
    <x:tablePart xmlns:r="http://schemas.openxmlformats.org/officeDocument/2006/relationships" r:id="R7d33b1c2a74b468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2" hidden="0" customWidth="1"/>
    <x:col min="4" max="4" width="11" hidden="0" customWidth="1"/>
    <x:col min="5" max="5" width="18" hidden="0" customWidth="1"/>
    <x:col min="6" max="6" width="26" hidden="0" customWidth="1"/>
    <x:col min="7" max="7" width="62" hidden="0" customWidth="1"/>
    <x:col min="8" max="8" width="50" hidden="0" customWidth="1"/>
    <x:col min="9" max="9" width="16" hidden="0" customWidth="1"/>
    <x:col min="10" max="10" width="16" hidden="0" customWidth="1"/>
    <x:col min="11" max="11" width="30" hidden="0" customWidth="1"/>
    <x:col min="12" max="12" width="24" hidden="0" customWidth="1"/>
    <x:col min="13" max="13" width="18" hidden="0" customWidth="1"/>
    <x:col min="14" max="14" width="56" hidden="0" customWidth="1"/>
    <x:col min="15" max="15" width="22" hidden="0" customWidth="1"/>
    <x:col min="16" max="16" width="14" hidden="0" customWidth="1"/>
    <x:col min="17" max="17" width="12" hidden="0" customWidth="1"/>
    <x:col min="18" max="18" width="18" hidden="0" customWidth="1"/>
    <x:col min="19" max="19" width="58" hidden="0" customWidth="1"/>
  </x:cols>
  <x:sheetData>
    <x:row r="1">
      <x:c r="A1" s="38" t="str">
        <x:v>Decision_ID</x:v>
      </x:c>
      <x:c r="B1" s="38" t="str">
        <x:v>ID проблемы</x:v>
      </x:c>
      <x:c r="C1" s="38" t="str">
        <x:v>Период</x:v>
      </x:c>
      <x:c r="D1" s="38" t="str">
        <x:v>Код строки</x:v>
      </x:c>
      <x:c r="E1" s="38" t="str">
        <x:v>Статус решения</x:v>
      </x:c>
      <x:c r="F1" s="38" t="str">
        <x:v>Тип решения</x:v>
      </x:c>
      <x:c r="G1" s="38" t="str">
        <x:v>Что сделать</x:v>
      </x:c>
      <x:c r="H1" s="38" t="str">
        <x:v>Приоритетный источник</x:v>
      </x:c>
      <x:c r="I1" s="38" t="str">
        <x:v>Подтверждённый Дт</x:v>
      </x:c>
      <x:c r="J1" s="38" t="str">
        <x:v>Подтверждённый Кт</x:v>
      </x:c>
      <x:c r="K1" s="38" t="str">
        <x:v>Подтверждённая статья ERP</x:v>
      </x:c>
      <x:c r="L1" s="38" t="str">
        <x:v>Подтверждённый ЦФО</x:v>
      </x:c>
      <x:c r="M1" s="38" t="str">
        <x:v>Сумма корректировки</x:v>
      </x:c>
      <x:c r="N1" s="38" t="str">
        <x:v>Обоснование</x:v>
      </x:c>
      <x:c r="O1" s="38" t="str">
        <x:v>Кто подтвердил</x:v>
      </x:c>
      <x:c r="P1" s="38" t="str">
        <x:v>Дата решения</x:v>
      </x:c>
      <x:c r="Q1" s="38" t="str">
        <x:v>Версия</x:v>
      </x:c>
      <x:c r="R1" s="38" t="str">
        <x:v>Изменить правило</x:v>
      </x:c>
      <x:c r="S1" s="38" t="str">
        <x:v>Проверка в 1С</x:v>
      </x:c>
    </x:row>
    <x:row r="2">
      <x:c r="A2" s="154" t="str"/>
      <x:c r="B2" s="154" t="str"/>
      <x:c r="C2" s="154" t="str"/>
      <x:c r="D2" s="154" t="str"/>
      <x:c r="E2" s="154" t="str">
        <x:v>ОЖИДАЕТ</x:v>
      </x:c>
      <x:c r="F2" s="154" t="str">
        <x:v>REQUEST_DATA</x:v>
      </x:c>
      <x:c r="G2" s="154" t="str"/>
      <x:c r="H2" s="154" t="str"/>
      <x:c r="I2" s="154" t="str"/>
      <x:c r="J2" s="154" t="str"/>
      <x:c r="K2" s="154" t="str"/>
      <x:c r="L2" s="154" t="str"/>
      <x:c r="M2" s="302" t="str"/>
      <x:c r="N2" s="154" t="str"/>
      <x:c r="O2" s="154" t="str"/>
      <x:c r="P2" s="154" t="str"/>
      <x:c r="Q2" s="154" t="str">
        <x:v>v01</x:v>
      </x:c>
      <x:c r="R2" s="154" t="str"/>
      <x:c r="S2" s="154" t="str"/>
    </x:row>
    <x:row r="3">
      <x:c r="A3" s="154"/>
      <x:c r="B3" s="154"/>
      <x:c r="C3" s="154"/>
      <x:c r="D3" s="154"/>
      <x:c r="E3" s="154"/>
      <x:c r="F3" s="154"/>
      <x:c r="G3" s="154"/>
      <x:c r="H3" s="154"/>
      <x:c r="I3" s="154"/>
      <x:c r="J3" s="154"/>
      <x:c r="K3" s="154"/>
      <x:c r="L3" s="154"/>
      <x:c r="M3" s="302"/>
      <x:c r="N3" s="154"/>
      <x:c r="O3" s="154"/>
      <x:c r="P3" s="154"/>
      <x:c r="Q3" s="154"/>
      <x:c r="R3" s="154"/>
      <x:c r="S3" s="154"/>
    </x:row>
    <x:row r="4">
      <x:c r="A4" s="154"/>
      <x:c r="B4" s="154"/>
      <x:c r="C4" s="154"/>
      <x:c r="D4" s="154"/>
      <x:c r="E4" s="154"/>
      <x:c r="F4" s="154"/>
      <x:c r="G4" s="154"/>
      <x:c r="H4" s="154"/>
      <x:c r="I4" s="154"/>
      <x:c r="J4" s="154"/>
      <x:c r="K4" s="154"/>
      <x:c r="L4" s="154"/>
      <x:c r="M4" s="302"/>
      <x:c r="N4" s="154"/>
      <x:c r="O4" s="154"/>
      <x:c r="P4" s="154"/>
      <x:c r="Q4" s="154"/>
      <x:c r="R4" s="154"/>
      <x:c r="S4" s="154"/>
    </x:row>
    <x:row r="5">
      <x:c r="A5" s="154"/>
      <x:c r="B5" s="154"/>
      <x:c r="C5" s="154"/>
      <x:c r="D5" s="154"/>
      <x:c r="E5" s="154"/>
      <x:c r="F5" s="154"/>
      <x:c r="G5" s="154"/>
      <x:c r="H5" s="154"/>
      <x:c r="I5" s="154"/>
      <x:c r="J5" s="154"/>
      <x:c r="K5" s="154"/>
      <x:c r="L5" s="154"/>
      <x:c r="M5" s="302"/>
      <x:c r="N5" s="154"/>
      <x:c r="O5" s="154"/>
      <x:c r="P5" s="154"/>
      <x:c r="Q5" s="154"/>
      <x:c r="R5" s="154"/>
      <x:c r="S5" s="154"/>
    </x:row>
    <x:row r="6">
      <x:c r="A6" s="154"/>
      <x:c r="B6" s="154"/>
      <x:c r="C6" s="154"/>
      <x:c r="D6" s="154"/>
      <x:c r="E6" s="154"/>
      <x:c r="F6" s="154"/>
      <x:c r="G6" s="154"/>
      <x:c r="H6" s="154"/>
      <x:c r="I6" s="154"/>
      <x:c r="J6" s="154"/>
      <x:c r="K6" s="154"/>
      <x:c r="L6" s="154"/>
      <x:c r="M6" s="302"/>
      <x:c r="N6" s="154"/>
      <x:c r="O6" s="154"/>
      <x:c r="P6" s="154"/>
      <x:c r="Q6" s="154"/>
      <x:c r="R6" s="154"/>
      <x:c r="S6" s="154"/>
    </x:row>
    <x:row r="7">
      <x:c r="A7" s="154"/>
      <x:c r="B7" s="154"/>
      <x:c r="C7" s="154"/>
      <x:c r="D7" s="154"/>
      <x:c r="E7" s="154"/>
      <x:c r="F7" s="154"/>
      <x:c r="G7" s="154"/>
      <x:c r="H7" s="154"/>
      <x:c r="I7" s="154"/>
      <x:c r="J7" s="154"/>
      <x:c r="K7" s="154"/>
      <x:c r="L7" s="154"/>
      <x:c r="M7" s="302"/>
      <x:c r="N7" s="154"/>
      <x:c r="O7" s="154"/>
      <x:c r="P7" s="154"/>
      <x:c r="Q7" s="154"/>
      <x:c r="R7" s="154"/>
      <x:c r="S7" s="154"/>
    </x:row>
    <x:row r="8">
      <x:c r="A8" s="154"/>
      <x:c r="B8" s="154"/>
      <x:c r="C8" s="154"/>
      <x:c r="D8" s="154"/>
      <x:c r="E8" s="154"/>
      <x:c r="F8" s="154"/>
      <x:c r="G8" s="154"/>
      <x:c r="H8" s="154"/>
      <x:c r="I8" s="154"/>
      <x:c r="J8" s="154"/>
      <x:c r="K8" s="154"/>
      <x:c r="L8" s="154"/>
      <x:c r="M8" s="302"/>
      <x:c r="N8" s="154"/>
      <x:c r="O8" s="154"/>
      <x:c r="P8" s="154"/>
      <x:c r="Q8" s="154"/>
      <x:c r="R8" s="154"/>
      <x:c r="S8" s="154"/>
    </x:row>
    <x:row r="9">
      <x:c r="A9" s="154"/>
      <x:c r="B9" s="154"/>
      <x:c r="C9" s="154"/>
      <x:c r="D9" s="154"/>
      <x:c r="E9" s="154"/>
      <x:c r="F9" s="154"/>
      <x:c r="G9" s="154"/>
      <x:c r="H9" s="154"/>
      <x:c r="I9" s="154"/>
      <x:c r="J9" s="154"/>
      <x:c r="K9" s="154"/>
      <x:c r="L9" s="154"/>
      <x:c r="M9" s="302"/>
      <x:c r="N9" s="154"/>
      <x:c r="O9" s="154"/>
      <x:c r="P9" s="154"/>
      <x:c r="Q9" s="154"/>
      <x:c r="R9" s="154"/>
      <x:c r="S9" s="154"/>
    </x:row>
    <x:row r="10">
      <x:c r="A10" s="154"/>
      <x:c r="B10" s="154"/>
      <x:c r="C10" s="154"/>
      <x:c r="D10" s="154"/>
      <x:c r="E10" s="154"/>
      <x:c r="F10" s="154"/>
      <x:c r="G10" s="154"/>
      <x:c r="H10" s="154"/>
      <x:c r="I10" s="154"/>
      <x:c r="J10" s="154"/>
      <x:c r="K10" s="154"/>
      <x:c r="L10" s="154"/>
      <x:c r="M10" s="302"/>
      <x:c r="N10" s="154"/>
      <x:c r="O10" s="154"/>
      <x:c r="P10" s="154"/>
      <x:c r="Q10" s="154"/>
      <x:c r="R10" s="154"/>
      <x:c r="S10" s="154"/>
    </x:row>
    <x:row r="11">
      <x:c r="A11" s="154"/>
      <x:c r="B11" s="154"/>
      <x:c r="C11" s="154"/>
      <x:c r="D11" s="154"/>
      <x:c r="E11" s="154"/>
      <x:c r="F11" s="154"/>
      <x:c r="G11" s="154"/>
      <x:c r="H11" s="154"/>
      <x:c r="I11" s="154"/>
      <x:c r="J11" s="154"/>
      <x:c r="K11" s="154"/>
      <x:c r="L11" s="154"/>
      <x:c r="M11" s="302"/>
      <x:c r="N11" s="154"/>
      <x:c r="O11" s="154"/>
      <x:c r="P11" s="154"/>
      <x:c r="Q11" s="154"/>
      <x:c r="R11" s="154"/>
      <x:c r="S11" s="154"/>
    </x:row>
    <x:row r="12">
      <x:c r="A12" s="154"/>
      <x:c r="B12" s="154"/>
      <x:c r="C12" s="154"/>
      <x:c r="D12" s="154"/>
      <x:c r="E12" s="154"/>
      <x:c r="F12" s="154"/>
      <x:c r="G12" s="154"/>
      <x:c r="H12" s="154"/>
      <x:c r="I12" s="154"/>
      <x:c r="J12" s="154"/>
      <x:c r="K12" s="154"/>
      <x:c r="L12" s="154"/>
      <x:c r="M12" s="302"/>
      <x:c r="N12" s="154"/>
      <x:c r="O12" s="154"/>
      <x:c r="P12" s="154"/>
      <x:c r="Q12" s="154"/>
      <x:c r="R12" s="154"/>
      <x:c r="S12" s="154"/>
    </x:row>
    <x:row r="13">
      <x:c r="A13" s="154"/>
      <x:c r="B13" s="154"/>
      <x:c r="C13" s="154"/>
      <x:c r="D13" s="154"/>
      <x:c r="E13" s="154"/>
      <x:c r="F13" s="154"/>
      <x:c r="G13" s="154"/>
      <x:c r="H13" s="154"/>
      <x:c r="I13" s="154"/>
      <x:c r="J13" s="154"/>
      <x:c r="K13" s="154"/>
      <x:c r="L13" s="154"/>
      <x:c r="M13" s="302"/>
      <x:c r="N13" s="154"/>
      <x:c r="O13" s="154"/>
      <x:c r="P13" s="154"/>
      <x:c r="Q13" s="154"/>
      <x:c r="R13" s="154"/>
      <x:c r="S13" s="154"/>
    </x:row>
    <x:row r="14">
      <x:c r="A14" s="154"/>
      <x:c r="B14" s="154"/>
      <x:c r="C14" s="154"/>
      <x:c r="D14" s="154"/>
      <x:c r="E14" s="154"/>
      <x:c r="F14" s="154"/>
      <x:c r="G14" s="154"/>
      <x:c r="H14" s="154"/>
      <x:c r="I14" s="154"/>
      <x:c r="J14" s="154"/>
      <x:c r="K14" s="154"/>
      <x:c r="L14" s="154"/>
      <x:c r="M14" s="302"/>
      <x:c r="N14" s="154"/>
      <x:c r="O14" s="154"/>
      <x:c r="P14" s="154"/>
      <x:c r="Q14" s="154"/>
      <x:c r="R14" s="154"/>
      <x:c r="S14" s="154"/>
    </x:row>
    <x:row r="15">
      <x:c r="A15" s="154"/>
      <x:c r="B15" s="154"/>
      <x:c r="C15" s="154"/>
      <x:c r="D15" s="154"/>
      <x:c r="E15" s="154"/>
      <x:c r="F15" s="154"/>
      <x:c r="G15" s="154"/>
      <x:c r="H15" s="154"/>
      <x:c r="I15" s="154"/>
      <x:c r="J15" s="154"/>
      <x:c r="K15" s="154"/>
      <x:c r="L15" s="154"/>
      <x:c r="M15" s="302"/>
      <x:c r="N15" s="154"/>
      <x:c r="O15" s="154"/>
      <x:c r="P15" s="154"/>
      <x:c r="Q15" s="154"/>
      <x:c r="R15" s="154"/>
      <x:c r="S15" s="154"/>
    </x:row>
    <x:row r="16">
      <x:c r="A16" s="154"/>
      <x:c r="B16" s="154"/>
      <x:c r="C16" s="154"/>
      <x:c r="D16" s="154"/>
      <x:c r="E16" s="154"/>
      <x:c r="F16" s="154"/>
      <x:c r="G16" s="154"/>
      <x:c r="H16" s="154"/>
      <x:c r="I16" s="154"/>
      <x:c r="J16" s="154"/>
      <x:c r="K16" s="154"/>
      <x:c r="L16" s="154"/>
      <x:c r="M16" s="302"/>
      <x:c r="N16" s="154"/>
      <x:c r="O16" s="154"/>
      <x:c r="P16" s="154"/>
      <x:c r="Q16" s="154"/>
      <x:c r="R16" s="154"/>
      <x:c r="S16" s="154"/>
    </x:row>
    <x:row r="17">
      <x:c r="A17" s="154"/>
      <x:c r="B17" s="154"/>
      <x:c r="C17" s="154"/>
      <x:c r="D17" s="154"/>
      <x:c r="E17" s="154"/>
      <x:c r="F17" s="154"/>
      <x:c r="G17" s="154"/>
      <x:c r="H17" s="154"/>
      <x:c r="I17" s="154"/>
      <x:c r="J17" s="154"/>
      <x:c r="K17" s="154"/>
      <x:c r="L17" s="154"/>
      <x:c r="M17" s="302"/>
      <x:c r="N17" s="154"/>
      <x:c r="O17" s="154"/>
      <x:c r="P17" s="154"/>
      <x:c r="Q17" s="154"/>
      <x:c r="R17" s="154"/>
      <x:c r="S17" s="154"/>
    </x:row>
    <x:row r="18">
      <x:c r="A18" s="154"/>
      <x:c r="B18" s="154"/>
      <x:c r="C18" s="154"/>
      <x:c r="D18" s="154"/>
      <x:c r="E18" s="154"/>
      <x:c r="F18" s="154"/>
      <x:c r="G18" s="154"/>
      <x:c r="H18" s="154"/>
      <x:c r="I18" s="154"/>
      <x:c r="J18" s="154"/>
      <x:c r="K18" s="154"/>
      <x:c r="L18" s="154"/>
      <x:c r="M18" s="302"/>
      <x:c r="N18" s="154"/>
      <x:c r="O18" s="154"/>
      <x:c r="P18" s="154"/>
      <x:c r="Q18" s="154"/>
      <x:c r="R18" s="154"/>
      <x:c r="S18" s="154"/>
    </x:row>
    <x:row r="19">
      <x:c r="A19" s="154"/>
      <x:c r="B19" s="154"/>
      <x:c r="C19" s="154"/>
      <x:c r="D19" s="154"/>
      <x:c r="E19" s="154"/>
      <x:c r="F19" s="154"/>
      <x:c r="G19" s="154"/>
      <x:c r="H19" s="154"/>
      <x:c r="I19" s="154"/>
      <x:c r="J19" s="154"/>
      <x:c r="K19" s="154"/>
      <x:c r="L19" s="154"/>
      <x:c r="M19" s="302"/>
      <x:c r="N19" s="154"/>
      <x:c r="O19" s="154"/>
      <x:c r="P19" s="154"/>
      <x:c r="Q19" s="154"/>
      <x:c r="R19" s="154"/>
      <x:c r="S19" s="154"/>
    </x:row>
    <x:row r="20">
      <x:c r="A20" s="154"/>
      <x:c r="B20" s="154"/>
      <x:c r="C20" s="154"/>
      <x:c r="D20" s="154"/>
      <x:c r="E20" s="154"/>
      <x:c r="F20" s="154"/>
      <x:c r="G20" s="154"/>
      <x:c r="H20" s="154"/>
      <x:c r="I20" s="154"/>
      <x:c r="J20" s="154"/>
      <x:c r="K20" s="154"/>
      <x:c r="L20" s="154"/>
      <x:c r="M20" s="302"/>
      <x:c r="N20" s="154"/>
      <x:c r="O20" s="154"/>
      <x:c r="P20" s="154"/>
      <x:c r="Q20" s="154"/>
      <x:c r="R20" s="154"/>
      <x:c r="S20" s="154"/>
    </x:row>
    <x:row r="21">
      <x:c r="A21" s="154"/>
      <x:c r="B21" s="154"/>
      <x:c r="C21" s="154"/>
      <x:c r="D21" s="154"/>
      <x:c r="E21" s="154"/>
      <x:c r="F21" s="154"/>
      <x:c r="G21" s="154"/>
      <x:c r="H21" s="154"/>
      <x:c r="I21" s="154"/>
      <x:c r="J21" s="154"/>
      <x:c r="K21" s="154"/>
      <x:c r="L21" s="154"/>
      <x:c r="M21" s="302"/>
      <x:c r="N21" s="154"/>
      <x:c r="O21" s="154"/>
      <x:c r="P21" s="154"/>
      <x:c r="Q21" s="154"/>
      <x:c r="R21" s="154"/>
      <x:c r="S21" s="154"/>
    </x:row>
    <x:row r="22">
      <x:c r="A22" s="154"/>
      <x:c r="B22" s="154"/>
      <x:c r="C22" s="154"/>
      <x:c r="D22" s="154"/>
      <x:c r="E22" s="154"/>
      <x:c r="F22" s="154"/>
      <x:c r="G22" s="154"/>
      <x:c r="H22" s="154"/>
      <x:c r="I22" s="154"/>
      <x:c r="J22" s="154"/>
      <x:c r="K22" s="154"/>
      <x:c r="L22" s="154"/>
      <x:c r="M22" s="302"/>
      <x:c r="N22" s="154"/>
      <x:c r="O22" s="154"/>
      <x:c r="P22" s="154"/>
      <x:c r="Q22" s="154"/>
      <x:c r="R22" s="154"/>
      <x:c r="S22" s="154"/>
    </x:row>
    <x:row r="23">
      <x:c r="A23" s="154"/>
      <x:c r="B23" s="154"/>
      <x:c r="C23" s="154"/>
      <x:c r="D23" s="154"/>
      <x:c r="E23" s="154"/>
      <x:c r="F23" s="154"/>
      <x:c r="G23" s="154"/>
      <x:c r="H23" s="154"/>
      <x:c r="I23" s="154"/>
      <x:c r="J23" s="154"/>
      <x:c r="K23" s="154"/>
      <x:c r="L23" s="154"/>
      <x:c r="M23" s="302"/>
      <x:c r="N23" s="154"/>
      <x:c r="O23" s="154"/>
      <x:c r="P23" s="154"/>
      <x:c r="Q23" s="154"/>
      <x:c r="R23" s="154"/>
      <x:c r="S23" s="154"/>
    </x:row>
    <x:row r="24">
      <x:c r="A24" s="154"/>
      <x:c r="B24" s="154"/>
      <x:c r="C24" s="154"/>
      <x:c r="D24" s="154"/>
      <x:c r="E24" s="154"/>
      <x:c r="F24" s="154"/>
      <x:c r="G24" s="154"/>
      <x:c r="H24" s="154"/>
      <x:c r="I24" s="154"/>
      <x:c r="J24" s="154"/>
      <x:c r="K24" s="154"/>
      <x:c r="L24" s="154"/>
      <x:c r="M24" s="302"/>
      <x:c r="N24" s="154"/>
      <x:c r="O24" s="154"/>
      <x:c r="P24" s="154"/>
      <x:c r="Q24" s="154"/>
      <x:c r="R24" s="154"/>
      <x:c r="S24" s="154"/>
    </x:row>
    <x:row r="25">
      <x:c r="A25" s="154"/>
      <x:c r="B25" s="154"/>
      <x:c r="C25" s="154"/>
      <x:c r="D25" s="154"/>
      <x:c r="E25" s="154"/>
      <x:c r="F25" s="154"/>
      <x:c r="G25" s="154"/>
      <x:c r="H25" s="154"/>
      <x:c r="I25" s="154"/>
      <x:c r="J25" s="154"/>
      <x:c r="K25" s="154"/>
      <x:c r="L25" s="154"/>
      <x:c r="M25" s="302"/>
      <x:c r="N25" s="154"/>
      <x:c r="O25" s="154"/>
      <x:c r="P25" s="154"/>
      <x:c r="Q25" s="154"/>
      <x:c r="R25" s="154"/>
      <x:c r="S25" s="154"/>
    </x:row>
    <x:row r="26">
      <x:c r="A26" s="154"/>
      <x:c r="B26" s="154"/>
      <x:c r="C26" s="154"/>
      <x:c r="D26" s="154"/>
      <x:c r="E26" s="154"/>
      <x:c r="F26" s="154"/>
      <x:c r="G26" s="154"/>
      <x:c r="H26" s="154"/>
      <x:c r="I26" s="154"/>
      <x:c r="J26" s="154"/>
      <x:c r="K26" s="154"/>
      <x:c r="L26" s="154"/>
      <x:c r="M26" s="302"/>
      <x:c r="N26" s="154"/>
      <x:c r="O26" s="154"/>
      <x:c r="P26" s="154"/>
      <x:c r="Q26" s="154"/>
      <x:c r="R26" s="154"/>
      <x:c r="S26" s="154"/>
    </x:row>
    <x:row r="27">
      <x:c r="A27" s="154"/>
      <x:c r="B27" s="154"/>
      <x:c r="C27" s="154"/>
      <x:c r="D27" s="154"/>
      <x:c r="E27" s="154"/>
      <x:c r="F27" s="154"/>
      <x:c r="G27" s="154"/>
      <x:c r="H27" s="154"/>
      <x:c r="I27" s="154"/>
      <x:c r="J27" s="154"/>
      <x:c r="K27" s="154"/>
      <x:c r="L27" s="154"/>
      <x:c r="M27" s="302"/>
      <x:c r="N27" s="154"/>
      <x:c r="O27" s="154"/>
      <x:c r="P27" s="154"/>
      <x:c r="Q27" s="154"/>
      <x:c r="R27" s="154"/>
      <x:c r="S27" s="154"/>
    </x:row>
    <x:row r="28">
      <x:c r="A28" s="154"/>
      <x:c r="B28" s="154"/>
      <x:c r="C28" s="154"/>
      <x:c r="D28" s="154"/>
      <x:c r="E28" s="154"/>
      <x:c r="F28" s="154"/>
      <x:c r="G28" s="154"/>
      <x:c r="H28" s="154"/>
      <x:c r="I28" s="154"/>
      <x:c r="J28" s="154"/>
      <x:c r="K28" s="154"/>
      <x:c r="L28" s="154"/>
      <x:c r="M28" s="302"/>
      <x:c r="N28" s="154"/>
      <x:c r="O28" s="154"/>
      <x:c r="P28" s="154"/>
      <x:c r="Q28" s="154"/>
      <x:c r="R28" s="154"/>
      <x:c r="S28" s="154"/>
    </x:row>
    <x:row r="29">
      <x:c r="A29" s="154"/>
      <x:c r="B29" s="154"/>
      <x:c r="C29" s="154"/>
      <x:c r="D29" s="154"/>
      <x:c r="E29" s="154"/>
      <x:c r="F29" s="154"/>
      <x:c r="G29" s="154"/>
      <x:c r="H29" s="154"/>
      <x:c r="I29" s="154"/>
      <x:c r="J29" s="154"/>
      <x:c r="K29" s="154"/>
      <x:c r="L29" s="154"/>
      <x:c r="M29" s="302"/>
      <x:c r="N29" s="154"/>
      <x:c r="O29" s="154"/>
      <x:c r="P29" s="154"/>
      <x:c r="Q29" s="154"/>
      <x:c r="R29" s="154"/>
      <x:c r="S29" s="154"/>
    </x:row>
    <x:row r="30">
      <x:c r="A30" s="154"/>
      <x:c r="B30" s="154"/>
      <x:c r="C30" s="154"/>
      <x:c r="D30" s="154"/>
      <x:c r="E30" s="154"/>
      <x:c r="F30" s="154"/>
      <x:c r="G30" s="154"/>
      <x:c r="H30" s="154"/>
      <x:c r="I30" s="154"/>
      <x:c r="J30" s="154"/>
      <x:c r="K30" s="154"/>
      <x:c r="L30" s="154"/>
      <x:c r="M30" s="302"/>
      <x:c r="N30" s="154"/>
      <x:c r="O30" s="154"/>
      <x:c r="P30" s="154"/>
      <x:c r="Q30" s="154"/>
      <x:c r="R30" s="154"/>
      <x:c r="S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302"/>
      <x:c r="N31" s="154"/>
      <x:c r="O31" s="154"/>
      <x:c r="P31" s="154"/>
      <x:c r="Q31" s="154"/>
      <x:c r="R31" s="154"/>
      <x:c r="S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302"/>
      <x:c r="N32" s="154"/>
      <x:c r="O32" s="154"/>
      <x:c r="P32" s="154"/>
      <x:c r="Q32" s="154"/>
      <x:c r="R32" s="154"/>
      <x:c r="S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302"/>
      <x:c r="N33" s="154"/>
      <x:c r="O33" s="154"/>
      <x:c r="P33" s="154"/>
      <x:c r="Q33" s="154"/>
      <x:c r="R33" s="154"/>
      <x:c r="S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302"/>
      <x:c r="N34" s="154"/>
      <x:c r="O34" s="154"/>
      <x:c r="P34" s="154"/>
      <x:c r="Q34" s="154"/>
      <x:c r="R34" s="154"/>
      <x:c r="S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302"/>
      <x:c r="N35" s="154"/>
      <x:c r="O35" s="154"/>
      <x:c r="P35" s="154"/>
      <x:c r="Q35" s="154"/>
      <x:c r="R35" s="154"/>
      <x:c r="S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302"/>
      <x:c r="N36" s="154"/>
      <x:c r="O36" s="154"/>
      <x:c r="P36" s="154"/>
      <x:c r="Q36" s="154"/>
      <x:c r="R36" s="154"/>
      <x:c r="S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302"/>
      <x:c r="N37" s="154"/>
      <x:c r="O37" s="154"/>
      <x:c r="P37" s="154"/>
      <x:c r="Q37" s="154"/>
      <x:c r="R37" s="154"/>
      <x:c r="S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302"/>
      <x:c r="N38" s="154"/>
      <x:c r="O38" s="154"/>
      <x:c r="P38" s="154"/>
      <x:c r="Q38" s="154"/>
      <x:c r="R38" s="154"/>
      <x:c r="S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302"/>
      <x:c r="N39" s="154"/>
      <x:c r="O39" s="154"/>
      <x:c r="P39" s="154"/>
      <x:c r="Q39" s="154"/>
      <x:c r="R39" s="154"/>
      <x:c r="S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302"/>
      <x:c r="N40" s="154"/>
      <x:c r="O40" s="154"/>
      <x:c r="P40" s="154"/>
      <x:c r="Q40" s="154"/>
      <x:c r="R40" s="154"/>
      <x:c r="S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302"/>
      <x:c r="N41" s="154"/>
      <x:c r="O41" s="154"/>
      <x:c r="P41" s="154"/>
      <x:c r="Q41" s="154"/>
      <x:c r="R41" s="154"/>
      <x:c r="S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302"/>
      <x:c r="N42" s="154"/>
      <x:c r="O42" s="154"/>
      <x:c r="P42" s="154"/>
      <x:c r="Q42" s="154"/>
      <x:c r="R42" s="154"/>
      <x:c r="S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302"/>
      <x:c r="N43" s="154"/>
      <x:c r="O43" s="154"/>
      <x:c r="P43" s="154"/>
      <x:c r="Q43" s="154"/>
      <x:c r="R43" s="154"/>
      <x:c r="S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302"/>
      <x:c r="N44" s="154"/>
      <x:c r="O44" s="154"/>
      <x:c r="P44" s="154"/>
      <x:c r="Q44" s="154"/>
      <x:c r="R44" s="154"/>
      <x:c r="S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302"/>
      <x:c r="N45" s="154"/>
      <x:c r="O45" s="154"/>
      <x:c r="P45" s="154"/>
      <x:c r="Q45" s="154"/>
      <x:c r="R45" s="154"/>
      <x:c r="S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302"/>
      <x:c r="N46" s="154"/>
      <x:c r="O46" s="154"/>
      <x:c r="P46" s="154"/>
      <x:c r="Q46" s="154"/>
      <x:c r="R46" s="154"/>
      <x:c r="S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302"/>
      <x:c r="N47" s="154"/>
      <x:c r="O47" s="154"/>
      <x:c r="P47" s="154"/>
      <x:c r="Q47" s="154"/>
      <x:c r="R47" s="154"/>
      <x:c r="S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302"/>
      <x:c r="N48" s="154"/>
      <x:c r="O48" s="154"/>
      <x:c r="P48" s="154"/>
      <x:c r="Q48" s="154"/>
      <x:c r="R48" s="154"/>
      <x:c r="S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302"/>
      <x:c r="N49" s="154"/>
      <x:c r="O49" s="154"/>
      <x:c r="P49" s="154"/>
      <x:c r="Q49" s="154"/>
      <x:c r="R49" s="154"/>
      <x:c r="S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302"/>
      <x:c r="N50" s="154"/>
      <x:c r="O50" s="154"/>
      <x:c r="P50" s="154"/>
      <x:c r="Q50" s="154"/>
      <x:c r="R50" s="154"/>
      <x:c r="S50" s="154"/>
    </x:row>
    <x:row r="51">
      <x:c r="M51" s="300"/>
    </x:row>
    <x:row r="52">
      <x:c r="M52" s="300"/>
    </x:row>
    <x:row r="53">
      <x:c r="M53" s="300"/>
    </x:row>
    <x:row r="54">
      <x:c r="M54" s="300"/>
    </x:row>
    <x:row r="55">
      <x:c r="M55" s="300"/>
    </x:row>
    <x:row r="56">
      <x:c r="M56" s="300"/>
    </x:row>
    <x:row r="57">
      <x:c r="M57" s="300"/>
    </x:row>
    <x:row r="58">
      <x:c r="M58" s="300"/>
    </x:row>
    <x:row r="59">
      <x:c r="M59" s="300"/>
    </x:row>
    <x:row r="60">
      <x:c r="M60" s="300"/>
    </x:row>
    <x:row r="61">
      <x:c r="M61" s="300"/>
    </x:row>
    <x:row r="62">
      <x:c r="M62" s="300"/>
    </x:row>
    <x:row r="63">
      <x:c r="M63" s="300"/>
    </x:row>
    <x:row r="64">
      <x:c r="M64" s="300"/>
    </x:row>
    <x:row r="65">
      <x:c r="M65" s="300"/>
    </x:row>
    <x:row r="66">
      <x:c r="M66" s="300"/>
    </x:row>
    <x:row r="67">
      <x:c r="M67" s="300"/>
    </x:row>
    <x:row r="68">
      <x:c r="M68" s="300"/>
    </x:row>
    <x:row r="69">
      <x:c r="M69" s="300"/>
    </x:row>
    <x:row r="70">
      <x:c r="M70" s="300"/>
    </x:row>
    <x:row r="71">
      <x:c r="M71" s="300"/>
    </x:row>
    <x:row r="72">
      <x:c r="M72" s="300"/>
    </x:row>
    <x:row r="73">
      <x:c r="M73" s="300"/>
    </x:row>
    <x:row r="74">
      <x:c r="M74" s="300"/>
    </x:row>
    <x:row r="75">
      <x:c r="M75" s="300"/>
    </x:row>
    <x:row r="76">
      <x:c r="M76" s="300"/>
    </x:row>
    <x:row r="77">
      <x:c r="M77" s="300"/>
    </x:row>
    <x:row r="78">
      <x:c r="M78" s="300"/>
    </x:row>
    <x:row r="79">
      <x:c r="M79" s="300"/>
    </x:row>
    <x:row r="80">
      <x:c r="M80" s="300"/>
    </x:row>
    <x:row r="81">
      <x:c r="M81" s="300"/>
    </x:row>
    <x:row r="82">
      <x:c r="M82" s="300"/>
    </x:row>
    <x:row r="83">
      <x:c r="M83" s="300"/>
    </x:row>
    <x:row r="84">
      <x:c r="M84" s="300"/>
    </x:row>
    <x:row r="85">
      <x:c r="M85" s="300"/>
    </x:row>
    <x:row r="86">
      <x:c r="M86" s="300"/>
    </x:row>
    <x:row r="87">
      <x:c r="M87" s="300"/>
    </x:row>
    <x:row r="88">
      <x:c r="M88" s="300"/>
    </x:row>
    <x:row r="89">
      <x:c r="M89" s="300"/>
    </x:row>
    <x:row r="90">
      <x:c r="M90" s="300"/>
    </x:row>
    <x:row r="91">
      <x:c r="M91" s="300"/>
    </x:row>
    <x:row r="92">
      <x:c r="M92" s="300"/>
    </x:row>
    <x:row r="93">
      <x:c r="M93" s="300"/>
    </x:row>
    <x:row r="94">
      <x:c r="M94" s="300"/>
    </x:row>
    <x:row r="95">
      <x:c r="M95" s="300"/>
    </x:row>
    <x:row r="96">
      <x:c r="M96" s="300"/>
    </x:row>
    <x:row r="97">
      <x:c r="M97" s="300"/>
    </x:row>
    <x:row r="98">
      <x:c r="M98" s="300"/>
    </x:row>
    <x:row r="99">
      <x:c r="M99" s="300"/>
    </x:row>
    <x:row r="100">
      <x:c r="M100" s="300"/>
    </x:row>
    <x:row r="101">
      <x:c r="M101" s="300"/>
    </x:row>
    <x:row r="102">
      <x:c r="M102" s="300"/>
    </x:row>
    <x:row r="103">
      <x:c r="M103" s="300"/>
    </x:row>
    <x:row r="104">
      <x:c r="M104" s="300"/>
    </x:row>
    <x:row r="105">
      <x:c r="M105" s="300"/>
    </x:row>
    <x:row r="106">
      <x:c r="M106" s="300"/>
    </x:row>
    <x:row r="107">
      <x:c r="M107" s="300"/>
    </x:row>
    <x:row r="108">
      <x:c r="M108" s="300"/>
    </x:row>
    <x:row r="109">
      <x:c r="M109" s="300"/>
    </x:row>
    <x:row r="110">
      <x:c r="M110" s="300"/>
    </x:row>
    <x:row r="111">
      <x:c r="M111" s="300"/>
    </x:row>
    <x:row r="112">
      <x:c r="M112" s="300"/>
    </x:row>
    <x:row r="113">
      <x:c r="M113" s="300"/>
    </x:row>
    <x:row r="114">
      <x:c r="M114" s="300"/>
    </x:row>
    <x:row r="115">
      <x:c r="M115" s="300"/>
    </x:row>
    <x:row r="116">
      <x:c r="M116" s="300"/>
    </x:row>
    <x:row r="117">
      <x:c r="M117" s="300"/>
    </x:row>
    <x:row r="118">
      <x:c r="M118" s="300"/>
    </x:row>
    <x:row r="119">
      <x:c r="M119" s="300"/>
    </x:row>
    <x:row r="120">
      <x:c r="M120" s="300"/>
    </x:row>
    <x:row r="121">
      <x:c r="M121" s="300"/>
    </x:row>
    <x:row r="122">
      <x:c r="M122" s="300"/>
    </x:row>
    <x:row r="123">
      <x:c r="M123" s="300"/>
    </x:row>
    <x:row r="124">
      <x:c r="M124" s="300"/>
    </x:row>
    <x:row r="125">
      <x:c r="M125" s="300"/>
    </x:row>
    <x:row r="126">
      <x:c r="M126" s="300"/>
    </x:row>
    <x:row r="127">
      <x:c r="M127" s="300"/>
    </x:row>
    <x:row r="128">
      <x:c r="M128" s="300"/>
    </x:row>
    <x:row r="129">
      <x:c r="M129" s="300"/>
    </x:row>
    <x:row r="130">
      <x:c r="M130" s="300"/>
    </x:row>
    <x:row r="131">
      <x:c r="M131" s="300"/>
    </x:row>
    <x:row r="132">
      <x:c r="M132" s="300"/>
    </x:row>
    <x:row r="133">
      <x:c r="M133" s="300"/>
    </x:row>
    <x:row r="134">
      <x:c r="M134" s="300"/>
    </x:row>
    <x:row r="135">
      <x:c r="M135" s="300"/>
    </x:row>
    <x:row r="136">
      <x:c r="M136" s="300"/>
    </x:row>
    <x:row r="137">
      <x:c r="M137" s="300"/>
    </x:row>
    <x:row r="138">
      <x:c r="M138" s="300"/>
    </x:row>
    <x:row r="139">
      <x:c r="M139" s="300"/>
    </x:row>
    <x:row r="140">
      <x:c r="M140" s="300"/>
    </x:row>
    <x:row r="141">
      <x:c r="M141" s="300"/>
    </x:row>
    <x:row r="142">
      <x:c r="M142" s="300"/>
    </x:row>
    <x:row r="143">
      <x:c r="M143" s="300"/>
    </x:row>
    <x:row r="144">
      <x:c r="M144" s="300"/>
    </x:row>
    <x:row r="145">
      <x:c r="M145" s="300"/>
    </x:row>
    <x:row r="146">
      <x:c r="M146" s="300"/>
    </x:row>
    <x:row r="147">
      <x:c r="M147" s="300"/>
    </x:row>
    <x:row r="148">
      <x:c r="M148" s="300"/>
    </x:row>
    <x:row r="149">
      <x:c r="M149" s="300"/>
    </x:row>
    <x:row r="150">
      <x:c r="M150" s="300"/>
    </x:row>
    <x:row r="151">
      <x:c r="M151" s="300"/>
    </x:row>
    <x:row r="152">
      <x:c r="M152" s="300"/>
    </x:row>
    <x:row r="153">
      <x:c r="M153" s="300"/>
    </x:row>
    <x:row r="154">
      <x:c r="M154" s="300"/>
    </x:row>
    <x:row r="155">
      <x:c r="M155" s="300"/>
    </x:row>
    <x:row r="156">
      <x:c r="M156" s="300"/>
    </x:row>
    <x:row r="157">
      <x:c r="M157" s="300"/>
    </x:row>
    <x:row r="158">
      <x:c r="M158" s="300"/>
    </x:row>
    <x:row r="159">
      <x:c r="M159" s="300"/>
    </x:row>
    <x:row r="160">
      <x:c r="M160" s="300"/>
    </x:row>
    <x:row r="161">
      <x:c r="M161" s="300"/>
    </x:row>
    <x:row r="162">
      <x:c r="M162" s="300"/>
    </x:row>
    <x:row r="163">
      <x:c r="M163" s="300"/>
    </x:row>
    <x:row r="164">
      <x:c r="M164" s="300"/>
    </x:row>
    <x:row r="165">
      <x:c r="M165" s="300"/>
    </x:row>
    <x:row r="166">
      <x:c r="M166" s="300"/>
    </x:row>
    <x:row r="167">
      <x:c r="M167" s="300"/>
    </x:row>
    <x:row r="168">
      <x:c r="M168" s="300"/>
    </x:row>
    <x:row r="169">
      <x:c r="M169" s="300"/>
    </x:row>
    <x:row r="170">
      <x:c r="M170" s="300"/>
    </x:row>
    <x:row r="171">
      <x:c r="M171" s="300"/>
    </x:row>
    <x:row r="172">
      <x:c r="M172" s="300"/>
    </x:row>
    <x:row r="173">
      <x:c r="M173" s="300"/>
    </x:row>
    <x:row r="174">
      <x:c r="M174" s="300"/>
    </x:row>
    <x:row r="175">
      <x:c r="M175" s="300"/>
    </x:row>
    <x:row r="176">
      <x:c r="M176" s="300"/>
    </x:row>
    <x:row r="177">
      <x:c r="M177" s="300"/>
    </x:row>
    <x:row r="178">
      <x:c r="M178" s="300"/>
    </x:row>
    <x:row r="179">
      <x:c r="M179" s="300"/>
    </x:row>
    <x:row r="180">
      <x:c r="M180" s="300"/>
    </x:row>
    <x:row r="181">
      <x:c r="M181" s="300"/>
    </x:row>
    <x:row r="182">
      <x:c r="M182" s="300"/>
    </x:row>
    <x:row r="183">
      <x:c r="M183" s="300"/>
    </x:row>
    <x:row r="184">
      <x:c r="M184" s="300"/>
    </x:row>
    <x:row r="185">
      <x:c r="M185" s="300"/>
    </x:row>
    <x:row r="186">
      <x:c r="M186" s="300"/>
    </x:row>
    <x:row r="187">
      <x:c r="M187" s="300"/>
    </x:row>
    <x:row r="188">
      <x:c r="M188" s="300"/>
    </x:row>
    <x:row r="189">
      <x:c r="M189" s="300"/>
    </x:row>
    <x:row r="190">
      <x:c r="M190" s="300"/>
    </x:row>
    <x:row r="191">
      <x:c r="M191" s="300"/>
    </x:row>
    <x:row r="192">
      <x:c r="M192" s="300"/>
    </x:row>
    <x:row r="193">
      <x:c r="M193" s="300"/>
    </x:row>
    <x:row r="194">
      <x:c r="M194" s="300"/>
    </x:row>
    <x:row r="195">
      <x:c r="M195" s="300"/>
    </x:row>
    <x:row r="196">
      <x:c r="M196" s="300"/>
    </x:row>
    <x:row r="197">
      <x:c r="M197" s="300"/>
    </x:row>
    <x:row r="198">
      <x:c r="M198" s="300"/>
    </x:row>
    <x:row r="199">
      <x:c r="M199" s="300"/>
    </x:row>
    <x:row r="200">
      <x:c r="M200" s="300"/>
    </x:row>
    <x:row r="201">
      <x:c r="M201" s="300"/>
    </x:row>
    <x:row r="202">
      <x:c r="M202" s="300"/>
    </x:row>
    <x:row r="203">
      <x:c r="M203" s="300"/>
    </x:row>
    <x:row r="204">
      <x:c r="M204" s="300"/>
    </x:row>
    <x:row r="205">
      <x:c r="M205" s="300"/>
    </x:row>
    <x:row r="206">
      <x:c r="M206" s="300"/>
    </x:row>
    <x:row r="207">
      <x:c r="M207" s="300"/>
    </x:row>
    <x:row r="208">
      <x:c r="M208" s="300"/>
    </x:row>
    <x:row r="209">
      <x:c r="M209" s="300"/>
    </x:row>
    <x:row r="210">
      <x:c r="M210" s="300"/>
    </x:row>
    <x:row r="211">
      <x:c r="M211" s="300"/>
    </x:row>
    <x:row r="212">
      <x:c r="M212" s="300"/>
    </x:row>
    <x:row r="213">
      <x:c r="M213" s="300"/>
    </x:row>
    <x:row r="214">
      <x:c r="M214" s="300"/>
    </x:row>
    <x:row r="215">
      <x:c r="M215" s="300"/>
    </x:row>
    <x:row r="216">
      <x:c r="M216" s="300"/>
    </x:row>
    <x:row r="217">
      <x:c r="M217" s="300"/>
    </x:row>
    <x:row r="218">
      <x:c r="M218" s="300"/>
    </x:row>
    <x:row r="219">
      <x:c r="M219" s="300"/>
    </x:row>
    <x:row r="220">
      <x:c r="M220" s="300"/>
    </x:row>
    <x:row r="221">
      <x:c r="M221" s="300"/>
    </x:row>
    <x:row r="222">
      <x:c r="M222" s="300"/>
    </x:row>
    <x:row r="223">
      <x:c r="M223" s="300"/>
    </x:row>
    <x:row r="224">
      <x:c r="M224" s="300"/>
    </x:row>
    <x:row r="225">
      <x:c r="M225" s="300"/>
    </x:row>
    <x:row r="226">
      <x:c r="M226" s="300"/>
    </x:row>
    <x:row r="227">
      <x:c r="M227" s="300"/>
    </x:row>
    <x:row r="228">
      <x:c r="M228" s="300"/>
    </x:row>
    <x:row r="229">
      <x:c r="M229" s="300"/>
    </x:row>
    <x:row r="230">
      <x:c r="M230" s="300"/>
    </x:row>
    <x:row r="231">
      <x:c r="M231" s="300"/>
    </x:row>
    <x:row r="232">
      <x:c r="M232" s="300"/>
    </x:row>
    <x:row r="233">
      <x:c r="M233" s="300"/>
    </x:row>
    <x:row r="234">
      <x:c r="M234" s="300"/>
    </x:row>
    <x:row r="235">
      <x:c r="M235" s="300"/>
    </x:row>
    <x:row r="236">
      <x:c r="M236" s="300"/>
    </x:row>
    <x:row r="237">
      <x:c r="M237" s="300"/>
    </x:row>
    <x:row r="238">
      <x:c r="M238" s="300"/>
    </x:row>
    <x:row r="239">
      <x:c r="M239" s="300"/>
    </x:row>
    <x:row r="240">
      <x:c r="M240" s="300"/>
    </x:row>
    <x:row r="241">
      <x:c r="M241" s="300"/>
    </x:row>
    <x:row r="242">
      <x:c r="M242" s="300"/>
    </x:row>
    <x:row r="243">
      <x:c r="M243" s="300"/>
    </x:row>
    <x:row r="244">
      <x:c r="M244" s="300"/>
    </x:row>
    <x:row r="245">
      <x:c r="M245" s="300"/>
    </x:row>
    <x:row r="246">
      <x:c r="M246" s="300"/>
    </x:row>
    <x:row r="247">
      <x:c r="M247" s="300"/>
    </x:row>
    <x:row r="248">
      <x:c r="M248" s="300"/>
    </x:row>
    <x:row r="249">
      <x:c r="M249" s="300"/>
    </x:row>
    <x:row r="250">
      <x:c r="M250" s="300"/>
    </x:row>
    <x:row r="251">
      <x:c r="M251" s="300"/>
    </x:row>
    <x:row r="252">
      <x:c r="M252" s="300"/>
    </x:row>
    <x:row r="253">
      <x:c r="M253" s="300"/>
    </x:row>
    <x:row r="254">
      <x:c r="M254" s="300"/>
    </x:row>
    <x:row r="255">
      <x:c r="M255" s="300"/>
    </x:row>
    <x:row r="256">
      <x:c r="M256" s="300"/>
    </x:row>
    <x:row r="257">
      <x:c r="M257" s="300"/>
    </x:row>
    <x:row r="258">
      <x:c r="M258" s="300"/>
    </x:row>
    <x:row r="259">
      <x:c r="M259" s="300"/>
    </x:row>
    <x:row r="260">
      <x:c r="M260" s="300"/>
    </x:row>
    <x:row r="261">
      <x:c r="M261" s="300"/>
    </x:row>
    <x:row r="262">
      <x:c r="M262" s="300"/>
    </x:row>
    <x:row r="263">
      <x:c r="M263" s="300"/>
    </x:row>
    <x:row r="264">
      <x:c r="M264" s="300"/>
    </x:row>
    <x:row r="265">
      <x:c r="M265" s="300"/>
    </x:row>
    <x:row r="266">
      <x:c r="M266" s="300"/>
    </x:row>
    <x:row r="267">
      <x:c r="M267" s="300"/>
    </x:row>
    <x:row r="268">
      <x:c r="M268" s="300"/>
    </x:row>
    <x:row r="269">
      <x:c r="M269" s="300"/>
    </x:row>
    <x:row r="270">
      <x:c r="M270" s="300"/>
    </x:row>
    <x:row r="271">
      <x:c r="M271" s="300"/>
    </x:row>
    <x:row r="272">
      <x:c r="M272" s="300"/>
    </x:row>
    <x:row r="273">
      <x:c r="M273" s="300"/>
    </x:row>
    <x:row r="274">
      <x:c r="M274" s="300"/>
    </x:row>
    <x:row r="275">
      <x:c r="M275" s="300"/>
    </x:row>
    <x:row r="276">
      <x:c r="M276" s="300"/>
    </x:row>
    <x:row r="277">
      <x:c r="M277" s="300"/>
    </x:row>
    <x:row r="278">
      <x:c r="M278" s="300"/>
    </x:row>
    <x:row r="279">
      <x:c r="M279" s="300"/>
    </x:row>
    <x:row r="280">
      <x:c r="M280" s="300"/>
    </x:row>
    <x:row r="281">
      <x:c r="M281" s="300"/>
    </x:row>
    <x:row r="282">
      <x:c r="M282" s="300"/>
    </x:row>
    <x:row r="283">
      <x:c r="M283" s="300"/>
    </x:row>
    <x:row r="284">
      <x:c r="M284" s="300"/>
    </x:row>
    <x:row r="285">
      <x:c r="M285" s="300"/>
    </x:row>
    <x:row r="286">
      <x:c r="M286" s="300"/>
    </x:row>
    <x:row r="287">
      <x:c r="M287" s="300"/>
    </x:row>
    <x:row r="288">
      <x:c r="M288" s="300"/>
    </x:row>
    <x:row r="289">
      <x:c r="M289" s="300"/>
    </x:row>
    <x:row r="290">
      <x:c r="M290" s="300"/>
    </x:row>
    <x:row r="291">
      <x:c r="M291" s="300"/>
    </x:row>
    <x:row r="292">
      <x:c r="M292" s="300"/>
    </x:row>
    <x:row r="293">
      <x:c r="M293" s="300"/>
    </x:row>
    <x:row r="294">
      <x:c r="M294" s="300"/>
    </x:row>
    <x:row r="295">
      <x:c r="M295" s="300"/>
    </x:row>
    <x:row r="296">
      <x:c r="M296" s="300"/>
    </x:row>
    <x:row r="297">
      <x:c r="M297" s="300"/>
    </x:row>
    <x:row r="298">
      <x:c r="M298" s="300"/>
    </x:row>
    <x:row r="299">
      <x:c r="M299" s="300"/>
    </x:row>
    <x:row r="300">
      <x:c r="M300" s="300"/>
    </x:row>
    <x:row r="301">
      <x:c r="M301" s="300"/>
    </x:row>
    <x:row r="302">
      <x:c r="M302" s="300"/>
    </x:row>
    <x:row r="303">
      <x:c r="M303" s="300"/>
    </x:row>
    <x:row r="304">
      <x:c r="M304" s="300"/>
    </x:row>
    <x:row r="305">
      <x:c r="M305" s="300"/>
    </x:row>
    <x:row r="306">
      <x:c r="M306" s="300"/>
    </x:row>
    <x:row r="307">
      <x:c r="M307" s="300"/>
    </x:row>
    <x:row r="308">
      <x:c r="M308" s="300"/>
    </x:row>
    <x:row r="309">
      <x:c r="M309" s="300"/>
    </x:row>
    <x:row r="310">
      <x:c r="M310" s="300"/>
    </x:row>
    <x:row r="311">
      <x:c r="M311" s="300"/>
    </x:row>
    <x:row r="312">
      <x:c r="M312" s="300"/>
    </x:row>
    <x:row r="313">
      <x:c r="M313" s="300"/>
    </x:row>
    <x:row r="314">
      <x:c r="M314" s="300"/>
    </x:row>
    <x:row r="315">
      <x:c r="M315" s="300"/>
    </x:row>
    <x:row r="316">
      <x:c r="M316" s="300"/>
    </x:row>
    <x:row r="317">
      <x:c r="M317" s="300"/>
    </x:row>
    <x:row r="318">
      <x:c r="M318" s="300"/>
    </x:row>
    <x:row r="319">
      <x:c r="M319" s="300"/>
    </x:row>
    <x:row r="320">
      <x:c r="M320" s="300"/>
    </x:row>
    <x:row r="321">
      <x:c r="M321" s="300"/>
    </x:row>
    <x:row r="322">
      <x:c r="M322" s="300"/>
    </x:row>
    <x:row r="323">
      <x:c r="M323" s="300"/>
    </x:row>
    <x:row r="324">
      <x:c r="M324" s="300"/>
    </x:row>
    <x:row r="325">
      <x:c r="M325" s="300"/>
    </x:row>
    <x:row r="326">
      <x:c r="M326" s="300"/>
    </x:row>
    <x:row r="327">
      <x:c r="M327" s="300"/>
    </x:row>
    <x:row r="328">
      <x:c r="M328" s="300"/>
    </x:row>
    <x:row r="329">
      <x:c r="M329" s="300"/>
    </x:row>
    <x:row r="330">
      <x:c r="M330" s="300"/>
    </x:row>
    <x:row r="331">
      <x:c r="M331" s="300"/>
    </x:row>
    <x:row r="332">
      <x:c r="M332" s="300"/>
    </x:row>
    <x:row r="333">
      <x:c r="M333" s="300"/>
    </x:row>
    <x:row r="334">
      <x:c r="M334" s="300"/>
    </x:row>
    <x:row r="335">
      <x:c r="M335" s="300"/>
    </x:row>
    <x:row r="336">
      <x:c r="M336" s="300"/>
    </x:row>
    <x:row r="337">
      <x:c r="M337" s="300"/>
    </x:row>
    <x:row r="338">
      <x:c r="M338" s="300"/>
    </x:row>
    <x:row r="339">
      <x:c r="M339" s="300"/>
    </x:row>
    <x:row r="340">
      <x:c r="M340" s="300"/>
    </x:row>
    <x:row r="341">
      <x:c r="M341" s="300"/>
    </x:row>
    <x:row r="342">
      <x:c r="M342" s="300"/>
    </x:row>
    <x:row r="343">
      <x:c r="M343" s="300"/>
    </x:row>
    <x:row r="344">
      <x:c r="M344" s="300"/>
    </x:row>
    <x:row r="345">
      <x:c r="M345" s="300"/>
    </x:row>
    <x:row r="346">
      <x:c r="M346" s="300"/>
    </x:row>
    <x:row r="347">
      <x:c r="M347" s="300"/>
    </x:row>
    <x:row r="348">
      <x:c r="M348" s="300"/>
    </x:row>
    <x:row r="349">
      <x:c r="M349" s="300"/>
    </x:row>
    <x:row r="350">
      <x:c r="M350" s="300"/>
    </x:row>
    <x:row r="351">
      <x:c r="M351" s="300"/>
    </x:row>
    <x:row r="352">
      <x:c r="M352" s="300"/>
    </x:row>
    <x:row r="353">
      <x:c r="M353" s="300"/>
    </x:row>
    <x:row r="354">
      <x:c r="M354" s="300"/>
    </x:row>
    <x:row r="355">
      <x:c r="M355" s="300"/>
    </x:row>
    <x:row r="356">
      <x:c r="M356" s="300"/>
    </x:row>
    <x:row r="357">
      <x:c r="M357" s="300"/>
    </x:row>
    <x:row r="358">
      <x:c r="M358" s="300"/>
    </x:row>
    <x:row r="359">
      <x:c r="M359" s="300"/>
    </x:row>
    <x:row r="360">
      <x:c r="M360" s="300"/>
    </x:row>
    <x:row r="361">
      <x:c r="M361" s="300"/>
    </x:row>
    <x:row r="362">
      <x:c r="M362" s="300"/>
    </x:row>
    <x:row r="363">
      <x:c r="M363" s="300"/>
    </x:row>
    <x:row r="364">
      <x:c r="M364" s="300"/>
    </x:row>
    <x:row r="365">
      <x:c r="M365" s="300"/>
    </x:row>
    <x:row r="366">
      <x:c r="M366" s="300"/>
    </x:row>
    <x:row r="367">
      <x:c r="M367" s="300"/>
    </x:row>
    <x:row r="368">
      <x:c r="M368" s="300"/>
    </x:row>
    <x:row r="369">
      <x:c r="M369" s="300"/>
    </x:row>
    <x:row r="370">
      <x:c r="M370" s="300"/>
    </x:row>
    <x:row r="371">
      <x:c r="M371" s="300"/>
    </x:row>
    <x:row r="372">
      <x:c r="M372" s="300"/>
    </x:row>
    <x:row r="373">
      <x:c r="M373" s="300"/>
    </x:row>
    <x:row r="374">
      <x:c r="M374" s="300"/>
    </x:row>
    <x:row r="375">
      <x:c r="M375" s="300"/>
    </x:row>
    <x:row r="376">
      <x:c r="M376" s="300"/>
    </x:row>
    <x:row r="377">
      <x:c r="M377" s="300"/>
    </x:row>
    <x:row r="378">
      <x:c r="M378" s="300"/>
    </x:row>
    <x:row r="379">
      <x:c r="M379" s="300"/>
    </x:row>
    <x:row r="380">
      <x:c r="M380" s="300"/>
    </x:row>
    <x:row r="381">
      <x:c r="M381" s="300"/>
    </x:row>
    <x:row r="382">
      <x:c r="M382" s="300"/>
    </x:row>
    <x:row r="383">
      <x:c r="M383" s="300"/>
    </x:row>
    <x:row r="384">
      <x:c r="M384" s="300"/>
    </x:row>
    <x:row r="385">
      <x:c r="M385" s="300"/>
    </x:row>
    <x:row r="386">
      <x:c r="M386" s="300"/>
    </x:row>
    <x:row r="387">
      <x:c r="M387" s="300"/>
    </x:row>
    <x:row r="388">
      <x:c r="M388" s="300"/>
    </x:row>
    <x:row r="389">
      <x:c r="M389" s="300"/>
    </x:row>
    <x:row r="390">
      <x:c r="M390" s="300"/>
    </x:row>
    <x:row r="391">
      <x:c r="M391" s="300"/>
    </x:row>
    <x:row r="392">
      <x:c r="M392" s="300"/>
    </x:row>
    <x:row r="393">
      <x:c r="M393" s="300"/>
    </x:row>
    <x:row r="394">
      <x:c r="M394" s="300"/>
    </x:row>
    <x:row r="395">
      <x:c r="M395" s="300"/>
    </x:row>
    <x:row r="396">
      <x:c r="M396" s="300"/>
    </x:row>
    <x:row r="397">
      <x:c r="M397" s="300"/>
    </x:row>
    <x:row r="398">
      <x:c r="M398" s="300"/>
    </x:row>
    <x:row r="399">
      <x:c r="M399" s="300"/>
    </x:row>
    <x:row r="400">
      <x:c r="M400" s="300"/>
    </x:row>
    <x:row r="401">
      <x:c r="M401" s="300"/>
    </x:row>
    <x:row r="402">
      <x:c r="M402" s="300"/>
    </x:row>
    <x:row r="403">
      <x:c r="M403" s="300"/>
    </x:row>
    <x:row r="404">
      <x:c r="M404" s="300"/>
    </x:row>
    <x:row r="405">
      <x:c r="M405" s="300"/>
    </x:row>
    <x:row r="406">
      <x:c r="M406" s="300"/>
    </x:row>
    <x:row r="407">
      <x:c r="M407" s="300"/>
    </x:row>
    <x:row r="408">
      <x:c r="M408" s="300"/>
    </x:row>
    <x:row r="409">
      <x:c r="M409" s="300"/>
    </x:row>
    <x:row r="410">
      <x:c r="M410" s="300"/>
    </x:row>
    <x:row r="411">
      <x:c r="M411" s="300"/>
    </x:row>
    <x:row r="412">
      <x:c r="M412" s="300"/>
    </x:row>
    <x:row r="413">
      <x:c r="M413" s="300"/>
    </x:row>
    <x:row r="414">
      <x:c r="M414" s="300"/>
    </x:row>
    <x:row r="415">
      <x:c r="M415" s="300"/>
    </x:row>
    <x:row r="416">
      <x:c r="M416" s="300"/>
    </x:row>
    <x:row r="417">
      <x:c r="M417" s="300"/>
    </x:row>
    <x:row r="418">
      <x:c r="M418" s="300"/>
    </x:row>
    <x:row r="419">
      <x:c r="M419" s="300"/>
    </x:row>
    <x:row r="420">
      <x:c r="M420" s="300"/>
    </x:row>
    <x:row r="421">
      <x:c r="M421" s="300"/>
    </x:row>
    <x:row r="422">
      <x:c r="M422" s="300"/>
    </x:row>
    <x:row r="423">
      <x:c r="M423" s="300"/>
    </x:row>
    <x:row r="424">
      <x:c r="M424" s="300"/>
    </x:row>
    <x:row r="425">
      <x:c r="M425" s="300"/>
    </x:row>
    <x:row r="426">
      <x:c r="M426" s="300"/>
    </x:row>
    <x:row r="427">
      <x:c r="M427" s="300"/>
    </x:row>
    <x:row r="428">
      <x:c r="M428" s="300"/>
    </x:row>
    <x:row r="429">
      <x:c r="M429" s="300"/>
    </x:row>
    <x:row r="430">
      <x:c r="M430" s="300"/>
    </x:row>
    <x:row r="431">
      <x:c r="M431" s="300"/>
    </x:row>
    <x:row r="432">
      <x:c r="M432" s="300"/>
    </x:row>
    <x:row r="433">
      <x:c r="M433" s="300"/>
    </x:row>
    <x:row r="434">
      <x:c r="M434" s="300"/>
    </x:row>
    <x:row r="435">
      <x:c r="M435" s="300"/>
    </x:row>
    <x:row r="436">
      <x:c r="M436" s="300"/>
    </x:row>
    <x:row r="437">
      <x:c r="M437" s="300"/>
    </x:row>
    <x:row r="438">
      <x:c r="M438" s="300"/>
    </x:row>
    <x:row r="439">
      <x:c r="M439" s="300"/>
    </x:row>
    <x:row r="440">
      <x:c r="M440" s="300"/>
    </x:row>
    <x:row r="441">
      <x:c r="M441" s="300"/>
    </x:row>
    <x:row r="442">
      <x:c r="M442" s="300"/>
    </x:row>
    <x:row r="443">
      <x:c r="M443" s="300"/>
    </x:row>
    <x:row r="444">
      <x:c r="M444" s="300"/>
    </x:row>
    <x:row r="445">
      <x:c r="M445" s="300"/>
    </x:row>
    <x:row r="446">
      <x:c r="M446" s="300"/>
    </x:row>
    <x:row r="447">
      <x:c r="M447" s="300"/>
    </x:row>
    <x:row r="448">
      <x:c r="M448" s="300"/>
    </x:row>
    <x:row r="449">
      <x:c r="M449" s="300"/>
    </x:row>
    <x:row r="450">
      <x:c r="M450" s="300"/>
    </x:row>
    <x:row r="451">
      <x:c r="M451" s="300"/>
    </x:row>
    <x:row r="452">
      <x:c r="M452" s="300"/>
    </x:row>
    <x:row r="453">
      <x:c r="M453" s="300"/>
    </x:row>
    <x:row r="454">
      <x:c r="M454" s="300"/>
    </x:row>
    <x:row r="455">
      <x:c r="M455" s="300"/>
    </x:row>
    <x:row r="456">
      <x:c r="M456" s="300"/>
    </x:row>
    <x:row r="457">
      <x:c r="M457" s="300"/>
    </x:row>
    <x:row r="458">
      <x:c r="M458" s="300"/>
    </x:row>
    <x:row r="459">
      <x:c r="M459" s="300"/>
    </x:row>
    <x:row r="460">
      <x:c r="M460" s="300"/>
    </x:row>
    <x:row r="461">
      <x:c r="M461" s="300"/>
    </x:row>
    <x:row r="462">
      <x:c r="M462" s="300"/>
    </x:row>
    <x:row r="463">
      <x:c r="M463" s="300"/>
    </x:row>
    <x:row r="464">
      <x:c r="M464" s="300"/>
    </x:row>
    <x:row r="465">
      <x:c r="M465" s="300"/>
    </x:row>
    <x:row r="466">
      <x:c r="M466" s="300"/>
    </x:row>
    <x:row r="467">
      <x:c r="M467" s="300"/>
    </x:row>
    <x:row r="468">
      <x:c r="M468" s="300"/>
    </x:row>
    <x:row r="469">
      <x:c r="M469" s="300"/>
    </x:row>
    <x:row r="470">
      <x:c r="M470" s="300"/>
    </x:row>
    <x:row r="471">
      <x:c r="M471" s="300"/>
    </x:row>
    <x:row r="472">
      <x:c r="M472" s="300"/>
    </x:row>
    <x:row r="473">
      <x:c r="M473" s="300"/>
    </x:row>
    <x:row r="474">
      <x:c r="M474" s="300"/>
    </x:row>
    <x:row r="475">
      <x:c r="M475" s="300"/>
    </x:row>
    <x:row r="476">
      <x:c r="M476" s="300"/>
    </x:row>
    <x:row r="477">
      <x:c r="M477" s="300"/>
    </x:row>
    <x:row r="478">
      <x:c r="M478" s="300"/>
    </x:row>
    <x:row r="479">
      <x:c r="M479" s="300"/>
    </x:row>
    <x:row r="480">
      <x:c r="M480" s="300"/>
    </x:row>
    <x:row r="481">
      <x:c r="M481" s="300"/>
    </x:row>
    <x:row r="482">
      <x:c r="M482" s="300"/>
    </x:row>
    <x:row r="483">
      <x:c r="M483" s="300"/>
    </x:row>
    <x:row r="484">
      <x:c r="M484" s="300"/>
    </x:row>
    <x:row r="485">
      <x:c r="M485" s="300"/>
    </x:row>
    <x:row r="486">
      <x:c r="M486" s="300"/>
    </x:row>
    <x:row r="487">
      <x:c r="M487" s="300"/>
    </x:row>
    <x:row r="488">
      <x:c r="M488" s="300"/>
    </x:row>
    <x:row r="489">
      <x:c r="M489" s="300"/>
    </x:row>
    <x:row r="490">
      <x:c r="M490" s="300"/>
    </x:row>
    <x:row r="491">
      <x:c r="M491" s="300"/>
    </x:row>
    <x:row r="492">
      <x:c r="M492" s="300"/>
    </x:row>
    <x:row r="493">
      <x:c r="M493" s="300"/>
    </x:row>
    <x:row r="494">
      <x:c r="M494" s="300"/>
    </x:row>
    <x:row r="495">
      <x:c r="M495" s="300"/>
    </x:row>
    <x:row r="496">
      <x:c r="M496" s="300"/>
    </x:row>
    <x:row r="497">
      <x:c r="M497" s="300"/>
    </x:row>
    <x:row r="498">
      <x:c r="M498" s="300"/>
    </x:row>
    <x:row r="499">
      <x:c r="M499" s="300"/>
    </x:row>
    <x:row r="500">
      <x:c r="M500" s="300"/>
    </x:row>
    <x:row r="501">
      <x:c r="M501" s="300"/>
    </x:row>
    <x:row r="502">
      <x:c r="M502" s="300"/>
    </x:row>
    <x:row r="503">
      <x:c r="M503" s="300"/>
    </x:row>
    <x:row r="504">
      <x:c r="M504" s="300"/>
    </x:row>
    <x:row r="505">
      <x:c r="M505" s="300"/>
    </x:row>
    <x:row r="506">
      <x:c r="M506" s="300"/>
    </x:row>
    <x:row r="507">
      <x:c r="M507" s="300"/>
    </x:row>
    <x:row r="508">
      <x:c r="M508" s="300"/>
    </x:row>
    <x:row r="509">
      <x:c r="M509" s="300"/>
    </x:row>
    <x:row r="510">
      <x:c r="M510" s="300"/>
    </x:row>
    <x:row r="511">
      <x:c r="M511" s="300"/>
    </x:row>
    <x:row r="512">
      <x:c r="M512" s="300"/>
    </x:row>
    <x:row r="513">
      <x:c r="M513" s="300"/>
    </x:row>
    <x:row r="514">
      <x:c r="M514" s="300"/>
    </x:row>
    <x:row r="515">
      <x:c r="M515" s="300"/>
    </x:row>
    <x:row r="516">
      <x:c r="M516" s="300"/>
    </x:row>
    <x:row r="517">
      <x:c r="M517" s="300"/>
    </x:row>
    <x:row r="518">
      <x:c r="M518" s="300"/>
    </x:row>
    <x:row r="519">
      <x:c r="M519" s="300"/>
    </x:row>
    <x:row r="520">
      <x:c r="M520" s="300"/>
    </x:row>
    <x:row r="521">
      <x:c r="M521" s="300"/>
    </x:row>
    <x:row r="522">
      <x:c r="M522" s="300"/>
    </x:row>
    <x:row r="523">
      <x:c r="M523" s="300"/>
    </x:row>
    <x:row r="524">
      <x:c r="M524" s="300"/>
    </x:row>
    <x:row r="525">
      <x:c r="M525" s="300"/>
    </x:row>
    <x:row r="526">
      <x:c r="M526" s="300"/>
    </x:row>
    <x:row r="527">
      <x:c r="M527" s="300"/>
    </x:row>
    <x:row r="528">
      <x:c r="M528" s="300"/>
    </x:row>
    <x:row r="529">
      <x:c r="M529" s="300"/>
    </x:row>
    <x:row r="530">
      <x:c r="M530" s="300"/>
    </x:row>
    <x:row r="531">
      <x:c r="M531" s="300"/>
    </x:row>
    <x:row r="532">
      <x:c r="M532" s="300"/>
    </x:row>
    <x:row r="533">
      <x:c r="M533" s="300"/>
    </x:row>
    <x:row r="534">
      <x:c r="M534" s="300"/>
    </x:row>
    <x:row r="535">
      <x:c r="M535" s="300"/>
    </x:row>
    <x:row r="536">
      <x:c r="M536" s="300"/>
    </x:row>
    <x:row r="537">
      <x:c r="M537" s="300"/>
    </x:row>
    <x:row r="538">
      <x:c r="M538" s="300"/>
    </x:row>
    <x:row r="539">
      <x:c r="M539" s="300"/>
    </x:row>
    <x:row r="540">
      <x:c r="M540" s="300"/>
    </x:row>
    <x:row r="541">
      <x:c r="M541" s="300"/>
    </x:row>
    <x:row r="542">
      <x:c r="M542" s="300"/>
    </x:row>
    <x:row r="543">
      <x:c r="M543" s="300"/>
    </x:row>
    <x:row r="544">
      <x:c r="M544" s="300"/>
    </x:row>
    <x:row r="545">
      <x:c r="M545" s="300"/>
    </x:row>
    <x:row r="546">
      <x:c r="M546" s="300"/>
    </x:row>
    <x:row r="547">
      <x:c r="M547" s="300"/>
    </x:row>
    <x:row r="548">
      <x:c r="M548" s="300"/>
    </x:row>
    <x:row r="549">
      <x:c r="M549" s="300"/>
    </x:row>
    <x:row r="550">
      <x:c r="M550" s="300"/>
    </x:row>
    <x:row r="551">
      <x:c r="M551" s="300"/>
    </x:row>
    <x:row r="552">
      <x:c r="M552" s="300"/>
    </x:row>
    <x:row r="553">
      <x:c r="M553" s="300"/>
    </x:row>
    <x:row r="554">
      <x:c r="M554" s="300"/>
    </x:row>
    <x:row r="555">
      <x:c r="M555" s="300"/>
    </x:row>
    <x:row r="556">
      <x:c r="M556" s="300"/>
    </x:row>
    <x:row r="557">
      <x:c r="M557" s="300"/>
    </x:row>
    <x:row r="558">
      <x:c r="M558" s="300"/>
    </x:row>
    <x:row r="559">
      <x:c r="M559" s="300"/>
    </x:row>
    <x:row r="560">
      <x:c r="M560" s="300"/>
    </x:row>
    <x:row r="561">
      <x:c r="M561" s="300"/>
    </x:row>
    <x:row r="562">
      <x:c r="M562" s="300"/>
    </x:row>
    <x:row r="563">
      <x:c r="M563" s="300"/>
    </x:row>
    <x:row r="564">
      <x:c r="M564" s="300"/>
    </x:row>
    <x:row r="565">
      <x:c r="M565" s="300"/>
    </x:row>
    <x:row r="566">
      <x:c r="M566" s="300"/>
    </x:row>
    <x:row r="567">
      <x:c r="M567" s="300"/>
    </x:row>
    <x:row r="568">
      <x:c r="M568" s="300"/>
    </x:row>
    <x:row r="569">
      <x:c r="M569" s="300"/>
    </x:row>
    <x:row r="570">
      <x:c r="M570" s="300"/>
    </x:row>
    <x:row r="571">
      <x:c r="M571" s="300"/>
    </x:row>
    <x:row r="572">
      <x:c r="M572" s="300"/>
    </x:row>
    <x:row r="573">
      <x:c r="M573" s="300"/>
    </x:row>
    <x:row r="574">
      <x:c r="M574" s="300"/>
    </x:row>
    <x:row r="575">
      <x:c r="M575" s="300"/>
    </x:row>
    <x:row r="576">
      <x:c r="M576" s="300"/>
    </x:row>
    <x:row r="577">
      <x:c r="M577" s="300"/>
    </x:row>
    <x:row r="578">
      <x:c r="M578" s="300"/>
    </x:row>
    <x:row r="579">
      <x:c r="M579" s="300"/>
    </x:row>
    <x:row r="580">
      <x:c r="M580" s="300"/>
    </x:row>
    <x:row r="581">
      <x:c r="M581" s="300"/>
    </x:row>
    <x:row r="582">
      <x:c r="M582" s="300"/>
    </x:row>
    <x:row r="583">
      <x:c r="M583" s="300"/>
    </x:row>
    <x:row r="584">
      <x:c r="M584" s="300"/>
    </x:row>
    <x:row r="585">
      <x:c r="M585" s="300"/>
    </x:row>
    <x:row r="586">
      <x:c r="M586" s="300"/>
    </x:row>
    <x:row r="587">
      <x:c r="M587" s="300"/>
    </x:row>
    <x:row r="588">
      <x:c r="M588" s="300"/>
    </x:row>
    <x:row r="589">
      <x:c r="M589" s="300"/>
    </x:row>
    <x:row r="590">
      <x:c r="M590" s="300"/>
    </x:row>
    <x:row r="591">
      <x:c r="M591" s="300"/>
    </x:row>
    <x:row r="592">
      <x:c r="M592" s="300"/>
    </x:row>
    <x:row r="593">
      <x:c r="M593" s="300"/>
    </x:row>
    <x:row r="594">
      <x:c r="M594" s="300"/>
    </x:row>
    <x:row r="595">
      <x:c r="M595" s="300"/>
    </x:row>
    <x:row r="596">
      <x:c r="M596" s="300"/>
    </x:row>
    <x:row r="597">
      <x:c r="M597" s="300"/>
    </x:row>
    <x:row r="598">
      <x:c r="M598" s="300"/>
    </x:row>
    <x:row r="599">
      <x:c r="M599" s="300"/>
    </x:row>
    <x:row r="600">
      <x:c r="M600" s="300"/>
    </x:row>
    <x:row r="601">
      <x:c r="M601" s="300"/>
    </x:row>
    <x:row r="602">
      <x:c r="M602" s="300"/>
    </x:row>
    <x:row r="603">
      <x:c r="M603" s="300"/>
    </x:row>
    <x:row r="604">
      <x:c r="M604" s="300"/>
    </x:row>
    <x:row r="605">
      <x:c r="M605" s="300"/>
    </x:row>
    <x:row r="606">
      <x:c r="M606" s="300"/>
    </x:row>
    <x:row r="607">
      <x:c r="M607" s="300"/>
    </x:row>
    <x:row r="608">
      <x:c r="M608" s="300"/>
    </x:row>
    <x:row r="609">
      <x:c r="M609" s="300"/>
    </x:row>
    <x:row r="610">
      <x:c r="M610" s="300"/>
    </x:row>
    <x:row r="611">
      <x:c r="M611" s="300"/>
    </x:row>
    <x:row r="612">
      <x:c r="M612" s="300"/>
    </x:row>
    <x:row r="613">
      <x:c r="M613" s="300"/>
    </x:row>
    <x:row r="614">
      <x:c r="M614" s="300"/>
    </x:row>
    <x:row r="615">
      <x:c r="M615" s="300"/>
    </x:row>
    <x:row r="616">
      <x:c r="M616" s="300"/>
    </x:row>
    <x:row r="617">
      <x:c r="M617" s="300"/>
    </x:row>
    <x:row r="618">
      <x:c r="M618" s="300"/>
    </x:row>
    <x:row r="619">
      <x:c r="M619" s="300"/>
    </x:row>
    <x:row r="620">
      <x:c r="M620" s="300"/>
    </x:row>
    <x:row r="621">
      <x:c r="M621" s="300"/>
    </x:row>
    <x:row r="622">
      <x:c r="M622" s="300"/>
    </x:row>
    <x:row r="623">
      <x:c r="M623" s="300"/>
    </x:row>
    <x:row r="624">
      <x:c r="M624" s="300"/>
    </x:row>
    <x:row r="625">
      <x:c r="M625" s="300"/>
    </x:row>
    <x:row r="626">
      <x:c r="M626" s="300"/>
    </x:row>
    <x:row r="627">
      <x:c r="M627" s="300"/>
    </x:row>
    <x:row r="628">
      <x:c r="M628" s="300"/>
    </x:row>
    <x:row r="629">
      <x:c r="M629" s="300"/>
    </x:row>
    <x:row r="630">
      <x:c r="M630" s="300"/>
    </x:row>
    <x:row r="631">
      <x:c r="M631" s="300"/>
    </x:row>
    <x:row r="632">
      <x:c r="M632" s="300"/>
    </x:row>
    <x:row r="633">
      <x:c r="M633" s="300"/>
    </x:row>
    <x:row r="634">
      <x:c r="M634" s="300"/>
    </x:row>
    <x:row r="635">
      <x:c r="M635" s="300"/>
    </x:row>
    <x:row r="636">
      <x:c r="M636" s="300"/>
    </x:row>
    <x:row r="637">
      <x:c r="M637" s="300"/>
    </x:row>
    <x:row r="638">
      <x:c r="M638" s="300"/>
    </x:row>
    <x:row r="639">
      <x:c r="M639" s="300"/>
    </x:row>
    <x:row r="640">
      <x:c r="M640" s="300"/>
    </x:row>
    <x:row r="641">
      <x:c r="M641" s="300"/>
    </x:row>
    <x:row r="642">
      <x:c r="M642" s="300"/>
    </x:row>
    <x:row r="643">
      <x:c r="M643" s="300"/>
    </x:row>
    <x:row r="644">
      <x:c r="M644" s="300"/>
    </x:row>
    <x:row r="645">
      <x:c r="M645" s="300"/>
    </x:row>
    <x:row r="646">
      <x:c r="M646" s="300"/>
    </x:row>
    <x:row r="647">
      <x:c r="M647" s="300"/>
    </x:row>
    <x:row r="648">
      <x:c r="M648" s="300"/>
    </x:row>
    <x:row r="649">
      <x:c r="M649" s="300"/>
    </x:row>
    <x:row r="650">
      <x:c r="M650" s="300"/>
    </x:row>
    <x:row r="651">
      <x:c r="M651" s="300"/>
    </x:row>
    <x:row r="652">
      <x:c r="M652" s="300"/>
    </x:row>
    <x:row r="653">
      <x:c r="M653" s="300"/>
    </x:row>
    <x:row r="654">
      <x:c r="M654" s="300"/>
    </x:row>
    <x:row r="655">
      <x:c r="M655" s="300"/>
    </x:row>
    <x:row r="656">
      <x:c r="M656" s="300"/>
    </x:row>
    <x:row r="657">
      <x:c r="M657" s="300"/>
    </x:row>
    <x:row r="658">
      <x:c r="M658" s="300"/>
    </x:row>
    <x:row r="659">
      <x:c r="M659" s="300"/>
    </x:row>
    <x:row r="660">
      <x:c r="M660" s="300"/>
    </x:row>
    <x:row r="661">
      <x:c r="M661" s="300"/>
    </x:row>
    <x:row r="662">
      <x:c r="M662" s="300"/>
    </x:row>
    <x:row r="663">
      <x:c r="M663" s="300"/>
    </x:row>
    <x:row r="664">
      <x:c r="M664" s="300"/>
    </x:row>
    <x:row r="665">
      <x:c r="M665" s="300"/>
    </x:row>
    <x:row r="666">
      <x:c r="M666" s="300"/>
    </x:row>
    <x:row r="667">
      <x:c r="M667" s="300"/>
    </x:row>
    <x:row r="668">
      <x:c r="M668" s="300"/>
    </x:row>
    <x:row r="669">
      <x:c r="M669" s="300"/>
    </x:row>
    <x:row r="670">
      <x:c r="M670" s="300"/>
    </x:row>
    <x:row r="671">
      <x:c r="M671" s="300"/>
    </x:row>
    <x:row r="672">
      <x:c r="M672" s="300"/>
    </x:row>
    <x:row r="673">
      <x:c r="M673" s="300"/>
    </x:row>
    <x:row r="674">
      <x:c r="M674" s="300"/>
    </x:row>
    <x:row r="675">
      <x:c r="M675" s="300"/>
    </x:row>
    <x:row r="676">
      <x:c r="M676" s="300"/>
    </x:row>
    <x:row r="677">
      <x:c r="M677" s="300"/>
    </x:row>
    <x:row r="678">
      <x:c r="M678" s="300"/>
    </x:row>
    <x:row r="679">
      <x:c r="M679" s="300"/>
    </x:row>
    <x:row r="680">
      <x:c r="M680" s="300"/>
    </x:row>
    <x:row r="681">
      <x:c r="M681" s="300"/>
    </x:row>
    <x:row r="682">
      <x:c r="M682" s="300"/>
    </x:row>
    <x:row r="683">
      <x:c r="M683" s="300"/>
    </x:row>
    <x:row r="684">
      <x:c r="M684" s="300"/>
    </x:row>
    <x:row r="685">
      <x:c r="M685" s="300"/>
    </x:row>
    <x:row r="686">
      <x:c r="M686" s="300"/>
    </x:row>
    <x:row r="687">
      <x:c r="M687" s="300"/>
    </x:row>
    <x:row r="688">
      <x:c r="M688" s="300"/>
    </x:row>
    <x:row r="689">
      <x:c r="M689" s="300"/>
    </x:row>
    <x:row r="690">
      <x:c r="M690" s="300"/>
    </x:row>
    <x:row r="691">
      <x:c r="M691" s="300"/>
    </x:row>
    <x:row r="692">
      <x:c r="M692" s="300"/>
    </x:row>
    <x:row r="693">
      <x:c r="M693" s="300"/>
    </x:row>
    <x:row r="694">
      <x:c r="M694" s="300"/>
    </x:row>
    <x:row r="695">
      <x:c r="M695" s="300"/>
    </x:row>
    <x:row r="696">
      <x:c r="M696" s="300"/>
    </x:row>
    <x:row r="697">
      <x:c r="M697" s="300"/>
    </x:row>
    <x:row r="698">
      <x:c r="M698" s="300"/>
    </x:row>
    <x:row r="699">
      <x:c r="M699" s="300"/>
    </x:row>
    <x:row r="700">
      <x:c r="M700" s="300"/>
    </x:row>
    <x:row r="701">
      <x:c r="M701" s="300"/>
    </x:row>
    <x:row r="702">
      <x:c r="M702" s="300"/>
    </x:row>
    <x:row r="703">
      <x:c r="M703" s="300"/>
    </x:row>
    <x:row r="704">
      <x:c r="M704" s="300"/>
    </x:row>
    <x:row r="705">
      <x:c r="M705" s="300"/>
    </x:row>
    <x:row r="706">
      <x:c r="M706" s="300"/>
    </x:row>
    <x:row r="707">
      <x:c r="M707" s="300"/>
    </x:row>
    <x:row r="708">
      <x:c r="M708" s="300"/>
    </x:row>
    <x:row r="709">
      <x:c r="M709" s="300"/>
    </x:row>
    <x:row r="710">
      <x:c r="M710" s="300"/>
    </x:row>
    <x:row r="711">
      <x:c r="M711" s="300"/>
    </x:row>
    <x:row r="712">
      <x:c r="M712" s="300"/>
    </x:row>
    <x:row r="713">
      <x:c r="M713" s="300"/>
    </x:row>
    <x:row r="714">
      <x:c r="M714" s="300"/>
    </x:row>
    <x:row r="715">
      <x:c r="M715" s="300"/>
    </x:row>
    <x:row r="716">
      <x:c r="M716" s="300"/>
    </x:row>
    <x:row r="717">
      <x:c r="M717" s="300"/>
    </x:row>
    <x:row r="718">
      <x:c r="M718" s="300"/>
    </x:row>
    <x:row r="719">
      <x:c r="M719" s="300"/>
    </x:row>
    <x:row r="720">
      <x:c r="M720" s="300"/>
    </x:row>
    <x:row r="721">
      <x:c r="M721" s="300"/>
    </x:row>
    <x:row r="722">
      <x:c r="M722" s="300"/>
    </x:row>
    <x:row r="723">
      <x:c r="M723" s="300"/>
    </x:row>
    <x:row r="724">
      <x:c r="M724" s="300"/>
    </x:row>
    <x:row r="725">
      <x:c r="M725" s="300"/>
    </x:row>
    <x:row r="726">
      <x:c r="M726" s="300"/>
    </x:row>
    <x:row r="727">
      <x:c r="M727" s="300"/>
    </x:row>
    <x:row r="728">
      <x:c r="M728" s="300"/>
    </x:row>
    <x:row r="729">
      <x:c r="M729" s="300"/>
    </x:row>
    <x:row r="730">
      <x:c r="M730" s="300"/>
    </x:row>
    <x:row r="731">
      <x:c r="M731" s="300"/>
    </x:row>
    <x:row r="732">
      <x:c r="M732" s="300"/>
    </x:row>
    <x:row r="733">
      <x:c r="M733" s="300"/>
    </x:row>
    <x:row r="734">
      <x:c r="M734" s="300"/>
    </x:row>
    <x:row r="735">
      <x:c r="M735" s="300"/>
    </x:row>
    <x:row r="736">
      <x:c r="M736" s="300"/>
    </x:row>
    <x:row r="737">
      <x:c r="M737" s="300"/>
    </x:row>
    <x:row r="738">
      <x:c r="M738" s="300"/>
    </x:row>
    <x:row r="739">
      <x:c r="M739" s="300"/>
    </x:row>
    <x:row r="740">
      <x:c r="M740" s="300"/>
    </x:row>
    <x:row r="741">
      <x:c r="M741" s="300"/>
    </x:row>
    <x:row r="742">
      <x:c r="M742" s="300"/>
    </x:row>
    <x:row r="743">
      <x:c r="M743" s="300"/>
    </x:row>
    <x:row r="744">
      <x:c r="M744" s="300"/>
    </x:row>
    <x:row r="745">
      <x:c r="M745" s="300"/>
    </x:row>
    <x:row r="746">
      <x:c r="M746" s="300"/>
    </x:row>
    <x:row r="747">
      <x:c r="M747" s="300"/>
    </x:row>
    <x:row r="748">
      <x:c r="M748" s="300"/>
    </x:row>
    <x:row r="749">
      <x:c r="M749" s="300"/>
    </x:row>
    <x:row r="750">
      <x:c r="M750" s="300"/>
    </x:row>
    <x:row r="751">
      <x:c r="M751" s="300"/>
    </x:row>
    <x:row r="752">
      <x:c r="M752" s="300"/>
    </x:row>
    <x:row r="753">
      <x:c r="M753" s="300"/>
    </x:row>
    <x:row r="754">
      <x:c r="M754" s="300"/>
    </x:row>
    <x:row r="755">
      <x:c r="M755" s="300"/>
    </x:row>
    <x:row r="756">
      <x:c r="M756" s="300"/>
    </x:row>
    <x:row r="757">
      <x:c r="M757" s="300"/>
    </x:row>
    <x:row r="758">
      <x:c r="M758" s="300"/>
    </x:row>
    <x:row r="759">
      <x:c r="M759" s="300"/>
    </x:row>
    <x:row r="760">
      <x:c r="M760" s="300"/>
    </x:row>
    <x:row r="761">
      <x:c r="M761" s="300"/>
    </x:row>
    <x:row r="762">
      <x:c r="M762" s="300"/>
    </x:row>
    <x:row r="763">
      <x:c r="M763" s="300"/>
    </x:row>
    <x:row r="764">
      <x:c r="M764" s="300"/>
    </x:row>
    <x:row r="765">
      <x:c r="M765" s="300"/>
    </x:row>
    <x:row r="766">
      <x:c r="M766" s="300"/>
    </x:row>
    <x:row r="767">
      <x:c r="M767" s="300"/>
    </x:row>
    <x:row r="768">
      <x:c r="M768" s="300"/>
    </x:row>
    <x:row r="769">
      <x:c r="M769" s="300"/>
    </x:row>
    <x:row r="770">
      <x:c r="M770" s="300"/>
    </x:row>
    <x:row r="771">
      <x:c r="M771" s="300"/>
    </x:row>
    <x:row r="772">
      <x:c r="M772" s="300"/>
    </x:row>
    <x:row r="773">
      <x:c r="M773" s="300"/>
    </x:row>
    <x:row r="774">
      <x:c r="M774" s="300"/>
    </x:row>
    <x:row r="775">
      <x:c r="M775" s="300"/>
    </x:row>
    <x:row r="776">
      <x:c r="M776" s="300"/>
    </x:row>
    <x:row r="777">
      <x:c r="M777" s="300"/>
    </x:row>
    <x:row r="778">
      <x:c r="M778" s="300"/>
    </x:row>
    <x:row r="779">
      <x:c r="M779" s="300"/>
    </x:row>
    <x:row r="780">
      <x:c r="M780" s="300"/>
    </x:row>
    <x:row r="781">
      <x:c r="M781" s="300"/>
    </x:row>
    <x:row r="782">
      <x:c r="M782" s="300"/>
    </x:row>
    <x:row r="783">
      <x:c r="M783" s="300"/>
    </x:row>
    <x:row r="784">
      <x:c r="M784" s="300"/>
    </x:row>
    <x:row r="785">
      <x:c r="M785" s="300"/>
    </x:row>
    <x:row r="786">
      <x:c r="M786" s="300"/>
    </x:row>
    <x:row r="787">
      <x:c r="M787" s="300"/>
    </x:row>
    <x:row r="788">
      <x:c r="M788" s="300"/>
    </x:row>
    <x:row r="789">
      <x:c r="M789" s="300"/>
    </x:row>
    <x:row r="790">
      <x:c r="M790" s="300"/>
    </x:row>
    <x:row r="791">
      <x:c r="M791" s="300"/>
    </x:row>
    <x:row r="792">
      <x:c r="M792" s="300"/>
    </x:row>
    <x:row r="793">
      <x:c r="M793" s="300"/>
    </x:row>
    <x:row r="794">
      <x:c r="M794" s="300"/>
    </x:row>
    <x:row r="795">
      <x:c r="M795" s="300"/>
    </x:row>
    <x:row r="796">
      <x:c r="M796" s="300"/>
    </x:row>
    <x:row r="797">
      <x:c r="M797" s="300"/>
    </x:row>
    <x:row r="798">
      <x:c r="M798" s="300"/>
    </x:row>
    <x:row r="799">
      <x:c r="M799" s="300"/>
    </x:row>
    <x:row r="800">
      <x:c r="M800" s="300"/>
    </x:row>
    <x:row r="801">
      <x:c r="M801" s="300"/>
    </x:row>
    <x:row r="802">
      <x:c r="M802" s="300"/>
    </x:row>
    <x:row r="803">
      <x:c r="M803" s="300"/>
    </x:row>
    <x:row r="804">
      <x:c r="M804" s="300"/>
    </x:row>
    <x:row r="805">
      <x:c r="M805" s="300"/>
    </x:row>
    <x:row r="806">
      <x:c r="M806" s="300"/>
    </x:row>
    <x:row r="807">
      <x:c r="M807" s="300"/>
    </x:row>
    <x:row r="808">
      <x:c r="M808" s="300"/>
    </x:row>
    <x:row r="809">
      <x:c r="M809" s="300"/>
    </x:row>
    <x:row r="810">
      <x:c r="M810" s="300"/>
    </x:row>
    <x:row r="811">
      <x:c r="M811" s="300"/>
    </x:row>
    <x:row r="812">
      <x:c r="M812" s="300"/>
    </x:row>
    <x:row r="813">
      <x:c r="M813" s="300"/>
    </x:row>
    <x:row r="814">
      <x:c r="M814" s="300"/>
    </x:row>
    <x:row r="815">
      <x:c r="M815" s="300"/>
    </x:row>
    <x:row r="816">
      <x:c r="M816" s="300"/>
    </x:row>
    <x:row r="817">
      <x:c r="M817" s="300"/>
    </x:row>
    <x:row r="818">
      <x:c r="M818" s="300"/>
    </x:row>
    <x:row r="819">
      <x:c r="M819" s="300"/>
    </x:row>
    <x:row r="820">
      <x:c r="M820" s="300"/>
    </x:row>
    <x:row r="821">
      <x:c r="M821" s="300"/>
    </x:row>
    <x:row r="822">
      <x:c r="M822" s="300"/>
    </x:row>
    <x:row r="823">
      <x:c r="M823" s="300"/>
    </x:row>
    <x:row r="824">
      <x:c r="M824" s="300"/>
    </x:row>
    <x:row r="825">
      <x:c r="M825" s="300"/>
    </x:row>
    <x:row r="826">
      <x:c r="M826" s="300"/>
    </x:row>
    <x:row r="827">
      <x:c r="M827" s="300"/>
    </x:row>
    <x:row r="828">
      <x:c r="M828" s="300"/>
    </x:row>
    <x:row r="829">
      <x:c r="M829" s="300"/>
    </x:row>
    <x:row r="830">
      <x:c r="M830" s="300"/>
    </x:row>
    <x:row r="831">
      <x:c r="M831" s="300"/>
    </x:row>
    <x:row r="832">
      <x:c r="M832" s="300"/>
    </x:row>
    <x:row r="833">
      <x:c r="M833" s="300"/>
    </x:row>
    <x:row r="834">
      <x:c r="M834" s="300"/>
    </x:row>
    <x:row r="835">
      <x:c r="M835" s="300"/>
    </x:row>
    <x:row r="836">
      <x:c r="M836" s="300"/>
    </x:row>
    <x:row r="837">
      <x:c r="M837" s="300"/>
    </x:row>
    <x:row r="838">
      <x:c r="M838" s="300"/>
    </x:row>
    <x:row r="839">
      <x:c r="M839" s="300"/>
    </x:row>
    <x:row r="840">
      <x:c r="M840" s="300"/>
    </x:row>
    <x:row r="841">
      <x:c r="M841" s="300"/>
    </x:row>
    <x:row r="842">
      <x:c r="M842" s="300"/>
    </x:row>
    <x:row r="843">
      <x:c r="M843" s="300"/>
    </x:row>
    <x:row r="844">
      <x:c r="M844" s="300"/>
    </x:row>
    <x:row r="845">
      <x:c r="M845" s="300"/>
    </x:row>
    <x:row r="846">
      <x:c r="M846" s="300"/>
    </x:row>
    <x:row r="847">
      <x:c r="M847" s="300"/>
    </x:row>
    <x:row r="848">
      <x:c r="M848" s="300"/>
    </x:row>
    <x:row r="849">
      <x:c r="M849" s="300"/>
    </x:row>
    <x:row r="850">
      <x:c r="M850" s="300"/>
    </x:row>
    <x:row r="851">
      <x:c r="M851" s="300"/>
    </x:row>
    <x:row r="852">
      <x:c r="M852" s="300"/>
    </x:row>
    <x:row r="853">
      <x:c r="M853" s="300"/>
    </x:row>
    <x:row r="854">
      <x:c r="M854" s="300"/>
    </x:row>
    <x:row r="855">
      <x:c r="M855" s="300"/>
    </x:row>
    <x:row r="856">
      <x:c r="M856" s="300"/>
    </x:row>
    <x:row r="857">
      <x:c r="M857" s="300"/>
    </x:row>
    <x:row r="858">
      <x:c r="M858" s="300"/>
    </x:row>
    <x:row r="859">
      <x:c r="M859" s="300"/>
    </x:row>
    <x:row r="860">
      <x:c r="M860" s="300"/>
    </x:row>
    <x:row r="861">
      <x:c r="M861" s="300"/>
    </x:row>
    <x:row r="862">
      <x:c r="M862" s="300"/>
    </x:row>
    <x:row r="863">
      <x:c r="M863" s="300"/>
    </x:row>
    <x:row r="864">
      <x:c r="M864" s="300"/>
    </x:row>
    <x:row r="865">
      <x:c r="M865" s="300"/>
    </x:row>
    <x:row r="866">
      <x:c r="M866" s="300"/>
    </x:row>
    <x:row r="867">
      <x:c r="M867" s="300"/>
    </x:row>
    <x:row r="868">
      <x:c r="M868" s="300"/>
    </x:row>
    <x:row r="869">
      <x:c r="M869" s="300"/>
    </x:row>
    <x:row r="870">
      <x:c r="M870" s="300"/>
    </x:row>
    <x:row r="871">
      <x:c r="M871" s="300"/>
    </x:row>
    <x:row r="872">
      <x:c r="M872" s="300"/>
    </x:row>
    <x:row r="873">
      <x:c r="M873" s="300"/>
    </x:row>
    <x:row r="874">
      <x:c r="M874" s="300"/>
    </x:row>
    <x:row r="875">
      <x:c r="M875" s="300"/>
    </x:row>
    <x:row r="876">
      <x:c r="M876" s="300"/>
    </x:row>
    <x:row r="877">
      <x:c r="M877" s="300"/>
    </x:row>
    <x:row r="878">
      <x:c r="M878" s="300"/>
    </x:row>
    <x:row r="879">
      <x:c r="M879" s="300"/>
    </x:row>
    <x:row r="880">
      <x:c r="M880" s="300"/>
    </x:row>
    <x:row r="881">
      <x:c r="M881" s="300"/>
    </x:row>
    <x:row r="882">
      <x:c r="M882" s="300"/>
    </x:row>
    <x:row r="883">
      <x:c r="M883" s="300"/>
    </x:row>
    <x:row r="884">
      <x:c r="M884" s="300"/>
    </x:row>
    <x:row r="885">
      <x:c r="M885" s="300"/>
    </x:row>
    <x:row r="886">
      <x:c r="M886" s="300"/>
    </x:row>
    <x:row r="887">
      <x:c r="M887" s="300"/>
    </x:row>
    <x:row r="888">
      <x:c r="M888" s="300"/>
    </x:row>
    <x:row r="889">
      <x:c r="M889" s="300"/>
    </x:row>
    <x:row r="890">
      <x:c r="M890" s="300"/>
    </x:row>
    <x:row r="891">
      <x:c r="M891" s="300"/>
    </x:row>
    <x:row r="892">
      <x:c r="M892" s="300"/>
    </x:row>
    <x:row r="893">
      <x:c r="M893" s="300"/>
    </x:row>
    <x:row r="894">
      <x:c r="M894" s="300"/>
    </x:row>
    <x:row r="895">
      <x:c r="M895" s="300"/>
    </x:row>
    <x:row r="896">
      <x:c r="M896" s="300"/>
    </x:row>
    <x:row r="897">
      <x:c r="M897" s="300"/>
    </x:row>
    <x:row r="898">
      <x:c r="M898" s="300"/>
    </x:row>
    <x:row r="899">
      <x:c r="M899" s="300"/>
    </x:row>
    <x:row r="900">
      <x:c r="M900" s="300"/>
    </x:row>
    <x:row r="901">
      <x:c r="M901" s="300"/>
    </x:row>
    <x:row r="902">
      <x:c r="M902" s="300"/>
    </x:row>
    <x:row r="903">
      <x:c r="M903" s="300"/>
    </x:row>
    <x:row r="904">
      <x:c r="M904" s="300"/>
    </x:row>
    <x:row r="905">
      <x:c r="M905" s="300"/>
    </x:row>
    <x:row r="906">
      <x:c r="M906" s="300"/>
    </x:row>
    <x:row r="907">
      <x:c r="M907" s="300"/>
    </x:row>
    <x:row r="908">
      <x:c r="M908" s="300"/>
    </x:row>
    <x:row r="909">
      <x:c r="M909" s="300"/>
    </x:row>
    <x:row r="910">
      <x:c r="M910" s="300"/>
    </x:row>
    <x:row r="911">
      <x:c r="M911" s="300"/>
    </x:row>
    <x:row r="912">
      <x:c r="M912" s="300"/>
    </x:row>
    <x:row r="913">
      <x:c r="M913" s="300"/>
    </x:row>
    <x:row r="914">
      <x:c r="M914" s="300"/>
    </x:row>
    <x:row r="915">
      <x:c r="M915" s="300"/>
    </x:row>
    <x:row r="916">
      <x:c r="M916" s="300"/>
    </x:row>
    <x:row r="917">
      <x:c r="M917" s="300"/>
    </x:row>
    <x:row r="918">
      <x:c r="M918" s="300"/>
    </x:row>
    <x:row r="919">
      <x:c r="M919" s="300"/>
    </x:row>
    <x:row r="920">
      <x:c r="M920" s="300"/>
    </x:row>
    <x:row r="921">
      <x:c r="M921" s="300"/>
    </x:row>
    <x:row r="922">
      <x:c r="M922" s="300"/>
    </x:row>
    <x:row r="923">
      <x:c r="M923" s="300"/>
    </x:row>
    <x:row r="924">
      <x:c r="M924" s="300"/>
    </x:row>
    <x:row r="925">
      <x:c r="M925" s="300"/>
    </x:row>
    <x:row r="926">
      <x:c r="M926" s="300"/>
    </x:row>
    <x:row r="927">
      <x:c r="M927" s="300"/>
    </x:row>
    <x:row r="928">
      <x:c r="M928" s="300"/>
    </x:row>
    <x:row r="929">
      <x:c r="M929" s="300"/>
    </x:row>
    <x:row r="930">
      <x:c r="M930" s="300"/>
    </x:row>
    <x:row r="931">
      <x:c r="M931" s="300"/>
    </x:row>
    <x:row r="932">
      <x:c r="M932" s="300"/>
    </x:row>
    <x:row r="933">
      <x:c r="M933" s="300"/>
    </x:row>
    <x:row r="934">
      <x:c r="M934" s="300"/>
    </x:row>
    <x:row r="935">
      <x:c r="M935" s="300"/>
    </x:row>
    <x:row r="936">
      <x:c r="M936" s="300"/>
    </x:row>
    <x:row r="937">
      <x:c r="M937" s="300"/>
    </x:row>
    <x:row r="938">
      <x:c r="M938" s="300"/>
    </x:row>
    <x:row r="939">
      <x:c r="M939" s="300"/>
    </x:row>
    <x:row r="940">
      <x:c r="M940" s="300"/>
    </x:row>
    <x:row r="941">
      <x:c r="M941" s="300"/>
    </x:row>
    <x:row r="942">
      <x:c r="M942" s="300"/>
    </x:row>
    <x:row r="943">
      <x:c r="M943" s="300"/>
    </x:row>
    <x:row r="944">
      <x:c r="M944" s="300"/>
    </x:row>
    <x:row r="945">
      <x:c r="M945" s="300"/>
    </x:row>
    <x:row r="946">
      <x:c r="M946" s="300"/>
    </x:row>
    <x:row r="947">
      <x:c r="M947" s="300"/>
    </x:row>
    <x:row r="948">
      <x:c r="M948" s="300"/>
    </x:row>
    <x:row r="949">
      <x:c r="M949" s="300"/>
    </x:row>
    <x:row r="950">
      <x:c r="M950" s="300"/>
    </x:row>
    <x:row r="951">
      <x:c r="M951" s="300"/>
    </x:row>
    <x:row r="952">
      <x:c r="M952" s="300"/>
    </x:row>
    <x:row r="953">
      <x:c r="M953" s="300"/>
    </x:row>
    <x:row r="954">
      <x:c r="M954" s="300"/>
    </x:row>
    <x:row r="955">
      <x:c r="M955" s="300"/>
    </x:row>
    <x:row r="956">
      <x:c r="M956" s="300"/>
    </x:row>
    <x:row r="957">
      <x:c r="M957" s="300"/>
    </x:row>
    <x:row r="958">
      <x:c r="M958" s="300"/>
    </x:row>
    <x:row r="959">
      <x:c r="M959" s="300"/>
    </x:row>
    <x:row r="960">
      <x:c r="M960" s="300"/>
    </x:row>
    <x:row r="961">
      <x:c r="M961" s="300"/>
    </x:row>
    <x:row r="962">
      <x:c r="M962" s="300"/>
    </x:row>
    <x:row r="963">
      <x:c r="M963" s="300"/>
    </x:row>
    <x:row r="964">
      <x:c r="M964" s="300"/>
    </x:row>
    <x:row r="965">
      <x:c r="M965" s="300"/>
    </x:row>
    <x:row r="966">
      <x:c r="M966" s="300"/>
    </x:row>
    <x:row r="967">
      <x:c r="M967" s="300"/>
    </x:row>
    <x:row r="968">
      <x:c r="M968" s="300"/>
    </x:row>
    <x:row r="969">
      <x:c r="M969" s="300"/>
    </x:row>
    <x:row r="970">
      <x:c r="M970" s="300"/>
    </x:row>
    <x:row r="971">
      <x:c r="M971" s="300"/>
    </x:row>
    <x:row r="972">
      <x:c r="M972" s="300"/>
    </x:row>
    <x:row r="973">
      <x:c r="M973" s="300"/>
    </x:row>
    <x:row r="974">
      <x:c r="M974" s="300"/>
    </x:row>
    <x:row r="975">
      <x:c r="M975" s="300"/>
    </x:row>
    <x:row r="976">
      <x:c r="M976" s="300"/>
    </x:row>
    <x:row r="977">
      <x:c r="M977" s="300"/>
    </x:row>
    <x:row r="978">
      <x:c r="M978" s="300"/>
    </x:row>
    <x:row r="979">
      <x:c r="M979" s="300"/>
    </x:row>
    <x:row r="980">
      <x:c r="M980" s="300"/>
    </x:row>
    <x:row r="981">
      <x:c r="M981" s="300"/>
    </x:row>
    <x:row r="982">
      <x:c r="M982" s="300"/>
    </x:row>
    <x:row r="983">
      <x:c r="M983" s="300"/>
    </x:row>
    <x:row r="984">
      <x:c r="M984" s="300"/>
    </x:row>
    <x:row r="985">
      <x:c r="M985" s="300"/>
    </x:row>
    <x:row r="986">
      <x:c r="M986" s="300"/>
    </x:row>
    <x:row r="987">
      <x:c r="M987" s="300"/>
    </x:row>
    <x:row r="988">
      <x:c r="M988" s="300"/>
    </x:row>
    <x:row r="989">
      <x:c r="M989" s="300"/>
    </x:row>
    <x:row r="990">
      <x:c r="M990" s="300"/>
    </x:row>
    <x:row r="991">
      <x:c r="M991" s="300"/>
    </x:row>
    <x:row r="992">
      <x:c r="M992" s="300"/>
    </x:row>
    <x:row r="993">
      <x:c r="M993" s="300"/>
    </x:row>
    <x:row r="994">
      <x:c r="M994" s="300"/>
    </x:row>
    <x:row r="995">
      <x:c r="M995" s="300"/>
    </x:row>
    <x:row r="996">
      <x:c r="M996" s="300"/>
    </x:row>
    <x:row r="997">
      <x:c r="M997" s="300"/>
    </x:row>
    <x:row r="998">
      <x:c r="M998" s="300"/>
    </x:row>
    <x:row r="999">
      <x:c r="M999" s="300"/>
    </x:row>
    <x:row r="1000">
      <x:c r="M1000" s="300"/>
    </x:row>
    <x:row r="1001">
      <x:c r="M1001" s="300"/>
    </x:row>
    <x:row r="1002">
      <x:c r="M1002" s="300"/>
    </x:row>
    <x:row r="1003">
      <x:c r="M1003" s="300"/>
    </x:row>
    <x:row r="1004">
      <x:c r="M1004" s="300"/>
    </x:row>
    <x:row r="1005">
      <x:c r="M1005" s="300"/>
    </x:row>
    <x:row r="1006">
      <x:c r="M1006" s="300"/>
    </x:row>
    <x:row r="1007">
      <x:c r="M1007" s="300"/>
    </x:row>
    <x:row r="1008">
      <x:c r="M1008" s="300"/>
    </x:row>
    <x:row r="1009">
      <x:c r="M1009" s="300"/>
    </x:row>
    <x:row r="1010">
      <x:c r="M1010" s="300"/>
    </x:row>
    <x:row r="1011">
      <x:c r="M1011" s="300"/>
    </x:row>
    <x:row r="1012">
      <x:c r="M1012" s="300"/>
    </x:row>
    <x:row r="1013">
      <x:c r="M1013" s="300"/>
    </x:row>
    <x:row r="1014">
      <x:c r="M1014" s="300"/>
    </x:row>
    <x:row r="1015">
      <x:c r="M1015" s="300"/>
    </x:row>
    <x:row r="1016">
      <x:c r="M1016" s="300"/>
    </x:row>
    <x:row r="1017">
      <x:c r="M1017" s="300"/>
    </x:row>
    <x:row r="1018">
      <x:c r="M1018" s="300"/>
    </x:row>
    <x:row r="1019">
      <x:c r="M1019" s="300"/>
    </x:row>
    <x:row r="1020">
      <x:c r="M1020" s="300"/>
    </x:row>
    <x:row r="1021">
      <x:c r="M1021" s="300"/>
    </x:row>
    <x:row r="1022">
      <x:c r="M1022" s="300"/>
    </x:row>
    <x:row r="1023">
      <x:c r="M1023" s="300"/>
    </x:row>
    <x:row r="1024">
      <x:c r="M1024" s="300"/>
    </x:row>
    <x:row r="1025">
      <x:c r="M1025" s="300"/>
    </x:row>
    <x:row r="1026">
      <x:c r="M1026" s="300"/>
    </x:row>
    <x:row r="1027">
      <x:c r="M1027" s="300"/>
    </x:row>
    <x:row r="1028">
      <x:c r="M1028" s="300"/>
    </x:row>
    <x:row r="1029">
      <x:c r="M1029" s="300"/>
    </x:row>
    <x:row r="1030">
      <x:c r="M1030" s="300"/>
    </x:row>
    <x:row r="1031">
      <x:c r="M1031" s="300"/>
    </x:row>
    <x:row r="1032">
      <x:c r="M1032" s="300"/>
    </x:row>
    <x:row r="1033">
      <x:c r="M1033" s="300"/>
    </x:row>
    <x:row r="1034">
      <x:c r="M1034" s="300"/>
    </x:row>
    <x:row r="1035">
      <x:c r="M1035" s="300"/>
    </x:row>
    <x:row r="1036">
      <x:c r="M1036" s="300"/>
    </x:row>
    <x:row r="1037">
      <x:c r="M1037" s="300"/>
    </x:row>
    <x:row r="1038">
      <x:c r="M1038" s="300"/>
    </x:row>
    <x:row r="1039">
      <x:c r="M1039" s="300"/>
    </x:row>
    <x:row r="1040">
      <x:c r="M1040" s="300"/>
    </x:row>
    <x:row r="1041">
      <x:c r="M1041" s="300"/>
    </x:row>
    <x:row r="1042">
      <x:c r="M1042" s="300"/>
    </x:row>
    <x:row r="1043">
      <x:c r="M1043" s="300"/>
    </x:row>
    <x:row r="1044">
      <x:c r="M1044" s="300"/>
    </x:row>
    <x:row r="1045">
      <x:c r="M1045" s="300"/>
    </x:row>
    <x:row r="1046">
      <x:c r="M1046" s="300"/>
    </x:row>
    <x:row r="1047">
      <x:c r="M1047" s="300"/>
    </x:row>
    <x:row r="1048">
      <x:c r="M1048" s="300"/>
    </x:row>
    <x:row r="1049">
      <x:c r="M1049" s="300"/>
    </x:row>
    <x:row r="1050">
      <x:c r="M1050" s="300"/>
    </x:row>
    <x:row r="1051">
      <x:c r="M1051" s="300"/>
    </x:row>
    <x:row r="1052">
      <x:c r="M1052" s="300"/>
    </x:row>
    <x:row r="1053">
      <x:c r="M1053" s="300"/>
    </x:row>
    <x:row r="1054">
      <x:c r="M1054" s="300"/>
    </x:row>
    <x:row r="1055">
      <x:c r="M1055" s="300"/>
    </x:row>
    <x:row r="1056">
      <x:c r="M1056" s="300"/>
    </x:row>
    <x:row r="1057">
      <x:c r="M1057" s="300"/>
    </x:row>
    <x:row r="1058">
      <x:c r="M1058" s="300"/>
    </x:row>
    <x:row r="1059">
      <x:c r="M1059" s="300"/>
    </x:row>
    <x:row r="1060">
      <x:c r="M1060" s="300"/>
    </x:row>
    <x:row r="1061">
      <x:c r="M1061" s="300"/>
    </x:row>
    <x:row r="1062">
      <x:c r="M1062" s="300"/>
    </x:row>
    <x:row r="1063">
      <x:c r="M1063" s="300"/>
    </x:row>
    <x:row r="1064">
      <x:c r="M1064" s="300"/>
    </x:row>
    <x:row r="1065">
      <x:c r="M1065" s="300"/>
    </x:row>
    <x:row r="1066">
      <x:c r="M1066" s="300"/>
    </x:row>
    <x:row r="1067">
      <x:c r="M1067" s="300"/>
    </x:row>
    <x:row r="1068">
      <x:c r="M1068" s="300"/>
    </x:row>
    <x:row r="1069">
      <x:c r="M1069" s="300"/>
    </x:row>
    <x:row r="1070">
      <x:c r="M1070" s="300"/>
    </x:row>
    <x:row r="1071">
      <x:c r="M1071" s="300"/>
    </x:row>
    <x:row r="1072">
      <x:c r="M1072" s="300"/>
    </x:row>
    <x:row r="1073">
      <x:c r="M1073" s="300"/>
    </x:row>
    <x:row r="1074">
      <x:c r="M1074" s="300"/>
    </x:row>
    <x:row r="1075">
      <x:c r="M1075" s="300"/>
    </x:row>
    <x:row r="1076">
      <x:c r="M1076" s="300"/>
    </x:row>
    <x:row r="1077">
      <x:c r="M1077" s="300"/>
    </x:row>
    <x:row r="1078">
      <x:c r="M1078" s="300"/>
    </x:row>
    <x:row r="1079">
      <x:c r="M1079" s="300"/>
    </x:row>
    <x:row r="1080">
      <x:c r="M1080" s="300"/>
    </x:row>
    <x:row r="1081">
      <x:c r="M1081" s="300"/>
    </x:row>
    <x:row r="1082">
      <x:c r="M1082" s="300"/>
    </x:row>
    <x:row r="1083">
      <x:c r="M1083" s="300"/>
    </x:row>
    <x:row r="1084">
      <x:c r="M1084" s="300"/>
    </x:row>
    <x:row r="1085">
      <x:c r="M1085" s="300"/>
    </x:row>
    <x:row r="1086">
      <x:c r="M1086" s="300"/>
    </x:row>
    <x:row r="1087">
      <x:c r="M1087" s="300"/>
    </x:row>
    <x:row r="1088">
      <x:c r="M1088" s="300"/>
    </x:row>
    <x:row r="1089">
      <x:c r="M1089" s="300"/>
    </x:row>
    <x:row r="1090">
      <x:c r="M1090" s="300"/>
    </x:row>
    <x:row r="1091">
      <x:c r="M1091" s="300"/>
    </x:row>
    <x:row r="1092">
      <x:c r="M1092" s="300"/>
    </x:row>
    <x:row r="1093">
      <x:c r="M1093" s="300"/>
    </x:row>
    <x:row r="1094">
      <x:c r="M1094" s="300"/>
    </x:row>
    <x:row r="1095">
      <x:c r="M1095" s="300"/>
    </x:row>
    <x:row r="1096">
      <x:c r="M1096" s="300"/>
    </x:row>
    <x:row r="1097">
      <x:c r="M1097" s="300"/>
    </x:row>
    <x:row r="1098">
      <x:c r="M1098" s="300"/>
    </x:row>
    <x:row r="1099">
      <x:c r="M1099" s="300"/>
    </x:row>
    <x:row r="1100">
      <x:c r="M1100" s="300"/>
    </x:row>
    <x:row r="1101">
      <x:c r="M1101" s="300"/>
    </x:row>
    <x:row r="1102">
      <x:c r="M1102" s="300"/>
    </x:row>
    <x:row r="1103">
      <x:c r="M1103" s="300"/>
    </x:row>
    <x:row r="1104">
      <x:c r="M1104" s="300"/>
    </x:row>
    <x:row r="1105">
      <x:c r="M1105" s="300"/>
    </x:row>
    <x:row r="1106">
      <x:c r="M1106" s="300"/>
    </x:row>
    <x:row r="1107">
      <x:c r="M1107" s="300"/>
    </x:row>
    <x:row r="1108">
      <x:c r="M1108" s="300"/>
    </x:row>
    <x:row r="1109">
      <x:c r="M1109" s="300"/>
    </x:row>
    <x:row r="1110">
      <x:c r="M1110" s="300"/>
    </x:row>
    <x:row r="1111">
      <x:c r="M1111" s="300"/>
    </x:row>
    <x:row r="1112">
      <x:c r="M1112" s="300"/>
    </x:row>
    <x:row r="1113">
      <x:c r="M1113" s="300"/>
    </x:row>
    <x:row r="1114">
      <x:c r="M1114" s="300"/>
    </x:row>
    <x:row r="1115">
      <x:c r="M1115" s="300"/>
    </x:row>
    <x:row r="1116">
      <x:c r="M1116" s="300"/>
    </x:row>
    <x:row r="1117">
      <x:c r="M1117" s="300"/>
    </x:row>
    <x:row r="1118">
      <x:c r="M1118" s="300"/>
    </x:row>
    <x:row r="1119">
      <x:c r="M1119" s="300"/>
    </x:row>
    <x:row r="1120">
      <x:c r="M1120" s="300"/>
    </x:row>
    <x:row r="1121">
      <x:c r="M1121" s="300"/>
    </x:row>
    <x:row r="1122">
      <x:c r="M1122" s="300"/>
    </x:row>
    <x:row r="1123">
      <x:c r="M1123" s="300"/>
    </x:row>
    <x:row r="1124">
      <x:c r="M1124" s="300"/>
    </x:row>
    <x:row r="1125">
      <x:c r="M1125" s="300"/>
    </x:row>
    <x:row r="1126">
      <x:c r="M1126" s="300"/>
    </x:row>
    <x:row r="1127">
      <x:c r="M1127" s="300"/>
    </x:row>
    <x:row r="1128">
      <x:c r="M1128" s="300"/>
    </x:row>
    <x:row r="1129">
      <x:c r="M1129" s="300"/>
    </x:row>
    <x:row r="1130">
      <x:c r="M1130" s="300"/>
    </x:row>
    <x:row r="1131">
      <x:c r="M1131" s="300"/>
    </x:row>
    <x:row r="1132">
      <x:c r="M1132" s="300"/>
    </x:row>
    <x:row r="1133">
      <x:c r="M1133" s="300"/>
    </x:row>
    <x:row r="1134">
      <x:c r="M1134" s="300"/>
    </x:row>
    <x:row r="1135">
      <x:c r="M1135" s="300"/>
    </x:row>
    <x:row r="1136">
      <x:c r="M1136" s="300"/>
    </x:row>
    <x:row r="1137">
      <x:c r="M1137" s="300"/>
    </x:row>
    <x:row r="1138">
      <x:c r="M1138" s="300"/>
    </x:row>
    <x:row r="1139">
      <x:c r="M1139" s="300"/>
    </x:row>
    <x:row r="1140">
      <x:c r="M1140" s="300"/>
    </x:row>
    <x:row r="1141">
      <x:c r="M1141" s="300"/>
    </x:row>
    <x:row r="1142">
      <x:c r="M1142" s="300"/>
    </x:row>
    <x:row r="1143">
      <x:c r="M1143" s="300"/>
    </x:row>
    <x:row r="1144">
      <x:c r="M1144" s="300"/>
    </x:row>
    <x:row r="1145">
      <x:c r="M1145" s="300"/>
    </x:row>
    <x:row r="1146">
      <x:c r="M1146" s="300"/>
    </x:row>
    <x:row r="1147">
      <x:c r="M1147" s="300"/>
    </x:row>
    <x:row r="1148">
      <x:c r="M1148" s="300"/>
    </x:row>
    <x:row r="1149">
      <x:c r="M1149" s="300"/>
    </x:row>
    <x:row r="1150">
      <x:c r="M1150" s="300"/>
    </x:row>
    <x:row r="1151">
      <x:c r="M1151" s="300"/>
    </x:row>
    <x:row r="1152">
      <x:c r="M1152" s="300"/>
    </x:row>
    <x:row r="1153">
      <x:c r="M1153" s="300"/>
    </x:row>
    <x:row r="1154">
      <x:c r="M1154" s="300"/>
    </x:row>
    <x:row r="1155">
      <x:c r="M1155" s="300"/>
    </x:row>
    <x:row r="1156">
      <x:c r="M1156" s="300"/>
    </x:row>
    <x:row r="1157">
      <x:c r="M1157" s="300"/>
    </x:row>
    <x:row r="1158">
      <x:c r="M1158" s="300"/>
    </x:row>
    <x:row r="1159">
      <x:c r="M1159" s="300"/>
    </x:row>
    <x:row r="1160">
      <x:c r="M1160" s="300"/>
    </x:row>
    <x:row r="1161">
      <x:c r="M1161" s="300"/>
    </x:row>
    <x:row r="1162">
      <x:c r="M1162" s="300"/>
    </x:row>
    <x:row r="1163">
      <x:c r="M1163" s="300"/>
    </x:row>
    <x:row r="1164">
      <x:c r="M1164" s="300"/>
    </x:row>
    <x:row r="1165">
      <x:c r="M1165" s="300"/>
    </x:row>
    <x:row r="1166">
      <x:c r="M1166" s="300"/>
    </x:row>
    <x:row r="1167">
      <x:c r="M1167" s="300"/>
    </x:row>
    <x:row r="1168">
      <x:c r="M1168" s="300"/>
    </x:row>
    <x:row r="1169">
      <x:c r="M1169" s="300"/>
    </x:row>
    <x:row r="1170">
      <x:c r="M1170" s="300"/>
    </x:row>
    <x:row r="1171">
      <x:c r="M1171" s="300"/>
    </x:row>
    <x:row r="1172">
      <x:c r="M1172" s="300"/>
    </x:row>
    <x:row r="1173">
      <x:c r="M1173" s="300"/>
    </x:row>
    <x:row r="1174">
      <x:c r="M1174" s="300"/>
    </x:row>
    <x:row r="1175">
      <x:c r="M1175" s="300"/>
    </x:row>
    <x:row r="1176">
      <x:c r="M1176" s="300"/>
    </x:row>
    <x:row r="1177">
      <x:c r="M1177" s="300"/>
    </x:row>
    <x:row r="1178">
      <x:c r="M1178" s="300"/>
    </x:row>
    <x:row r="1179">
      <x:c r="M1179" s="300"/>
    </x:row>
    <x:row r="1180">
      <x:c r="M1180" s="300"/>
    </x:row>
    <x:row r="1181">
      <x:c r="M1181" s="300"/>
    </x:row>
    <x:row r="1182">
      <x:c r="M1182" s="300"/>
    </x:row>
    <x:row r="1183">
      <x:c r="M1183" s="300"/>
    </x:row>
    <x:row r="1184">
      <x:c r="M1184" s="300"/>
    </x:row>
    <x:row r="1185">
      <x:c r="M1185" s="300"/>
    </x:row>
    <x:row r="1186">
      <x:c r="M1186" s="300"/>
    </x:row>
    <x:row r="1187">
      <x:c r="M1187" s="300"/>
    </x:row>
    <x:row r="1188">
      <x:c r="M1188" s="300"/>
    </x:row>
    <x:row r="1189">
      <x:c r="M1189" s="300"/>
    </x:row>
    <x:row r="1190">
      <x:c r="M1190" s="300"/>
    </x:row>
    <x:row r="1191">
      <x:c r="M1191" s="300"/>
    </x:row>
    <x:row r="1192">
      <x:c r="M1192" s="300"/>
    </x:row>
    <x:row r="1193">
      <x:c r="M1193" s="300"/>
    </x:row>
    <x:row r="1194">
      <x:c r="M1194" s="300"/>
    </x:row>
    <x:row r="1195">
      <x:c r="M1195" s="300"/>
    </x:row>
    <x:row r="1196">
      <x:c r="M1196" s="300"/>
    </x:row>
    <x:row r="1197">
      <x:c r="M1197" s="300"/>
    </x:row>
    <x:row r="1198">
      <x:c r="M1198" s="300"/>
    </x:row>
    <x:row r="1199">
      <x:c r="M1199" s="300"/>
    </x:row>
    <x:row r="1200">
      <x:c r="M1200" s="300"/>
    </x:row>
    <x:row r="1201">
      <x:c r="M1201" s="300"/>
    </x:row>
    <x:row r="1202">
      <x:c r="M1202" s="300"/>
    </x:row>
    <x:row r="1203">
      <x:c r="M1203" s="300"/>
    </x:row>
    <x:row r="1204">
      <x:c r="M1204" s="300"/>
    </x:row>
    <x:row r="1205">
      <x:c r="M1205" s="300"/>
    </x:row>
    <x:row r="1206">
      <x:c r="M1206" s="300"/>
    </x:row>
    <x:row r="1207">
      <x:c r="M1207" s="300"/>
    </x:row>
    <x:row r="1208">
      <x:c r="M1208" s="300"/>
    </x:row>
    <x:row r="1209">
      <x:c r="M1209" s="300"/>
    </x:row>
    <x:row r="1210">
      <x:c r="M1210" s="300"/>
    </x:row>
    <x:row r="1211">
      <x:c r="M1211" s="300"/>
    </x:row>
    <x:row r="1212">
      <x:c r="M1212" s="300"/>
    </x:row>
    <x:row r="1213">
      <x:c r="M1213" s="300"/>
    </x:row>
    <x:row r="1214">
      <x:c r="M1214" s="300"/>
    </x:row>
    <x:row r="1215">
      <x:c r="M1215" s="300"/>
    </x:row>
    <x:row r="1216">
      <x:c r="M1216" s="300"/>
    </x:row>
    <x:row r="1217">
      <x:c r="M1217" s="300"/>
    </x:row>
    <x:row r="1218">
      <x:c r="M1218" s="300"/>
    </x:row>
    <x:row r="1219">
      <x:c r="M1219" s="300"/>
    </x:row>
    <x:row r="1220">
      <x:c r="M1220" s="300"/>
    </x:row>
    <x:row r="1221">
      <x:c r="M1221" s="300"/>
    </x:row>
    <x:row r="1222">
      <x:c r="M1222" s="300"/>
    </x:row>
    <x:row r="1223">
      <x:c r="M1223" s="300"/>
    </x:row>
    <x:row r="1224">
      <x:c r="M1224" s="300"/>
    </x:row>
    <x:row r="1225">
      <x:c r="M1225" s="300"/>
    </x:row>
    <x:row r="1226">
      <x:c r="M1226" s="300"/>
    </x:row>
    <x:row r="1227">
      <x:c r="M1227" s="300"/>
    </x:row>
    <x:row r="1228">
      <x:c r="M1228" s="300"/>
    </x:row>
    <x:row r="1229">
      <x:c r="M1229" s="300"/>
    </x:row>
    <x:row r="1230">
      <x:c r="M1230" s="300"/>
    </x:row>
    <x:row r="1231">
      <x:c r="M1231" s="300"/>
    </x:row>
    <x:row r="1232">
      <x:c r="M1232" s="300"/>
    </x:row>
    <x:row r="1233">
      <x:c r="M1233" s="300"/>
    </x:row>
    <x:row r="1234">
      <x:c r="M1234" s="300"/>
    </x:row>
    <x:row r="1235">
      <x:c r="M1235" s="300"/>
    </x:row>
    <x:row r="1236">
      <x:c r="M1236" s="300"/>
    </x:row>
    <x:row r="1237">
      <x:c r="M1237" s="300"/>
    </x:row>
    <x:row r="1238">
      <x:c r="M1238" s="300"/>
    </x:row>
    <x:row r="1239">
      <x:c r="M1239" s="300"/>
    </x:row>
    <x:row r="1240">
      <x:c r="M1240" s="300"/>
    </x:row>
    <x:row r="1241">
      <x:c r="M1241" s="300"/>
    </x:row>
    <x:row r="1242">
      <x:c r="M1242" s="300"/>
    </x:row>
    <x:row r="1243">
      <x:c r="M1243" s="300"/>
    </x:row>
    <x:row r="1244">
      <x:c r="M1244" s="300"/>
    </x:row>
    <x:row r="1245">
      <x:c r="M1245" s="300"/>
    </x:row>
    <x:row r="1246">
      <x:c r="M1246" s="300"/>
    </x:row>
    <x:row r="1247">
      <x:c r="M1247" s="300"/>
    </x:row>
    <x:row r="1248">
      <x:c r="M1248" s="300"/>
    </x:row>
    <x:row r="1249">
      <x:c r="M1249" s="300"/>
    </x:row>
    <x:row r="1250">
      <x:c r="M1250" s="300"/>
    </x:row>
    <x:row r="1251">
      <x:c r="M1251" s="300"/>
    </x:row>
    <x:row r="1252">
      <x:c r="M1252" s="300"/>
    </x:row>
    <x:row r="1253">
      <x:c r="M1253" s="300"/>
    </x:row>
    <x:row r="1254">
      <x:c r="M1254" s="300"/>
    </x:row>
    <x:row r="1255">
      <x:c r="M1255" s="300"/>
    </x:row>
    <x:row r="1256">
      <x:c r="M1256" s="300"/>
    </x:row>
    <x:row r="1257">
      <x:c r="M1257" s="300"/>
    </x:row>
    <x:row r="1258">
      <x:c r="M1258" s="300"/>
    </x:row>
    <x:row r="1259">
      <x:c r="M1259" s="300"/>
    </x:row>
    <x:row r="1260">
      <x:c r="M1260" s="300"/>
    </x:row>
    <x:row r="1261">
      <x:c r="M1261" s="300"/>
    </x:row>
    <x:row r="1262">
      <x:c r="M1262" s="300"/>
    </x:row>
    <x:row r="1263">
      <x:c r="M1263" s="300"/>
    </x:row>
    <x:row r="1264">
      <x:c r="M1264" s="300"/>
    </x:row>
    <x:row r="1265">
      <x:c r="M1265" s="300"/>
    </x:row>
    <x:row r="1266">
      <x:c r="M1266" s="300"/>
    </x:row>
    <x:row r="1267">
      <x:c r="M1267" s="300"/>
    </x:row>
    <x:row r="1268">
      <x:c r="M1268" s="300"/>
    </x:row>
    <x:row r="1269">
      <x:c r="M1269" s="300"/>
    </x:row>
    <x:row r="1270">
      <x:c r="M1270" s="300"/>
    </x:row>
    <x:row r="1271">
      <x:c r="M1271" s="300"/>
    </x:row>
    <x:row r="1272">
      <x:c r="M1272" s="300"/>
    </x:row>
    <x:row r="1273">
      <x:c r="M1273" s="300"/>
    </x:row>
    <x:row r="1274">
      <x:c r="M1274" s="300"/>
    </x:row>
    <x:row r="1275">
      <x:c r="M1275" s="300"/>
    </x:row>
    <x:row r="1276">
      <x:c r="M1276" s="300"/>
    </x:row>
    <x:row r="1277">
      <x:c r="M1277" s="300"/>
    </x:row>
    <x:row r="1278">
      <x:c r="M1278" s="300"/>
    </x:row>
    <x:row r="1279">
      <x:c r="M1279" s="300"/>
    </x:row>
    <x:row r="1280">
      <x:c r="M1280" s="300"/>
    </x:row>
    <x:row r="1281">
      <x:c r="M1281" s="300"/>
    </x:row>
    <x:row r="1282">
      <x:c r="M1282" s="300"/>
    </x:row>
    <x:row r="1283">
      <x:c r="M1283" s="300"/>
    </x:row>
    <x:row r="1284">
      <x:c r="M1284" s="300"/>
    </x:row>
    <x:row r="1285">
      <x:c r="M1285" s="300"/>
    </x:row>
    <x:row r="1286">
      <x:c r="M1286" s="300"/>
    </x:row>
    <x:row r="1287">
      <x:c r="M1287" s="300"/>
    </x:row>
    <x:row r="1288">
      <x:c r="M1288" s="300"/>
    </x:row>
    <x:row r="1289">
      <x:c r="M1289" s="300"/>
    </x:row>
    <x:row r="1290">
      <x:c r="M1290" s="300"/>
    </x:row>
    <x:row r="1291">
      <x:c r="M1291" s="300"/>
    </x:row>
    <x:row r="1292">
      <x:c r="M1292" s="300"/>
    </x:row>
    <x:row r="1293">
      <x:c r="M1293" s="300"/>
    </x:row>
    <x:row r="1294">
      <x:c r="M1294" s="300"/>
    </x:row>
    <x:row r="1295">
      <x:c r="M1295" s="300"/>
    </x:row>
    <x:row r="1296">
      <x:c r="M1296" s="300"/>
    </x:row>
    <x:row r="1297">
      <x:c r="M1297" s="300"/>
    </x:row>
    <x:row r="1298">
      <x:c r="M1298" s="300"/>
    </x:row>
    <x:row r="1299">
      <x:c r="M1299" s="300"/>
    </x:row>
    <x:row r="1300">
      <x:c r="M1300" s="300"/>
    </x:row>
    <x:row r="1301">
      <x:c r="M1301" s="300"/>
    </x:row>
    <x:row r="1302">
      <x:c r="M1302" s="300"/>
    </x:row>
    <x:row r="1303">
      <x:c r="M1303" s="300"/>
    </x:row>
    <x:row r="1304">
      <x:c r="M1304" s="300"/>
    </x:row>
    <x:row r="1305">
      <x:c r="M1305" s="300"/>
    </x:row>
    <x:row r="1306">
      <x:c r="M1306" s="300"/>
    </x:row>
    <x:row r="1307">
      <x:c r="M1307" s="300"/>
    </x:row>
    <x:row r="1308">
      <x:c r="M1308" s="300"/>
    </x:row>
    <x:row r="1309">
      <x:c r="M1309" s="300"/>
    </x:row>
    <x:row r="1310">
      <x:c r="M1310" s="300"/>
    </x:row>
    <x:row r="1311">
      <x:c r="M1311" s="300"/>
    </x:row>
    <x:row r="1312">
      <x:c r="M1312" s="300"/>
    </x:row>
    <x:row r="1313">
      <x:c r="M1313" s="300"/>
    </x:row>
    <x:row r="1314">
      <x:c r="M1314" s="300"/>
    </x:row>
    <x:row r="1315">
      <x:c r="M1315" s="300"/>
    </x:row>
    <x:row r="1316">
      <x:c r="M1316" s="300"/>
    </x:row>
    <x:row r="1317">
      <x:c r="M1317" s="300"/>
    </x:row>
    <x:row r="1318">
      <x:c r="M1318" s="300"/>
    </x:row>
    <x:row r="1319">
      <x:c r="M1319" s="300"/>
    </x:row>
    <x:row r="1320">
      <x:c r="M1320" s="300"/>
    </x:row>
    <x:row r="1321">
      <x:c r="M1321" s="300"/>
    </x:row>
    <x:row r="1322">
      <x:c r="M1322" s="300"/>
    </x:row>
    <x:row r="1323">
      <x:c r="M1323" s="300"/>
    </x:row>
    <x:row r="1324">
      <x:c r="M1324" s="300"/>
    </x:row>
    <x:row r="1325">
      <x:c r="M1325" s="300"/>
    </x:row>
    <x:row r="1326">
      <x:c r="M1326" s="300"/>
    </x:row>
    <x:row r="1327">
      <x:c r="M1327" s="300"/>
    </x:row>
    <x:row r="1328">
      <x:c r="M1328" s="300"/>
    </x:row>
    <x:row r="1329">
      <x:c r="M1329" s="300"/>
    </x:row>
    <x:row r="1330">
      <x:c r="M1330" s="300"/>
    </x:row>
    <x:row r="1331">
      <x:c r="M1331" s="300"/>
    </x:row>
    <x:row r="1332">
      <x:c r="M1332" s="300"/>
    </x:row>
    <x:row r="1333">
      <x:c r="M1333" s="300"/>
    </x:row>
    <x:row r="1334">
      <x:c r="M1334" s="300"/>
    </x:row>
    <x:row r="1335">
      <x:c r="M1335" s="300"/>
    </x:row>
    <x:row r="1336">
      <x:c r="M1336" s="300"/>
    </x:row>
    <x:row r="1337">
      <x:c r="M1337" s="300"/>
    </x:row>
    <x:row r="1338">
      <x:c r="M1338" s="300"/>
    </x:row>
    <x:row r="1339">
      <x:c r="M1339" s="300"/>
    </x:row>
    <x:row r="1340">
      <x:c r="M1340" s="300"/>
    </x:row>
    <x:row r="1341">
      <x:c r="M1341" s="300"/>
    </x:row>
    <x:row r="1342">
      <x:c r="M1342" s="300"/>
    </x:row>
    <x:row r="1343">
      <x:c r="M1343" s="300"/>
    </x:row>
    <x:row r="1344">
      <x:c r="M1344" s="300"/>
    </x:row>
    <x:row r="1345">
      <x:c r="M1345" s="300"/>
    </x:row>
    <x:row r="1346">
      <x:c r="M1346" s="300"/>
    </x:row>
    <x:row r="1347">
      <x:c r="M1347" s="300"/>
    </x:row>
    <x:row r="1348">
      <x:c r="M1348" s="300"/>
    </x:row>
    <x:row r="1349">
      <x:c r="M1349" s="300"/>
    </x:row>
    <x:row r="1350">
      <x:c r="M1350" s="300"/>
    </x:row>
    <x:row r="1351">
      <x:c r="M1351" s="300"/>
    </x:row>
    <x:row r="1352">
      <x:c r="M1352" s="300"/>
    </x:row>
    <x:row r="1353">
      <x:c r="M1353" s="300"/>
    </x:row>
    <x:row r="1354">
      <x:c r="M1354" s="300"/>
    </x:row>
    <x:row r="1355">
      <x:c r="M1355" s="300"/>
    </x:row>
    <x:row r="1356">
      <x:c r="M1356" s="300"/>
    </x:row>
    <x:row r="1357">
      <x:c r="M1357" s="300"/>
    </x:row>
    <x:row r="1358">
      <x:c r="M1358" s="300"/>
    </x:row>
    <x:row r="1359">
      <x:c r="M1359" s="300"/>
    </x:row>
    <x:row r="1360">
      <x:c r="M1360" s="300"/>
    </x:row>
    <x:row r="1361">
      <x:c r="M1361" s="300"/>
    </x:row>
    <x:row r="1362">
      <x:c r="M1362" s="300"/>
    </x:row>
    <x:row r="1363">
      <x:c r="M1363" s="300"/>
    </x:row>
    <x:row r="1364">
      <x:c r="M1364" s="300"/>
    </x:row>
    <x:row r="1365">
      <x:c r="M1365" s="300"/>
    </x:row>
    <x:row r="1366">
      <x:c r="M1366" s="300"/>
    </x:row>
    <x:row r="1367">
      <x:c r="M1367" s="300"/>
    </x:row>
    <x:row r="1368">
      <x:c r="M1368" s="300"/>
    </x:row>
    <x:row r="1369">
      <x:c r="M1369" s="300"/>
    </x:row>
    <x:row r="1370">
      <x:c r="M1370" s="300"/>
    </x:row>
    <x:row r="1371">
      <x:c r="M1371" s="300"/>
    </x:row>
    <x:row r="1372">
      <x:c r="M1372" s="300"/>
    </x:row>
    <x:row r="1373">
      <x:c r="M1373" s="300"/>
    </x:row>
    <x:row r="1374">
      <x:c r="M1374" s="300"/>
    </x:row>
    <x:row r="1375">
      <x:c r="M1375" s="300"/>
    </x:row>
    <x:row r="1376">
      <x:c r="M1376" s="300"/>
    </x:row>
    <x:row r="1377">
      <x:c r="M1377" s="300"/>
    </x:row>
    <x:row r="1378">
      <x:c r="M1378" s="300"/>
    </x:row>
    <x:row r="1379">
      <x:c r="M1379" s="300"/>
    </x:row>
    <x:row r="1380">
      <x:c r="M1380" s="300"/>
    </x:row>
    <x:row r="1381">
      <x:c r="M1381" s="300"/>
    </x:row>
    <x:row r="1382">
      <x:c r="M1382" s="300"/>
    </x:row>
    <x:row r="1383">
      <x:c r="M1383" s="300"/>
    </x:row>
    <x:row r="1384">
      <x:c r="M1384" s="300"/>
    </x:row>
    <x:row r="1385">
      <x:c r="M1385" s="300"/>
    </x:row>
    <x:row r="1386">
      <x:c r="M1386" s="300"/>
    </x:row>
    <x:row r="1387">
      <x:c r="M1387" s="300"/>
    </x:row>
    <x:row r="1388">
      <x:c r="M1388" s="300"/>
    </x:row>
    <x:row r="1389">
      <x:c r="M1389" s="300"/>
    </x:row>
    <x:row r="1390">
      <x:c r="M1390" s="300"/>
    </x:row>
    <x:row r="1391">
      <x:c r="M1391" s="300"/>
    </x:row>
    <x:row r="1392">
      <x:c r="M1392" s="300"/>
    </x:row>
    <x:row r="1393">
      <x:c r="M1393" s="300"/>
    </x:row>
    <x:row r="1394">
      <x:c r="M1394" s="300"/>
    </x:row>
    <x:row r="1395">
      <x:c r="M1395" s="300"/>
    </x:row>
    <x:row r="1396">
      <x:c r="M1396" s="300"/>
    </x:row>
    <x:row r="1397">
      <x:c r="M1397" s="300"/>
    </x:row>
    <x:row r="1398">
      <x:c r="M1398" s="300"/>
    </x:row>
    <x:row r="1399">
      <x:c r="M1399" s="300"/>
    </x:row>
    <x:row r="1400">
      <x:c r="M1400" s="300"/>
    </x:row>
    <x:row r="1401">
      <x:c r="M1401" s="300"/>
    </x:row>
    <x:row r="1402">
      <x:c r="M1402" s="300"/>
    </x:row>
    <x:row r="1403">
      <x:c r="M1403" s="300"/>
    </x:row>
    <x:row r="1404">
      <x:c r="M1404" s="300"/>
    </x:row>
    <x:row r="1405">
      <x:c r="M1405" s="300"/>
    </x:row>
    <x:row r="1406">
      <x:c r="M1406" s="300"/>
    </x:row>
    <x:row r="1407">
      <x:c r="M1407" s="300"/>
    </x:row>
    <x:row r="1408">
      <x:c r="M1408" s="300"/>
    </x:row>
    <x:row r="1409">
      <x:c r="M1409" s="300"/>
    </x:row>
    <x:row r="1410">
      <x:c r="M1410" s="300"/>
    </x:row>
    <x:row r="1411">
      <x:c r="M1411" s="300"/>
    </x:row>
    <x:row r="1412">
      <x:c r="M1412" s="300"/>
    </x:row>
    <x:row r="1413">
      <x:c r="M1413" s="300"/>
    </x:row>
    <x:row r="1414">
      <x:c r="M1414" s="300"/>
    </x:row>
    <x:row r="1415">
      <x:c r="M1415" s="300"/>
    </x:row>
    <x:row r="1416">
      <x:c r="M1416" s="300"/>
    </x:row>
    <x:row r="1417">
      <x:c r="M1417" s="300"/>
    </x:row>
    <x:row r="1418">
      <x:c r="M1418" s="300"/>
    </x:row>
    <x:row r="1419">
      <x:c r="M1419" s="300"/>
    </x:row>
    <x:row r="1420">
      <x:c r="M1420" s="300"/>
    </x:row>
    <x:row r="1421">
      <x:c r="M1421" s="300"/>
    </x:row>
    <x:row r="1422">
      <x:c r="M1422" s="300"/>
    </x:row>
    <x:row r="1423">
      <x:c r="M1423" s="300"/>
    </x:row>
    <x:row r="1424">
      <x:c r="M1424" s="300"/>
    </x:row>
    <x:row r="1425">
      <x:c r="M1425" s="300"/>
    </x:row>
    <x:row r="1426">
      <x:c r="M1426" s="300"/>
    </x:row>
    <x:row r="1427">
      <x:c r="M1427" s="300"/>
    </x:row>
    <x:row r="1428">
      <x:c r="M1428" s="300"/>
    </x:row>
    <x:row r="1429">
      <x:c r="M1429" s="300"/>
    </x:row>
    <x:row r="1430">
      <x:c r="M1430" s="300"/>
    </x:row>
    <x:row r="1431">
      <x:c r="M1431" s="300"/>
    </x:row>
    <x:row r="1432">
      <x:c r="M1432" s="300"/>
    </x:row>
    <x:row r="1433">
      <x:c r="M1433" s="300"/>
    </x:row>
    <x:row r="1434">
      <x:c r="M1434" s="300"/>
    </x:row>
    <x:row r="1435">
      <x:c r="M1435" s="300"/>
    </x:row>
    <x:row r="1436">
      <x:c r="M1436" s="300"/>
    </x:row>
    <x:row r="1437">
      <x:c r="M1437" s="300"/>
    </x:row>
    <x:row r="1438">
      <x:c r="M1438" s="300"/>
    </x:row>
    <x:row r="1439">
      <x:c r="M1439" s="300"/>
    </x:row>
    <x:row r="1440">
      <x:c r="M1440" s="300"/>
    </x:row>
    <x:row r="1441">
      <x:c r="M1441" s="300"/>
    </x:row>
    <x:row r="1442">
      <x:c r="M1442" s="300"/>
    </x:row>
    <x:row r="1443">
      <x:c r="M1443" s="300"/>
    </x:row>
    <x:row r="1444">
      <x:c r="M1444" s="300"/>
    </x:row>
    <x:row r="1445">
      <x:c r="M1445" s="300"/>
    </x:row>
    <x:row r="1446">
      <x:c r="M1446" s="300"/>
    </x:row>
    <x:row r="1447">
      <x:c r="M1447" s="300"/>
    </x:row>
    <x:row r="1448">
      <x:c r="M1448" s="300"/>
    </x:row>
    <x:row r="1449">
      <x:c r="M1449" s="300"/>
    </x:row>
    <x:row r="1450">
      <x:c r="M1450" s="300"/>
    </x:row>
    <x:row r="1451">
      <x:c r="M1451" s="300"/>
    </x:row>
    <x:row r="1452">
      <x:c r="M1452" s="300"/>
    </x:row>
    <x:row r="1453">
      <x:c r="M1453" s="300"/>
    </x:row>
    <x:row r="1454">
      <x:c r="M1454" s="300"/>
    </x:row>
    <x:row r="1455">
      <x:c r="M1455" s="300"/>
    </x:row>
    <x:row r="1456">
      <x:c r="M1456" s="300"/>
    </x:row>
    <x:row r="1457">
      <x:c r="M1457" s="300"/>
    </x:row>
    <x:row r="1458">
      <x:c r="M1458" s="300"/>
    </x:row>
    <x:row r="1459">
      <x:c r="M1459" s="300"/>
    </x:row>
    <x:row r="1460">
      <x:c r="M1460" s="300"/>
    </x:row>
    <x:row r="1461">
      <x:c r="M1461" s="300"/>
    </x:row>
    <x:row r="1462">
      <x:c r="M1462" s="300"/>
    </x:row>
    <x:row r="1463">
      <x:c r="M1463" s="300"/>
    </x:row>
    <x:row r="1464">
      <x:c r="M1464" s="300"/>
    </x:row>
    <x:row r="1465">
      <x:c r="M1465" s="300"/>
    </x:row>
    <x:row r="1466">
      <x:c r="M1466" s="300"/>
    </x:row>
    <x:row r="1467">
      <x:c r="M1467" s="300"/>
    </x:row>
    <x:row r="1468">
      <x:c r="M1468" s="300"/>
    </x:row>
    <x:row r="1469">
      <x:c r="M1469" s="300"/>
    </x:row>
    <x:row r="1470">
      <x:c r="M1470" s="300"/>
    </x:row>
    <x:row r="1471">
      <x:c r="M1471" s="300"/>
    </x:row>
    <x:row r="1472">
      <x:c r="M1472" s="300"/>
    </x:row>
    <x:row r="1473">
      <x:c r="M1473" s="300"/>
    </x:row>
    <x:row r="1474">
      <x:c r="M1474" s="300"/>
    </x:row>
    <x:row r="1475">
      <x:c r="M1475" s="300"/>
    </x:row>
    <x:row r="1476">
      <x:c r="M1476" s="300"/>
    </x:row>
    <x:row r="1477">
      <x:c r="M1477" s="300"/>
    </x:row>
    <x:row r="1478">
      <x:c r="M1478" s="300"/>
    </x:row>
    <x:row r="1479">
      <x:c r="M1479" s="300"/>
    </x:row>
    <x:row r="1480">
      <x:c r="M1480" s="300"/>
    </x:row>
    <x:row r="1481">
      <x:c r="M1481" s="300"/>
    </x:row>
    <x:row r="1482">
      <x:c r="M1482" s="300"/>
    </x:row>
    <x:row r="1483">
      <x:c r="M1483" s="300"/>
    </x:row>
    <x:row r="1484">
      <x:c r="M1484" s="300"/>
    </x:row>
    <x:row r="1485">
      <x:c r="M1485" s="300"/>
    </x:row>
    <x:row r="1486">
      <x:c r="M1486" s="300"/>
    </x:row>
    <x:row r="1487">
      <x:c r="M1487" s="300"/>
    </x:row>
    <x:row r="1488">
      <x:c r="M1488" s="300"/>
    </x:row>
    <x:row r="1489">
      <x:c r="M1489" s="300"/>
    </x:row>
    <x:row r="1490">
      <x:c r="M1490" s="300"/>
    </x:row>
    <x:row r="1491">
      <x:c r="M1491" s="300"/>
    </x:row>
    <x:row r="1492">
      <x:c r="M1492" s="300"/>
    </x:row>
    <x:row r="1493">
      <x:c r="M1493" s="300"/>
    </x:row>
    <x:row r="1494">
      <x:c r="M1494" s="300"/>
    </x:row>
    <x:row r="1495">
      <x:c r="M1495" s="300"/>
    </x:row>
    <x:row r="1496">
      <x:c r="M1496" s="300"/>
    </x:row>
    <x:row r="1497">
      <x:c r="M1497" s="300"/>
    </x:row>
    <x:row r="1498">
      <x:c r="M1498" s="300"/>
    </x:row>
    <x:row r="1499">
      <x:c r="M1499" s="300"/>
    </x:row>
    <x:row r="1500">
      <x:c r="M1500" s="300"/>
    </x:row>
    <x:row r="1501">
      <x:c r="M1501" s="300"/>
    </x:row>
    <x:row r="1502">
      <x:c r="M1502" s="300"/>
    </x:row>
    <x:row r="1503">
      <x:c r="M1503" s="300"/>
    </x:row>
    <x:row r="1504">
      <x:c r="M1504" s="300"/>
    </x:row>
    <x:row r="1505">
      <x:c r="M1505" s="300"/>
    </x:row>
    <x:row r="1506">
      <x:c r="M1506" s="300"/>
    </x:row>
    <x:row r="1507">
      <x:c r="M1507" s="300"/>
    </x:row>
    <x:row r="1508">
      <x:c r="M1508" s="300"/>
    </x:row>
    <x:row r="1509">
      <x:c r="M1509" s="300"/>
    </x:row>
    <x:row r="1510">
      <x:c r="M1510" s="300"/>
    </x:row>
    <x:row r="1511">
      <x:c r="M1511" s="300"/>
    </x:row>
    <x:row r="1512">
      <x:c r="M1512" s="300"/>
    </x:row>
    <x:row r="1513">
      <x:c r="M1513" s="300"/>
    </x:row>
    <x:row r="1514">
      <x:c r="M1514" s="300"/>
    </x:row>
    <x:row r="1515">
      <x:c r="M1515" s="300"/>
    </x:row>
    <x:row r="1516">
      <x:c r="M1516" s="300"/>
    </x:row>
    <x:row r="1517">
      <x:c r="M1517" s="300"/>
    </x:row>
    <x:row r="1518">
      <x:c r="M1518" s="300"/>
    </x:row>
    <x:row r="1519">
      <x:c r="M1519" s="300"/>
    </x:row>
    <x:row r="1520">
      <x:c r="M1520" s="300"/>
    </x:row>
    <x:row r="1521">
      <x:c r="M1521" s="300"/>
    </x:row>
    <x:row r="1522">
      <x:c r="M1522" s="300"/>
    </x:row>
    <x:row r="1523">
      <x:c r="M1523" s="300"/>
    </x:row>
    <x:row r="1524">
      <x:c r="M1524" s="300"/>
    </x:row>
    <x:row r="1525">
      <x:c r="M1525" s="300"/>
    </x:row>
    <x:row r="1526">
      <x:c r="M1526" s="300"/>
    </x:row>
    <x:row r="1527">
      <x:c r="M1527" s="300"/>
    </x:row>
    <x:row r="1528">
      <x:c r="M1528" s="300"/>
    </x:row>
    <x:row r="1529">
      <x:c r="M1529" s="300"/>
    </x:row>
    <x:row r="1530">
      <x:c r="M1530" s="300"/>
    </x:row>
    <x:row r="1531">
      <x:c r="M1531" s="300"/>
    </x:row>
    <x:row r="1532">
      <x:c r="M1532" s="300"/>
    </x:row>
    <x:row r="1533">
      <x:c r="M1533" s="300"/>
    </x:row>
    <x:row r="1534">
      <x:c r="M1534" s="300"/>
    </x:row>
    <x:row r="1535">
      <x:c r="M1535" s="300"/>
    </x:row>
    <x:row r="1536">
      <x:c r="M1536" s="300"/>
    </x:row>
    <x:row r="1537">
      <x:c r="M1537" s="300"/>
    </x:row>
    <x:row r="1538">
      <x:c r="M1538" s="300"/>
    </x:row>
    <x:row r="1539">
      <x:c r="M1539" s="300"/>
    </x:row>
    <x:row r="1540">
      <x:c r="M1540" s="300"/>
    </x:row>
    <x:row r="1541">
      <x:c r="M1541" s="300"/>
    </x:row>
    <x:row r="1542">
      <x:c r="M1542" s="300"/>
    </x:row>
    <x:row r="1543">
      <x:c r="M1543" s="300"/>
    </x:row>
    <x:row r="1544">
      <x:c r="M1544" s="300"/>
    </x:row>
    <x:row r="1545">
      <x:c r="M1545" s="300"/>
    </x:row>
    <x:row r="1546">
      <x:c r="M1546" s="300"/>
    </x:row>
    <x:row r="1547">
      <x:c r="M1547" s="300"/>
    </x:row>
    <x:row r="1548">
      <x:c r="M1548" s="300"/>
    </x:row>
    <x:row r="1549">
      <x:c r="M1549" s="300"/>
    </x:row>
    <x:row r="1550">
      <x:c r="M1550" s="300"/>
    </x:row>
    <x:row r="1551">
      <x:c r="M1551" s="300"/>
    </x:row>
    <x:row r="1552">
      <x:c r="M1552" s="300"/>
    </x:row>
    <x:row r="1553">
      <x:c r="M1553" s="300"/>
    </x:row>
    <x:row r="1554">
      <x:c r="M1554" s="300"/>
    </x:row>
    <x:row r="1555">
      <x:c r="M1555" s="300"/>
    </x:row>
    <x:row r="1556">
      <x:c r="M1556" s="300"/>
    </x:row>
    <x:row r="1557">
      <x:c r="M1557" s="300"/>
    </x:row>
    <x:row r="1558">
      <x:c r="M1558" s="300"/>
    </x:row>
    <x:row r="1559">
      <x:c r="M1559" s="300"/>
    </x:row>
    <x:row r="1560">
      <x:c r="M1560" s="300"/>
    </x:row>
    <x:row r="1561">
      <x:c r="M1561" s="300"/>
    </x:row>
    <x:row r="1562">
      <x:c r="M1562" s="300"/>
    </x:row>
    <x:row r="1563">
      <x:c r="M1563" s="300"/>
    </x:row>
    <x:row r="1564">
      <x:c r="M1564" s="300"/>
    </x:row>
    <x:row r="1565">
      <x:c r="M1565" s="300"/>
    </x:row>
    <x:row r="1566">
      <x:c r="M1566" s="300"/>
    </x:row>
    <x:row r="1567">
      <x:c r="M1567" s="300"/>
    </x:row>
    <x:row r="1568">
      <x:c r="M1568" s="300"/>
    </x:row>
    <x:row r="1569">
      <x:c r="M1569" s="300"/>
    </x:row>
    <x:row r="1570">
      <x:c r="M1570" s="300"/>
    </x:row>
    <x:row r="1571">
      <x:c r="M1571" s="300"/>
    </x:row>
    <x:row r="1572">
      <x:c r="M1572" s="300"/>
    </x:row>
    <x:row r="1573">
      <x:c r="M1573" s="300"/>
    </x:row>
    <x:row r="1574">
      <x:c r="M1574" s="300"/>
    </x:row>
    <x:row r="1575">
      <x:c r="M1575" s="300"/>
    </x:row>
    <x:row r="1576">
      <x:c r="M1576" s="300"/>
    </x:row>
    <x:row r="1577">
      <x:c r="M1577" s="300"/>
    </x:row>
    <x:row r="1578">
      <x:c r="M1578" s="300"/>
    </x:row>
    <x:row r="1579">
      <x:c r="M1579" s="300"/>
    </x:row>
    <x:row r="1580">
      <x:c r="M1580" s="300"/>
    </x:row>
    <x:row r="1581">
      <x:c r="M1581" s="300"/>
    </x:row>
    <x:row r="1582">
      <x:c r="M1582" s="300"/>
    </x:row>
    <x:row r="1583">
      <x:c r="M1583" s="300"/>
    </x:row>
    <x:row r="1584">
      <x:c r="M1584" s="300"/>
    </x:row>
    <x:row r="1585">
      <x:c r="M1585" s="300"/>
    </x:row>
    <x:row r="1586">
      <x:c r="M1586" s="300"/>
    </x:row>
    <x:row r="1587">
      <x:c r="M1587" s="300"/>
    </x:row>
    <x:row r="1588">
      <x:c r="M1588" s="300"/>
    </x:row>
    <x:row r="1589">
      <x:c r="M1589" s="300"/>
    </x:row>
    <x:row r="1590">
      <x:c r="M1590" s="300"/>
    </x:row>
    <x:row r="1591">
      <x:c r="M1591" s="300"/>
    </x:row>
    <x:row r="1592">
      <x:c r="M1592" s="300"/>
    </x:row>
    <x:row r="1593">
      <x:c r="M1593" s="300"/>
    </x:row>
    <x:row r="1594">
      <x:c r="M1594" s="300"/>
    </x:row>
    <x:row r="1595">
      <x:c r="M1595" s="300"/>
    </x:row>
    <x:row r="1596">
      <x:c r="M1596" s="300"/>
    </x:row>
    <x:row r="1597">
      <x:c r="M1597" s="300"/>
    </x:row>
    <x:row r="1598">
      <x:c r="M1598" s="300"/>
    </x:row>
    <x:row r="1599">
      <x:c r="M1599" s="300"/>
    </x:row>
    <x:row r="1600">
      <x:c r="M1600" s="300"/>
    </x:row>
    <x:row r="1601">
      <x:c r="M1601" s="300"/>
    </x:row>
    <x:row r="1602">
      <x:c r="M1602" s="300"/>
    </x:row>
    <x:row r="1603">
      <x:c r="M1603" s="300"/>
    </x:row>
    <x:row r="1604">
      <x:c r="M1604" s="300"/>
    </x:row>
    <x:row r="1605">
      <x:c r="M1605" s="300"/>
    </x:row>
    <x:row r="1606">
      <x:c r="M1606" s="300"/>
    </x:row>
    <x:row r="1607">
      <x:c r="M1607" s="300"/>
    </x:row>
    <x:row r="1608">
      <x:c r="M1608" s="300"/>
    </x:row>
    <x:row r="1609">
      <x:c r="M1609" s="300"/>
    </x:row>
    <x:row r="1610">
      <x:c r="M1610" s="300"/>
    </x:row>
    <x:row r="1611">
      <x:c r="M1611" s="300"/>
    </x:row>
    <x:row r="1612">
      <x:c r="M1612" s="300"/>
    </x:row>
    <x:row r="1613">
      <x:c r="M1613" s="300"/>
    </x:row>
    <x:row r="1614">
      <x:c r="M1614" s="300"/>
    </x:row>
    <x:row r="1615">
      <x:c r="M1615" s="300"/>
    </x:row>
    <x:row r="1616">
      <x:c r="M1616" s="300"/>
    </x:row>
    <x:row r="1617">
      <x:c r="M1617" s="300"/>
    </x:row>
    <x:row r="1618">
      <x:c r="M1618" s="300"/>
    </x:row>
    <x:row r="1619">
      <x:c r="M1619" s="300"/>
    </x:row>
    <x:row r="1620">
      <x:c r="M1620" s="300"/>
    </x:row>
    <x:row r="1621">
      <x:c r="M1621" s="300"/>
    </x:row>
    <x:row r="1622">
      <x:c r="M1622" s="300"/>
    </x:row>
    <x:row r="1623">
      <x:c r="M1623" s="300"/>
    </x:row>
    <x:row r="1624">
      <x:c r="M1624" s="300"/>
    </x:row>
    <x:row r="1625">
      <x:c r="M1625" s="300"/>
    </x:row>
    <x:row r="1626">
      <x:c r="M1626" s="300"/>
    </x:row>
    <x:row r="1627">
      <x:c r="M1627" s="300"/>
    </x:row>
    <x:row r="1628">
      <x:c r="M1628" s="300"/>
    </x:row>
    <x:row r="1629">
      <x:c r="M1629" s="300"/>
    </x:row>
    <x:row r="1630">
      <x:c r="M1630" s="300"/>
    </x:row>
    <x:row r="1631">
      <x:c r="M1631" s="300"/>
    </x:row>
    <x:row r="1632">
      <x:c r="M1632" s="300"/>
    </x:row>
    <x:row r="1633">
      <x:c r="M1633" s="300"/>
    </x:row>
    <x:row r="1634">
      <x:c r="M1634" s="300"/>
    </x:row>
    <x:row r="1635">
      <x:c r="M1635" s="300"/>
    </x:row>
    <x:row r="1636">
      <x:c r="M1636" s="300"/>
    </x:row>
    <x:row r="1637">
      <x:c r="M1637" s="300"/>
    </x:row>
    <x:row r="1638">
      <x:c r="M1638" s="300"/>
    </x:row>
    <x:row r="1639">
      <x:c r="M1639" s="300"/>
    </x:row>
    <x:row r="1640">
      <x:c r="M1640" s="300"/>
    </x:row>
    <x:row r="1641">
      <x:c r="M1641" s="300"/>
    </x:row>
    <x:row r="1642">
      <x:c r="M1642" s="300"/>
    </x:row>
    <x:row r="1643">
      <x:c r="M1643" s="300"/>
    </x:row>
    <x:row r="1644">
      <x:c r="M1644" s="300"/>
    </x:row>
    <x:row r="1645">
      <x:c r="M1645" s="300"/>
    </x:row>
    <x:row r="1646">
      <x:c r="M1646" s="300"/>
    </x:row>
    <x:row r="1647">
      <x:c r="M1647" s="300"/>
    </x:row>
    <x:row r="1648">
      <x:c r="M1648" s="300"/>
    </x:row>
    <x:row r="1649">
      <x:c r="M1649" s="300"/>
    </x:row>
    <x:row r="1650">
      <x:c r="M1650" s="300"/>
    </x:row>
    <x:row r="1651">
      <x:c r="M1651" s="300"/>
    </x:row>
    <x:row r="1652">
      <x:c r="M1652" s="300"/>
    </x:row>
    <x:row r="1653">
      <x:c r="M1653" s="300"/>
    </x:row>
    <x:row r="1654">
      <x:c r="M1654" s="300"/>
    </x:row>
    <x:row r="1655">
      <x:c r="M1655" s="300"/>
    </x:row>
    <x:row r="1656">
      <x:c r="M1656" s="300"/>
    </x:row>
    <x:row r="1657">
      <x:c r="M1657" s="300"/>
    </x:row>
    <x:row r="1658">
      <x:c r="M1658" s="300"/>
    </x:row>
    <x:row r="1659">
      <x:c r="M1659" s="300"/>
    </x:row>
    <x:row r="1660">
      <x:c r="M1660" s="300"/>
    </x:row>
    <x:row r="1661">
      <x:c r="M1661" s="300"/>
    </x:row>
    <x:row r="1662">
      <x:c r="M1662" s="300"/>
    </x:row>
    <x:row r="1663">
      <x:c r="M1663" s="300"/>
    </x:row>
    <x:row r="1664">
      <x:c r="M1664" s="300"/>
    </x:row>
    <x:row r="1665">
      <x:c r="M1665" s="300"/>
    </x:row>
    <x:row r="1666">
      <x:c r="M1666" s="300"/>
    </x:row>
    <x:row r="1667">
      <x:c r="M1667" s="300"/>
    </x:row>
    <x:row r="1668">
      <x:c r="M1668" s="300"/>
    </x:row>
    <x:row r="1669">
      <x:c r="M1669" s="300"/>
    </x:row>
    <x:row r="1670">
      <x:c r="M1670" s="300"/>
    </x:row>
    <x:row r="1671">
      <x:c r="M1671" s="300"/>
    </x:row>
    <x:row r="1672">
      <x:c r="M1672" s="300"/>
    </x:row>
    <x:row r="1673">
      <x:c r="M1673" s="300"/>
    </x:row>
    <x:row r="1674">
      <x:c r="M1674" s="300"/>
    </x:row>
    <x:row r="1675">
      <x:c r="M1675" s="300"/>
    </x:row>
    <x:row r="1676">
      <x:c r="M1676" s="300"/>
    </x:row>
    <x:row r="1677">
      <x:c r="M1677" s="300"/>
    </x:row>
    <x:row r="1678">
      <x:c r="M1678" s="300"/>
    </x:row>
    <x:row r="1679">
      <x:c r="M1679" s="300"/>
    </x:row>
    <x:row r="1680">
      <x:c r="M1680" s="300"/>
    </x:row>
    <x:row r="1681">
      <x:c r="M1681" s="300"/>
    </x:row>
    <x:row r="1682">
      <x:c r="M1682" s="300"/>
    </x:row>
    <x:row r="1683">
      <x:c r="M1683" s="300"/>
    </x:row>
    <x:row r="1684">
      <x:c r="M1684" s="300"/>
    </x:row>
    <x:row r="1685">
      <x:c r="M1685" s="300"/>
    </x:row>
    <x:row r="1686">
      <x:c r="M1686" s="300"/>
    </x:row>
    <x:row r="1687">
      <x:c r="M1687" s="300"/>
    </x:row>
    <x:row r="1688">
      <x:c r="M1688" s="300"/>
    </x:row>
    <x:row r="1689">
      <x:c r="M1689" s="300"/>
    </x:row>
    <x:row r="1690">
      <x:c r="M1690" s="300"/>
    </x:row>
    <x:row r="1691">
      <x:c r="M1691" s="300"/>
    </x:row>
    <x:row r="1692">
      <x:c r="M1692" s="300"/>
    </x:row>
    <x:row r="1693">
      <x:c r="M1693" s="300"/>
    </x:row>
    <x:row r="1694">
      <x:c r="M1694" s="300"/>
    </x:row>
    <x:row r="1695">
      <x:c r="M1695" s="300"/>
    </x:row>
    <x:row r="1696">
      <x:c r="M1696" s="300"/>
    </x:row>
    <x:row r="1697">
      <x:c r="M1697" s="300"/>
    </x:row>
    <x:row r="1698">
      <x:c r="M1698" s="300"/>
    </x:row>
    <x:row r="1699">
      <x:c r="M1699" s="300"/>
    </x:row>
    <x:row r="1700">
      <x:c r="M1700" s="300"/>
    </x:row>
    <x:row r="1701">
      <x:c r="M1701" s="300"/>
    </x:row>
    <x:row r="1702">
      <x:c r="M1702" s="300"/>
    </x:row>
    <x:row r="1703">
      <x:c r="M1703" s="300"/>
    </x:row>
    <x:row r="1704">
      <x:c r="M1704" s="300"/>
    </x:row>
    <x:row r="1705">
      <x:c r="M1705" s="300"/>
    </x:row>
    <x:row r="1706">
      <x:c r="M1706" s="300"/>
    </x:row>
    <x:row r="1707">
      <x:c r="M1707" s="300"/>
    </x:row>
    <x:row r="1708">
      <x:c r="M1708" s="300"/>
    </x:row>
    <x:row r="1709">
      <x:c r="M1709" s="300"/>
    </x:row>
    <x:row r="1710">
      <x:c r="M1710" s="300"/>
    </x:row>
    <x:row r="1711">
      <x:c r="M1711" s="300"/>
    </x:row>
    <x:row r="1712">
      <x:c r="M1712" s="300"/>
    </x:row>
    <x:row r="1713">
      <x:c r="M1713" s="300"/>
    </x:row>
    <x:row r="1714">
      <x:c r="M1714" s="300"/>
    </x:row>
    <x:row r="1715">
      <x:c r="M1715" s="300"/>
    </x:row>
    <x:row r="1716">
      <x:c r="M1716" s="300"/>
    </x:row>
    <x:row r="1717">
      <x:c r="M1717" s="300"/>
    </x:row>
    <x:row r="1718">
      <x:c r="M1718" s="300"/>
    </x:row>
    <x:row r="1719">
      <x:c r="M1719" s="300"/>
    </x:row>
    <x:row r="1720">
      <x:c r="M1720" s="300"/>
    </x:row>
    <x:row r="1721">
      <x:c r="M1721" s="300"/>
    </x:row>
    <x:row r="1722">
      <x:c r="M1722" s="300"/>
    </x:row>
    <x:row r="1723">
      <x:c r="M1723" s="300"/>
    </x:row>
    <x:row r="1724">
      <x:c r="M1724" s="300"/>
    </x:row>
    <x:row r="1725">
      <x:c r="M1725" s="300"/>
    </x:row>
    <x:row r="1726">
      <x:c r="M1726" s="300"/>
    </x:row>
    <x:row r="1727">
      <x:c r="M1727" s="300"/>
    </x:row>
    <x:row r="1728">
      <x:c r="M1728" s="300"/>
    </x:row>
    <x:row r="1729">
      <x:c r="M1729" s="300"/>
    </x:row>
    <x:row r="1730">
      <x:c r="M1730" s="300"/>
    </x:row>
    <x:row r="1731">
      <x:c r="M1731" s="300"/>
    </x:row>
    <x:row r="1732">
      <x:c r="M1732" s="300"/>
    </x:row>
    <x:row r="1733">
      <x:c r="M1733" s="300"/>
    </x:row>
    <x:row r="1734">
      <x:c r="M1734" s="300"/>
    </x:row>
    <x:row r="1735">
      <x:c r="M1735" s="300"/>
    </x:row>
    <x:row r="1736">
      <x:c r="M1736" s="300"/>
    </x:row>
    <x:row r="1737">
      <x:c r="M1737" s="300"/>
    </x:row>
    <x:row r="1738">
      <x:c r="M1738" s="300"/>
    </x:row>
    <x:row r="1739">
      <x:c r="M1739" s="300"/>
    </x:row>
    <x:row r="1740">
      <x:c r="M1740" s="300"/>
    </x:row>
    <x:row r="1741">
      <x:c r="M1741" s="300"/>
    </x:row>
    <x:row r="1742">
      <x:c r="M1742" s="300"/>
    </x:row>
    <x:row r="1743">
      <x:c r="M1743" s="300"/>
    </x:row>
    <x:row r="1744">
      <x:c r="M1744" s="300"/>
    </x:row>
    <x:row r="1745">
      <x:c r="M1745" s="300"/>
    </x:row>
    <x:row r="1746">
      <x:c r="M1746" s="300"/>
    </x:row>
    <x:row r="1747">
      <x:c r="M1747" s="300"/>
    </x:row>
    <x:row r="1748">
      <x:c r="M1748" s="300"/>
    </x:row>
    <x:row r="1749">
      <x:c r="M1749" s="300"/>
    </x:row>
    <x:row r="1750">
      <x:c r="M1750" s="300"/>
    </x:row>
    <x:row r="1751">
      <x:c r="M1751" s="300"/>
    </x:row>
    <x:row r="1752">
      <x:c r="M1752" s="300"/>
    </x:row>
    <x:row r="1753">
      <x:c r="M1753" s="300"/>
    </x:row>
    <x:row r="1754">
      <x:c r="M1754" s="300"/>
    </x:row>
    <x:row r="1755">
      <x:c r="M1755" s="300"/>
    </x:row>
    <x:row r="1756">
      <x:c r="M1756" s="300"/>
    </x:row>
    <x:row r="1757">
      <x:c r="M1757" s="300"/>
    </x:row>
    <x:row r="1758">
      <x:c r="M1758" s="300"/>
    </x:row>
    <x:row r="1759">
      <x:c r="M1759" s="300"/>
    </x:row>
    <x:row r="1760">
      <x:c r="M1760" s="300"/>
    </x:row>
    <x:row r="1761">
      <x:c r="M1761" s="300"/>
    </x:row>
    <x:row r="1762">
      <x:c r="M1762" s="300"/>
    </x:row>
    <x:row r="1763">
      <x:c r="M1763" s="300"/>
    </x:row>
    <x:row r="1764">
      <x:c r="M1764" s="300"/>
    </x:row>
    <x:row r="1765">
      <x:c r="M1765" s="300"/>
    </x:row>
    <x:row r="1766">
      <x:c r="M1766" s="300"/>
    </x:row>
    <x:row r="1767">
      <x:c r="M1767" s="300"/>
    </x:row>
    <x:row r="1768">
      <x:c r="M1768" s="300"/>
    </x:row>
    <x:row r="1769">
      <x:c r="M1769" s="300"/>
    </x:row>
    <x:row r="1770">
      <x:c r="M1770" s="300"/>
    </x:row>
    <x:row r="1771">
      <x:c r="M1771" s="300"/>
    </x:row>
    <x:row r="1772">
      <x:c r="M1772" s="300"/>
    </x:row>
    <x:row r="1773">
      <x:c r="M1773" s="300"/>
    </x:row>
    <x:row r="1774">
      <x:c r="M1774" s="300"/>
    </x:row>
    <x:row r="1775">
      <x:c r="M1775" s="300"/>
    </x:row>
    <x:row r="1776">
      <x:c r="M1776" s="300"/>
    </x:row>
    <x:row r="1777">
      <x:c r="M1777" s="300"/>
    </x:row>
    <x:row r="1778">
      <x:c r="M1778" s="300"/>
    </x:row>
    <x:row r="1779">
      <x:c r="M1779" s="300"/>
    </x:row>
    <x:row r="1780">
      <x:c r="M1780" s="300"/>
    </x:row>
    <x:row r="1781">
      <x:c r="M1781" s="300"/>
    </x:row>
    <x:row r="1782">
      <x:c r="M1782" s="300"/>
    </x:row>
    <x:row r="1783">
      <x:c r="M1783" s="300"/>
    </x:row>
    <x:row r="1784">
      <x:c r="M1784" s="300"/>
    </x:row>
    <x:row r="1785">
      <x:c r="M1785" s="300"/>
    </x:row>
    <x:row r="1786">
      <x:c r="M1786" s="300"/>
    </x:row>
    <x:row r="1787">
      <x:c r="M1787" s="300"/>
    </x:row>
    <x:row r="1788">
      <x:c r="M1788" s="300"/>
    </x:row>
    <x:row r="1789">
      <x:c r="M1789" s="300"/>
    </x:row>
    <x:row r="1790">
      <x:c r="M1790" s="300"/>
    </x:row>
    <x:row r="1791">
      <x:c r="M1791" s="300"/>
    </x:row>
    <x:row r="1792">
      <x:c r="M1792" s="300"/>
    </x:row>
    <x:row r="1793">
      <x:c r="M1793" s="300"/>
    </x:row>
    <x:row r="1794">
      <x:c r="M1794" s="300"/>
    </x:row>
    <x:row r="1795">
      <x:c r="M1795" s="300"/>
    </x:row>
    <x:row r="1796">
      <x:c r="M1796" s="300"/>
    </x:row>
    <x:row r="1797">
      <x:c r="M1797" s="300"/>
    </x:row>
    <x:row r="1798">
      <x:c r="M1798" s="300"/>
    </x:row>
    <x:row r="1799">
      <x:c r="M1799" s="300"/>
    </x:row>
    <x:row r="1800">
      <x:c r="M1800" s="300"/>
    </x:row>
    <x:row r="1801">
      <x:c r="M1801" s="300"/>
    </x:row>
    <x:row r="1802">
      <x:c r="M1802" s="300"/>
    </x:row>
    <x:row r="1803">
      <x:c r="M1803" s="300"/>
    </x:row>
    <x:row r="1804">
      <x:c r="M1804" s="300"/>
    </x:row>
    <x:row r="1805">
      <x:c r="M1805" s="300"/>
    </x:row>
    <x:row r="1806">
      <x:c r="M1806" s="300"/>
    </x:row>
    <x:row r="1807">
      <x:c r="M1807" s="300"/>
    </x:row>
    <x:row r="1808">
      <x:c r="M1808" s="300"/>
    </x:row>
    <x:row r="1809">
      <x:c r="M1809" s="300"/>
    </x:row>
    <x:row r="1810">
      <x:c r="M1810" s="300"/>
    </x:row>
    <x:row r="1811">
      <x:c r="M1811" s="300"/>
    </x:row>
    <x:row r="1812">
      <x:c r="M1812" s="300"/>
    </x:row>
    <x:row r="1813">
      <x:c r="M1813" s="300"/>
    </x:row>
    <x:row r="1814">
      <x:c r="M1814" s="300"/>
    </x:row>
    <x:row r="1815">
      <x:c r="M1815" s="300"/>
    </x:row>
    <x:row r="1816">
      <x:c r="M1816" s="300"/>
    </x:row>
    <x:row r="1817">
      <x:c r="M1817" s="300"/>
    </x:row>
    <x:row r="1818">
      <x:c r="M1818" s="300"/>
    </x:row>
    <x:row r="1819">
      <x:c r="M1819" s="300"/>
    </x:row>
    <x:row r="1820">
      <x:c r="M1820" s="300"/>
    </x:row>
    <x:row r="1821">
      <x:c r="M1821" s="300"/>
    </x:row>
    <x:row r="1822">
      <x:c r="M1822" s="300"/>
    </x:row>
    <x:row r="1823">
      <x:c r="M1823" s="300"/>
    </x:row>
    <x:row r="1824">
      <x:c r="M1824" s="300"/>
    </x:row>
    <x:row r="1825">
      <x:c r="M1825" s="300"/>
    </x:row>
    <x:row r="1826">
      <x:c r="M1826" s="300"/>
    </x:row>
    <x:row r="1827">
      <x:c r="M1827" s="300"/>
    </x:row>
    <x:row r="1828">
      <x:c r="M1828" s="300"/>
    </x:row>
    <x:row r="1829">
      <x:c r="M1829" s="300"/>
    </x:row>
    <x:row r="1830">
      <x:c r="M1830" s="300"/>
    </x:row>
    <x:row r="1831">
      <x:c r="M1831" s="300"/>
    </x:row>
    <x:row r="1832">
      <x:c r="M1832" s="300"/>
    </x:row>
    <x:row r="1833">
      <x:c r="M1833" s="300"/>
    </x:row>
    <x:row r="1834">
      <x:c r="M1834" s="300"/>
    </x:row>
    <x:row r="1835">
      <x:c r="M1835" s="300"/>
    </x:row>
    <x:row r="1836">
      <x:c r="M1836" s="300"/>
    </x:row>
    <x:row r="1837">
      <x:c r="M1837" s="300"/>
    </x:row>
    <x:row r="1838">
      <x:c r="M1838" s="300"/>
    </x:row>
    <x:row r="1839">
      <x:c r="M1839" s="300"/>
    </x:row>
    <x:row r="1840">
      <x:c r="M1840" s="300"/>
    </x:row>
    <x:row r="1841">
      <x:c r="M1841" s="300"/>
    </x:row>
    <x:row r="1842">
      <x:c r="M1842" s="300"/>
    </x:row>
    <x:row r="1843">
      <x:c r="M1843" s="300"/>
    </x:row>
    <x:row r="1844">
      <x:c r="M1844" s="300"/>
    </x:row>
    <x:row r="1845">
      <x:c r="M1845" s="300"/>
    </x:row>
    <x:row r="1846">
      <x:c r="M1846" s="300"/>
    </x:row>
    <x:row r="1847">
      <x:c r="M1847" s="300"/>
    </x:row>
    <x:row r="1848">
      <x:c r="M1848" s="300"/>
    </x:row>
    <x:row r="1849">
      <x:c r="M1849" s="300"/>
    </x:row>
    <x:row r="1850">
      <x:c r="M1850" s="300"/>
    </x:row>
    <x:row r="1851">
      <x:c r="M1851" s="300"/>
    </x:row>
    <x:row r="1852">
      <x:c r="M1852" s="300"/>
    </x:row>
    <x:row r="1853">
      <x:c r="M1853" s="300"/>
    </x:row>
    <x:row r="1854">
      <x:c r="M1854" s="300"/>
    </x:row>
    <x:row r="1855">
      <x:c r="M1855" s="300"/>
    </x:row>
    <x:row r="1856">
      <x:c r="M1856" s="300"/>
    </x:row>
    <x:row r="1857">
      <x:c r="M1857" s="300"/>
    </x:row>
    <x:row r="1858">
      <x:c r="M1858" s="300"/>
    </x:row>
    <x:row r="1859">
      <x:c r="M1859" s="300"/>
    </x:row>
    <x:row r="1860">
      <x:c r="M1860" s="300"/>
    </x:row>
    <x:row r="1861">
      <x:c r="M1861" s="300"/>
    </x:row>
    <x:row r="1862">
      <x:c r="M1862" s="300"/>
    </x:row>
    <x:row r="1863">
      <x:c r="M1863" s="300"/>
    </x:row>
    <x:row r="1864">
      <x:c r="M1864" s="300"/>
    </x:row>
    <x:row r="1865">
      <x:c r="M1865" s="300"/>
    </x:row>
    <x:row r="1866">
      <x:c r="M1866" s="300"/>
    </x:row>
    <x:row r="1867">
      <x:c r="M1867" s="300"/>
    </x:row>
    <x:row r="1868">
      <x:c r="M1868" s="300"/>
    </x:row>
    <x:row r="1869">
      <x:c r="M1869" s="300"/>
    </x:row>
    <x:row r="1870">
      <x:c r="M1870" s="300"/>
    </x:row>
    <x:row r="1871">
      <x:c r="M1871" s="300"/>
    </x:row>
    <x:row r="1872">
      <x:c r="M1872" s="300"/>
    </x:row>
    <x:row r="1873">
      <x:c r="M1873" s="300"/>
    </x:row>
    <x:row r="1874">
      <x:c r="M1874" s="300"/>
    </x:row>
    <x:row r="1875">
      <x:c r="M1875" s="300"/>
    </x:row>
    <x:row r="1876">
      <x:c r="M1876" s="300"/>
    </x:row>
    <x:row r="1877">
      <x:c r="M1877" s="300"/>
    </x:row>
    <x:row r="1878">
      <x:c r="M1878" s="300"/>
    </x:row>
    <x:row r="1879">
      <x:c r="M1879" s="300"/>
    </x:row>
    <x:row r="1880">
      <x:c r="M1880" s="300"/>
    </x:row>
    <x:row r="1881">
      <x:c r="M1881" s="300"/>
    </x:row>
    <x:row r="1882">
      <x:c r="M1882" s="300"/>
    </x:row>
    <x:row r="1883">
      <x:c r="M1883" s="300"/>
    </x:row>
    <x:row r="1884">
      <x:c r="M1884" s="300"/>
    </x:row>
    <x:row r="1885">
      <x:c r="M1885" s="300"/>
    </x:row>
    <x:row r="1886">
      <x:c r="M1886" s="300"/>
    </x:row>
    <x:row r="1887">
      <x:c r="M1887" s="300"/>
    </x:row>
    <x:row r="1888">
      <x:c r="M1888" s="300"/>
    </x:row>
    <x:row r="1889">
      <x:c r="M1889" s="300"/>
    </x:row>
    <x:row r="1890">
      <x:c r="M1890" s="300"/>
    </x:row>
    <x:row r="1891">
      <x:c r="M1891" s="300"/>
    </x:row>
    <x:row r="1892">
      <x:c r="M1892" s="300"/>
    </x:row>
    <x:row r="1893">
      <x:c r="M1893" s="300"/>
    </x:row>
    <x:row r="1894">
      <x:c r="M1894" s="300"/>
    </x:row>
    <x:row r="1895">
      <x:c r="M1895" s="300"/>
    </x:row>
    <x:row r="1896">
      <x:c r="M1896" s="300"/>
    </x:row>
    <x:row r="1897">
      <x:c r="M1897" s="300"/>
    </x:row>
    <x:row r="1898">
      <x:c r="M1898" s="300"/>
    </x:row>
    <x:row r="1899">
      <x:c r="M1899" s="300"/>
    </x:row>
    <x:row r="1900">
      <x:c r="M1900" s="300"/>
    </x:row>
    <x:row r="1901">
      <x:c r="M1901" s="300"/>
    </x:row>
    <x:row r="1902">
      <x:c r="M1902" s="300"/>
    </x:row>
    <x:row r="1903">
      <x:c r="M1903" s="300"/>
    </x:row>
    <x:row r="1904">
      <x:c r="M1904" s="300"/>
    </x:row>
    <x:row r="1905">
      <x:c r="M1905" s="300"/>
    </x:row>
    <x:row r="1906">
      <x:c r="M1906" s="300"/>
    </x:row>
    <x:row r="1907">
      <x:c r="M1907" s="300"/>
    </x:row>
    <x:row r="1908">
      <x:c r="M1908" s="300"/>
    </x:row>
    <x:row r="1909">
      <x:c r="M1909" s="300"/>
    </x:row>
    <x:row r="1910">
      <x:c r="M1910" s="300"/>
    </x:row>
    <x:row r="1911">
      <x:c r="M1911" s="300"/>
    </x:row>
    <x:row r="1912">
      <x:c r="M1912" s="300"/>
    </x:row>
    <x:row r="1913">
      <x:c r="M1913" s="300"/>
    </x:row>
    <x:row r="1914">
      <x:c r="M1914" s="300"/>
    </x:row>
    <x:row r="1915">
      <x:c r="M1915" s="300"/>
    </x:row>
    <x:row r="1916">
      <x:c r="M1916" s="300"/>
    </x:row>
    <x:row r="1917">
      <x:c r="M1917" s="300"/>
    </x:row>
    <x:row r="1918">
      <x:c r="M1918" s="300"/>
    </x:row>
    <x:row r="1919">
      <x:c r="M1919" s="300"/>
    </x:row>
    <x:row r="1920">
      <x:c r="M1920" s="300"/>
    </x:row>
    <x:row r="1921">
      <x:c r="M1921" s="300"/>
    </x:row>
    <x:row r="1922">
      <x:c r="M1922" s="300"/>
    </x:row>
    <x:row r="1923">
      <x:c r="M1923" s="300"/>
    </x:row>
    <x:row r="1924">
      <x:c r="M1924" s="300"/>
    </x:row>
    <x:row r="1925">
      <x:c r="M1925" s="300"/>
    </x:row>
    <x:row r="1926">
      <x:c r="M1926" s="300"/>
    </x:row>
    <x:row r="1927">
      <x:c r="M1927" s="300"/>
    </x:row>
    <x:row r="1928">
      <x:c r="M1928" s="300"/>
    </x:row>
    <x:row r="1929">
      <x:c r="M1929" s="300"/>
    </x:row>
    <x:row r="1930">
      <x:c r="M1930" s="300"/>
    </x:row>
    <x:row r="1931">
      <x:c r="M1931" s="300"/>
    </x:row>
    <x:row r="1932">
      <x:c r="M1932" s="300"/>
    </x:row>
    <x:row r="1933">
      <x:c r="M1933" s="300"/>
    </x:row>
    <x:row r="1934">
      <x:c r="M1934" s="300"/>
    </x:row>
    <x:row r="1935">
      <x:c r="M1935" s="300"/>
    </x:row>
    <x:row r="1936">
      <x:c r="M1936" s="300"/>
    </x:row>
    <x:row r="1937">
      <x:c r="M1937" s="300"/>
    </x:row>
    <x:row r="1938">
      <x:c r="M1938" s="300"/>
    </x:row>
    <x:row r="1939">
      <x:c r="M1939" s="300"/>
    </x:row>
    <x:row r="1940">
      <x:c r="M1940" s="300"/>
    </x:row>
    <x:row r="1941">
      <x:c r="M1941" s="300"/>
    </x:row>
    <x:row r="1942">
      <x:c r="M1942" s="300"/>
    </x:row>
    <x:row r="1943">
      <x:c r="M1943" s="300"/>
    </x:row>
    <x:row r="1944">
      <x:c r="M1944" s="300"/>
    </x:row>
    <x:row r="1945">
      <x:c r="M1945" s="300"/>
    </x:row>
    <x:row r="1946">
      <x:c r="M1946" s="300"/>
    </x:row>
    <x:row r="1947">
      <x:c r="M1947" s="300"/>
    </x:row>
    <x:row r="1948">
      <x:c r="M1948" s="300"/>
    </x:row>
    <x:row r="1949">
      <x:c r="M1949" s="300"/>
    </x:row>
    <x:row r="1950">
      <x:c r="M1950" s="300"/>
    </x:row>
    <x:row r="1951">
      <x:c r="M1951" s="300"/>
    </x:row>
    <x:row r="1952">
      <x:c r="M1952" s="300"/>
    </x:row>
    <x:row r="1953">
      <x:c r="M1953" s="300"/>
    </x:row>
    <x:row r="1954">
      <x:c r="M1954" s="300"/>
    </x:row>
    <x:row r="1955">
      <x:c r="M1955" s="300"/>
    </x:row>
    <x:row r="1956">
      <x:c r="M1956" s="300"/>
    </x:row>
    <x:row r="1957">
      <x:c r="M1957" s="300"/>
    </x:row>
    <x:row r="1958">
      <x:c r="M1958" s="300"/>
    </x:row>
    <x:row r="1959">
      <x:c r="M1959" s="300"/>
    </x:row>
    <x:row r="1960">
      <x:c r="M1960" s="300"/>
    </x:row>
    <x:row r="1961">
      <x:c r="M1961" s="300"/>
    </x:row>
    <x:row r="1962">
      <x:c r="M1962" s="300"/>
    </x:row>
    <x:row r="1963">
      <x:c r="M1963" s="300"/>
    </x:row>
    <x:row r="1964">
      <x:c r="M1964" s="300"/>
    </x:row>
    <x:row r="1965">
      <x:c r="M1965" s="300"/>
    </x:row>
    <x:row r="1966">
      <x:c r="M1966" s="300"/>
    </x:row>
    <x:row r="1967">
      <x:c r="M1967" s="300"/>
    </x:row>
    <x:row r="1968">
      <x:c r="M1968" s="300"/>
    </x:row>
    <x:row r="1969">
      <x:c r="M1969" s="300"/>
    </x:row>
    <x:row r="1970">
      <x:c r="M1970" s="300"/>
    </x:row>
    <x:row r="1971">
      <x:c r="M1971" s="300"/>
    </x:row>
    <x:row r="1972">
      <x:c r="M1972" s="300"/>
    </x:row>
    <x:row r="1973">
      <x:c r="M1973" s="300"/>
    </x:row>
    <x:row r="1974">
      <x:c r="M1974" s="300"/>
    </x:row>
    <x:row r="1975">
      <x:c r="M1975" s="300"/>
    </x:row>
    <x:row r="1976">
      <x:c r="M1976" s="300"/>
    </x:row>
    <x:row r="1977">
      <x:c r="M1977" s="300"/>
    </x:row>
    <x:row r="1978">
      <x:c r="M1978" s="300"/>
    </x:row>
    <x:row r="1979">
      <x:c r="M1979" s="300"/>
    </x:row>
    <x:row r="1980">
      <x:c r="M1980" s="300"/>
    </x:row>
    <x:row r="1981">
      <x:c r="M1981" s="300"/>
    </x:row>
    <x:row r="1982">
      <x:c r="M1982" s="300"/>
    </x:row>
    <x:row r="1983">
      <x:c r="M1983" s="300"/>
    </x:row>
    <x:row r="1984">
      <x:c r="M1984" s="300"/>
    </x:row>
    <x:row r="1985">
      <x:c r="M1985" s="300"/>
    </x:row>
    <x:row r="1986">
      <x:c r="M1986" s="300"/>
    </x:row>
    <x:row r="1987">
      <x:c r="M1987" s="300"/>
    </x:row>
    <x:row r="1988">
      <x:c r="M1988" s="300"/>
    </x:row>
    <x:row r="1989">
      <x:c r="M1989" s="300"/>
    </x:row>
    <x:row r="1990">
      <x:c r="M1990" s="300"/>
    </x:row>
    <x:row r="1991">
      <x:c r="M1991" s="300"/>
    </x:row>
    <x:row r="1992">
      <x:c r="M1992" s="300"/>
    </x:row>
    <x:row r="1993">
      <x:c r="M1993" s="300"/>
    </x:row>
    <x:row r="1994">
      <x:c r="M1994" s="300"/>
    </x:row>
    <x:row r="1995">
      <x:c r="M1995" s="300"/>
    </x:row>
    <x:row r="1996">
      <x:c r="M1996" s="300"/>
    </x:row>
    <x:row r="1997">
      <x:c r="M1997" s="300"/>
    </x:row>
    <x:row r="1998">
      <x:c r="M1998" s="300"/>
    </x:row>
    <x:row r="1999">
      <x:c r="M1999" s="300"/>
    </x:row>
    <x:row r="2000">
      <x:c r="M2000" s="300"/>
    </x:row>
  </x:sheetData>
  <x:dataValidations count="2">
    <x:dataValidation type="list" sqref="E2:E2000">
      <x:formula1>"ОЖИДАЕТ,ПОДТВЕРЖДЕНО,ОТКЛОНЕНО"</x:formula1>
    </x:dataValidation>
    <x:dataValidation type="list" sqref="F2:F2000">
      <x:formula1>"STORNO_REPOST,ONE_SIDED,DELETE_EXISTING_POSTING,UPDATE_EXISTING_POSTING,UPDATE_MAPPING,NO_POSTING,REQUEST_DATA"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12861474de462a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24" hidden="0" customWidth="1"/>
    <x:col min="3" max="3" width="18" hidden="0" customWidth="1"/>
    <x:col min="4" max="4" width="76" hidden="0" customWidth="1"/>
  </x:cols>
  <x:sheetData>
    <x:row r="1" ht="28" customHeight="1">
      <x:c r="A1" s="6" t="str">
        <x:v>Контроль выпуска пакета</x:v>
      </x:c>
      <x:c r="B1" s="6"/>
      <x:c r="C1" s="6"/>
      <x:c r="D1" s="6"/>
      <x:c r="E1" s="6"/>
    </x:row>
    <x:row r="2" ht="24" customHeight="1">
      <x:c r="A2" s="15" t="str">
        <x:v>Все обязательные проверки должны быть PASS. Любой BLOCKED сохраняет ready_to_upload = FALSE.</x:v>
      </x:c>
      <x:c r="B2" s="15"/>
      <x:c r="C2" s="15"/>
      <x:c r="D2" s="15"/>
      <x:c r="E2" s="15"/>
    </x:row>
    <x:row r="3" ht="28" customHeight="1">
      <x:c r="A3" s="23" t="str">
        <x:v>Не менять статусы вручную без протокола проверки.</x:v>
      </x:c>
      <x:c r="B3" s="23"/>
      <x:c r="C3" s="23"/>
      <x:c r="D3" s="23"/>
      <x:c r="E3" s="23"/>
    </x:row>
    <x:row r="5">
      <x:c r="A5" s="38" t="str">
        <x:v>Контроль</x:v>
      </x:c>
      <x:c r="B5" s="38" t="str">
        <x:v>Результат</x:v>
      </x:c>
      <x:c r="C5" s="38" t="str">
        <x:v>Статус</x:v>
      </x:c>
      <x:c r="D5" s="38" t="str">
        <x:v>Комментарий</x:v>
      </x:c>
    </x:row>
    <x:row r="6">
      <x:c r="A6" s="50" t="str">
        <x:v>Структура строк ОПИУ</x:v>
      </x:c>
      <x:c r="B6" s="50" t="n">
        <x:v>65</x:v>
      </x:c>
      <x:c r="C6" s="50" t="str">
        <x:v>PASS</x:v>
      </x:c>
      <x:c r="D6" s="50" t="str">
        <x:v>65 строк сохранены по образцу «опиу.xls».</x:v>
      </x:c>
    </x:row>
    <x:row r="7">
      <x:c r="A7" s="50" t="str">
        <x:v>Периоды</x:v>
      </x:c>
      <x:c r="B7" s="50" t="n">
        <x:v>12</x:v>
      </x:c>
      <x:c r="C7" s="50" t="str">
        <x:v>PASS</x:v>
      </x:c>
      <x:c r="D7" s="50" t="str">
        <x:v>Пример: январь и февраль 2025; шаблон: 12 месяцев.</x:v>
      </x:c>
    </x:row>
    <x:row r="8">
      <x:c r="A8" s="50" t="str">
        <x:v>Остаточные расхождения</x:v>
      </x:c>
      <x:c r="B8" s="50" t="str"/>
      <x:c r="C8" s="50" t="str">
        <x:v>ОЖИДАЕТ</x:v>
      </x:c>
      <x:c r="D8" s="50" t="str">
        <x:v>См. лист 05_Неопределенные.</x:v>
      </x:c>
    </x:row>
    <x:row r="9">
      <x:c r="A9" s="50" t="str">
        <x:v>Первичные неопределённые строки</x:v>
      </x:c>
      <x:c r="B9" s="50" t="str"/>
      <x:c r="C9" s="50" t="str">
        <x:v>ОЖИДАЕТ</x:v>
      </x:c>
      <x:c r="D9" s="50" t="str">
        <x:v>Для них обязательна детализация до документа ERP и кандидатов Инталев.</x:v>
      </x:c>
    </x:row>
    <x:row r="10">
      <x:c r="A10" s="50" t="str">
        <x:v>Детализация ERP до документа/проводки</x:v>
      </x:c>
      <x:c r="B10" s="50" t="str"/>
      <x:c r="C10" s="50" t="str">
        <x:v>BLOCKED</x:v>
      </x:c>
      <x:c r="D10" s="50" t="str"/>
    </x:row>
    <x:row r="11">
      <x:c r="A11" s="50" t="str">
        <x:v>Кандидаты журнала Инталев</x:v>
      </x:c>
      <x:c r="B11" s="50" t="str"/>
      <x:c r="C11" s="50" t="str">
        <x:v>BLOCKED</x:v>
      </x:c>
      <x:c r="D11" s="50" t="str"/>
    </x:row>
    <x:row r="12">
      <x:c r="A12" s="50" t="str">
        <x:v>ОСВ Инталев</x:v>
      </x:c>
      <x:c r="B12" s="50" t="str"/>
      <x:c r="C12" s="50" t="str">
        <x:v>BLOCKED</x:v>
      </x:c>
      <x:c r="D12" s="50" t="str">
        <x:v>Контроль ОСВ не выполнен.</x:v>
      </x:c>
    </x:row>
    <x:row r="13">
      <x:c r="A13" s="50" t="str">
        <x:v>Дубли</x:v>
      </x:c>
      <x:c r="B13" s="50" t="str"/>
      <x:c r="C13" s="50" t="str">
        <x:v>BLOCKED</x:v>
      </x:c>
      <x:c r="D13" s="50" t="str">
        <x:v>Проверить уникальность стабильных ID и пар проводок.</x:v>
      </x:c>
    </x:row>
    <x:row r="14">
      <x:c r="A14" s="50" t="str">
        <x:v>Знаки</x:v>
      </x:c>
      <x:c r="B14" s="50" t="str"/>
      <x:c r="C14" s="50" t="str">
        <x:v>BLOCKED</x:v>
      </x:c>
      <x:c r="D14" s="50" t="str">
        <x:v>Подтвердить знак каждой корректировки по строке ОПИУ и проводке.</x:v>
      </x:c>
    </x:row>
    <x:row r="15">
      <x:c r="A15" s="50" t="str">
        <x:v>Идемпотентность</x:v>
      </x:c>
      <x:c r="B15" s="50" t="str"/>
      <x:c r="C15" s="50" t="str">
        <x:v>BLOCKED</x:v>
      </x:c>
      <x:c r="D15" s="50" t="str">
        <x:v>Повторная загрузка не должна создавать дубли.</x:v>
      </x:c>
    </x:row>
    <x:row r="16">
      <x:c r="A16" s="50" t="str">
        <x:v>ДЕМО-корректировки</x:v>
      </x:c>
      <x:c r="B16" s="50" t="n">
        <x:v>0</x:v>
      </x:c>
      <x:c r="C16" s="50" t="str">
        <x:v>PASS</x:v>
      </x:c>
      <x:c r="D16" s="50" t="str">
        <x:v>ДЕМО-строки запрещены в рабочем пакете.</x:v>
      </x:c>
    </x:row>
    <x:row r="17">
      <x:c r="A17" s="50" t="str">
        <x:v>release_allowed</x:v>
      </x:c>
      <x:c r="B17" s="50" t="str">
        <x:v>FALSE</x:v>
      </x:c>
      <x:c r="C17" s="50" t="str">
        <x:v>BLOCKED</x:v>
      </x:c>
      <x:c r="D17" s="50" t="str">
        <x:v>Fail-closed.</x:v>
      </x:c>
    </x:row>
    <x:row r="18">
      <x:c r="A18" s="50" t="str">
        <x:v>ready_to_upload</x:v>
      </x:c>
      <x:c r="B18" s="50" t="str">
        <x:v>FALSE</x:v>
      </x:c>
      <x:c r="C18" s="50" t="str">
        <x:v>BLOCKED</x:v>
      </x:c>
      <x:c r="D18" s="50" t="str">
        <x:v>Загрузочный пакет выпускать нельзя.</x:v>
      </x:c>
    </x:row>
    <x:row r="19">
      <x:c r="A19" s="50" t="str">
        <x:v>Итоговый статус</x:v>
      </x:c>
      <x:c r="B19" s="50" t="str">
        <x:v>NOT_STARTED</x:v>
      </x:c>
      <x:c r="C19" s="50" t="str">
        <x:v>ОЖИДАЕТ</x:v>
      </x:c>
      <x:c r="D19" s="50" t="str">
        <x:v>После устранения блокеров выполнить повторную сверку ОПИУ и ОСВ.</x:v>
      </x:c>
    </x:row>
  </x:sheetData>
  <x:mergeCells>
    <x:mergeCell ref="A1:E1"/>
    <x:mergeCell ref="A2:E2"/>
    <x:mergeCell ref="A3:E3"/>
  </x:mergeCells>
  <x:conditionalFormatting sqref="C6:C19">
    <x:cfRule type="expression" dxfId="52" priority="1">
      <x:formula>C6="PASS"</x:formula>
    </x:cfRule>
    <x:cfRule type="expression" dxfId="53" priority="2">
      <x:formula>C6="BLOCKED"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22" hidden="0" customWidth="1"/>
    <x:col min="4" max="4" width="28" hidden="0" customWidth="1"/>
    <x:col min="5" max="5" width="22" hidden="0" customWidth="1"/>
    <x:col min="6" max="6" width="12" hidden="0" customWidth="1"/>
    <x:col min="7" max="7" width="24" hidden="0" customWidth="1"/>
  </x:cols>
  <x:sheetData>
    <x:row r="1">
      <x:c r="A1" s="38" t="str">
        <x:v>Статус корректировки</x:v>
      </x:c>
      <x:c r="B1" s="38" t="str">
        <x:v>Учитывать</x:v>
      </x:c>
      <x:c r="C1" s="38" t="str">
        <x:v>Статус решения</x:v>
      </x:c>
      <x:c r="D1" s="38" t="str">
        <x:v>Тип решения</x:v>
      </x:c>
      <x:c r="E1" s="38" t="str">
        <x:v>calculation_mode</x:v>
      </x:c>
      <x:c r="F1" s="38" t="str">
        <x:v>Блокер</x:v>
      </x:c>
      <x:c r="G1" s="38" t="str">
        <x:v>Статус пакета</x:v>
      </x:c>
    </x:row>
    <x:row r="2">
      <x:c r="A2" s="50" t="str">
        <x:v>ЧЕРНОВИК</x:v>
      </x:c>
      <x:c r="B2" s="50" t="str">
        <x:v>Да</x:v>
      </x:c>
      <x:c r="C2" s="50" t="str">
        <x:v>ОЖИДАЕТ</x:v>
      </x:c>
      <x:c r="D2" s="50" t="str">
        <x:v>STORNO_REPOST</x:v>
      </x:c>
      <x:c r="E2" s="50" t="str">
        <x:v>DELTA</x:v>
      </x:c>
      <x:c r="F2" s="50" t="str">
        <x:v>Да</x:v>
      </x:c>
      <x:c r="G2" s="50" t="str">
        <x:v>NOT_STARTED</x:v>
      </x:c>
    </x:row>
    <x:row r="3">
      <x:c r="A3" s="50" t="str">
        <x:v>ПОДТВЕРЖДЕНО</x:v>
      </x:c>
      <x:c r="B3" s="50" t="str">
        <x:v>Нет</x:v>
      </x:c>
      <x:c r="C3" s="50" t="str">
        <x:v>ПОДТВЕРЖДЕНО</x:v>
      </x:c>
      <x:c r="D3" s="50" t="str">
        <x:v>ONE_SIDED</x:v>
      </x:c>
      <x:c r="E3" s="50" t="str">
        <x:v>FULL_RECALCULATION</x:v>
      </x:c>
      <x:c r="F3" s="50" t="str">
        <x:v>Нет</x:v>
      </x:c>
      <x:c r="G3" s="50" t="str">
        <x:v>IN_ANALYSIS</x:v>
      </x:c>
    </x:row>
    <x:row r="4">
      <x:c r="A4" s="50" t="str">
        <x:v>ОТКЛОНЕНО</x:v>
      </x:c>
      <x:c r="B4" s="50" t="str"/>
      <x:c r="C4" s="50" t="str">
        <x:v>ОТКЛОНЕНО</x:v>
      </x:c>
      <x:c r="D4" s="50" t="str">
        <x:v>DELETE_EXISTING_POSTING</x:v>
      </x:c>
      <x:c r="E4" s="50" t="str"/>
      <x:c r="F4" s="50" t="str"/>
      <x:c r="G4" s="50" t="str">
        <x:v>MAPPING_REQUIRED</x:v>
      </x:c>
    </x:row>
    <x:row r="5">
      <x:c r="A5" s="50" t="str">
        <x:v>ДЕМО</x:v>
      </x:c>
      <x:c r="B5" s="50" t="str"/>
      <x:c r="C5" s="50" t="str"/>
      <x:c r="D5" s="50" t="str">
        <x:v>UPDATE_EXISTING_POSTING</x:v>
      </x:c>
      <x:c r="E5" s="50" t="str"/>
      <x:c r="F5" s="50" t="str"/>
      <x:c r="G5" s="50" t="str">
        <x:v>VALIDATION</x:v>
      </x:c>
    </x:row>
    <x:row r="6">
      <x:c r="A6" s="50" t="str"/>
      <x:c r="B6" s="50" t="str"/>
      <x:c r="C6" s="50" t="str"/>
      <x:c r="D6" s="50" t="str">
        <x:v>UPDATE_MAPPING</x:v>
      </x:c>
      <x:c r="E6" s="50" t="str"/>
      <x:c r="F6" s="50" t="str"/>
      <x:c r="G6" s="50" t="str">
        <x:v>BLOCKED</x:v>
      </x:c>
    </x:row>
    <x:row r="7">
      <x:c r="A7" s="50" t="str"/>
      <x:c r="B7" s="50" t="str"/>
      <x:c r="C7" s="50" t="str"/>
      <x:c r="D7" s="50" t="str">
        <x:v>NO_POSTING</x:v>
      </x:c>
      <x:c r="E7" s="50" t="str"/>
      <x:c r="F7" s="50" t="str"/>
      <x:c r="G7" s="50" t="str">
        <x:v>READY_FOR_APPROVAL</x:v>
      </x:c>
    </x:row>
    <x:row r="8">
      <x:c r="A8" s="50" t="str"/>
      <x:c r="B8" s="50" t="str"/>
      <x:c r="C8" s="50" t="str"/>
      <x:c r="D8" s="50" t="str">
        <x:v>REQUEST_DATA</x:v>
      </x:c>
      <x:c r="E8" s="50" t="str"/>
      <x:c r="F8" s="50" t="str"/>
      <x:c r="G8" s="50" t="str">
        <x:v>READY_TO_UPLOAD</x:v>
      </x:c>
    </x:row>
    <x:row r="9">
      <x:c r="A9" s="50" t="str"/>
      <x:c r="B9" s="50" t="str"/>
      <x:c r="C9" s="50" t="str"/>
      <x:c r="D9" s="50" t="str"/>
      <x:c r="E9" s="50" t="str"/>
      <x:c r="F9" s="50" t="str"/>
      <x:c r="G9" s="50" t="str">
        <x:v>RECONCILED</x:v>
      </x:c>
    </x:row>
    <x:row r="10">
      <x:c r="A10" s="50" t="str"/>
      <x:c r="B10" s="50" t="str"/>
      <x:c r="C10" s="50" t="str"/>
      <x:c r="D10" s="50" t="str"/>
      <x:c r="E10" s="50" t="str"/>
      <x:c r="F10" s="50" t="str"/>
      <x:c r="G10" s="50" t="str">
        <x:v>SUPERSEDED</x:v>
      </x:c>
    </x:row>
  </x:sheetData>
  <x:pageMargins left="0.7" right="0.7" top="0.75" bottom="0.75" header="0.3" footer="0.3"/>
</x:worksheet>
</file>